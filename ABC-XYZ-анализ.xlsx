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bykovskiykf/Documents/"/>
    </mc:Choice>
  </mc:AlternateContent>
  <xr:revisionPtr revIDLastSave="0" documentId="8_{3BAD6D8F-54A3-744B-AC75-3E229E66448B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data (1)" sheetId="1" r:id="rId1"/>
    <sheet name="Лист11" sheetId="12" r:id="rId2"/>
    <sheet name="ABC" sheetId="8" r:id="rId3"/>
    <sheet name="XYZ" sheetId="11" r:id="rId4"/>
  </sheet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8" l="1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2" i="8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2" i="11"/>
  <c r="C3" i="11"/>
  <c r="D3" i="11"/>
  <c r="E3" i="11"/>
  <c r="F3" i="11"/>
  <c r="G3" i="11"/>
  <c r="C4" i="11"/>
  <c r="D4" i="11"/>
  <c r="E4" i="11"/>
  <c r="F4" i="11"/>
  <c r="G4" i="11"/>
  <c r="C5" i="11"/>
  <c r="D5" i="11"/>
  <c r="E5" i="11"/>
  <c r="F5" i="11"/>
  <c r="G5" i="11"/>
  <c r="C6" i="11"/>
  <c r="D6" i="11"/>
  <c r="E6" i="11"/>
  <c r="F6" i="11"/>
  <c r="G6" i="11"/>
  <c r="C7" i="11"/>
  <c r="D7" i="11"/>
  <c r="E7" i="11"/>
  <c r="F7" i="11"/>
  <c r="G7" i="11"/>
  <c r="C8" i="11"/>
  <c r="D8" i="11"/>
  <c r="E8" i="11"/>
  <c r="F8" i="11"/>
  <c r="G8" i="11"/>
  <c r="C9" i="11"/>
  <c r="D9" i="11"/>
  <c r="E9" i="11"/>
  <c r="F9" i="11"/>
  <c r="G9" i="11"/>
  <c r="C10" i="11"/>
  <c r="D10" i="11"/>
  <c r="E10" i="11"/>
  <c r="F10" i="11"/>
  <c r="G10" i="11"/>
  <c r="C11" i="11"/>
  <c r="D11" i="11"/>
  <c r="E11" i="11"/>
  <c r="F11" i="11"/>
  <c r="G11" i="11"/>
  <c r="C12" i="11"/>
  <c r="D12" i="11"/>
  <c r="E12" i="11"/>
  <c r="F12" i="11"/>
  <c r="G12" i="11"/>
  <c r="C13" i="11"/>
  <c r="D13" i="11"/>
  <c r="E13" i="11"/>
  <c r="F13" i="11"/>
  <c r="G13" i="11"/>
  <c r="C14" i="11"/>
  <c r="D14" i="11"/>
  <c r="E14" i="11"/>
  <c r="F14" i="11"/>
  <c r="G14" i="11"/>
  <c r="C15" i="11"/>
  <c r="D15" i="11"/>
  <c r="E15" i="11"/>
  <c r="F15" i="11"/>
  <c r="G15" i="11"/>
  <c r="C16" i="11"/>
  <c r="D16" i="11"/>
  <c r="E16" i="11"/>
  <c r="F16" i="11"/>
  <c r="G16" i="11"/>
  <c r="C17" i="11"/>
  <c r="D17" i="11"/>
  <c r="E17" i="11"/>
  <c r="F17" i="11"/>
  <c r="G17" i="11"/>
  <c r="C18" i="11"/>
  <c r="D18" i="11"/>
  <c r="E18" i="11"/>
  <c r="F18" i="11"/>
  <c r="G18" i="11"/>
  <c r="C19" i="11"/>
  <c r="D19" i="11"/>
  <c r="E19" i="11"/>
  <c r="F19" i="11"/>
  <c r="G19" i="11"/>
  <c r="C20" i="11"/>
  <c r="D20" i="11"/>
  <c r="E20" i="11"/>
  <c r="F20" i="11"/>
  <c r="G20" i="11"/>
  <c r="C21" i="11"/>
  <c r="D21" i="11"/>
  <c r="E21" i="11"/>
  <c r="F21" i="11"/>
  <c r="G21" i="11"/>
  <c r="C22" i="11"/>
  <c r="D22" i="11"/>
  <c r="E22" i="11"/>
  <c r="F22" i="11"/>
  <c r="G22" i="11"/>
  <c r="C23" i="11"/>
  <c r="D23" i="11"/>
  <c r="E23" i="11"/>
  <c r="F23" i="11"/>
  <c r="G23" i="11"/>
  <c r="C24" i="11"/>
  <c r="D24" i="11"/>
  <c r="E24" i="11"/>
  <c r="F24" i="11"/>
  <c r="G24" i="11"/>
  <c r="C25" i="11"/>
  <c r="D25" i="11"/>
  <c r="E25" i="11"/>
  <c r="F25" i="11"/>
  <c r="G25" i="11"/>
  <c r="C26" i="11"/>
  <c r="D26" i="11"/>
  <c r="E26" i="11"/>
  <c r="F26" i="11"/>
  <c r="G26" i="11"/>
  <c r="C27" i="11"/>
  <c r="D27" i="11"/>
  <c r="E27" i="11"/>
  <c r="F27" i="11"/>
  <c r="G27" i="11"/>
  <c r="C28" i="11"/>
  <c r="D28" i="11"/>
  <c r="E28" i="11"/>
  <c r="F28" i="11"/>
  <c r="G28" i="11"/>
  <c r="C29" i="11"/>
  <c r="D29" i="11"/>
  <c r="E29" i="11"/>
  <c r="F29" i="11"/>
  <c r="G29" i="11"/>
  <c r="C30" i="11"/>
  <c r="D30" i="11"/>
  <c r="E30" i="11"/>
  <c r="F30" i="11"/>
  <c r="G30" i="11"/>
  <c r="C31" i="11"/>
  <c r="D31" i="11"/>
  <c r="E31" i="11"/>
  <c r="F31" i="11"/>
  <c r="G31" i="11"/>
  <c r="C32" i="11"/>
  <c r="D32" i="11"/>
  <c r="E32" i="11"/>
  <c r="F32" i="11"/>
  <c r="G32" i="11"/>
  <c r="C33" i="11"/>
  <c r="D33" i="11"/>
  <c r="E33" i="11"/>
  <c r="F33" i="11"/>
  <c r="G33" i="11"/>
  <c r="C34" i="11"/>
  <c r="D34" i="11"/>
  <c r="E34" i="11"/>
  <c r="F34" i="11"/>
  <c r="G34" i="11"/>
  <c r="C35" i="11"/>
  <c r="D35" i="11"/>
  <c r="E35" i="11"/>
  <c r="F35" i="11"/>
  <c r="G35" i="11"/>
  <c r="C36" i="11"/>
  <c r="D36" i="11"/>
  <c r="E36" i="11"/>
  <c r="F36" i="11"/>
  <c r="G36" i="11"/>
  <c r="C37" i="11"/>
  <c r="D37" i="11"/>
  <c r="E37" i="11"/>
  <c r="F37" i="11"/>
  <c r="G37" i="11"/>
  <c r="C38" i="11"/>
  <c r="D38" i="11"/>
  <c r="E38" i="11"/>
  <c r="F38" i="11"/>
  <c r="G38" i="11"/>
  <c r="C39" i="11"/>
  <c r="D39" i="11"/>
  <c r="E39" i="11"/>
  <c r="F39" i="11"/>
  <c r="G39" i="11"/>
  <c r="C40" i="11"/>
  <c r="D40" i="11"/>
  <c r="E40" i="11"/>
  <c r="F40" i="11"/>
  <c r="G40" i="11"/>
  <c r="C41" i="11"/>
  <c r="D41" i="11"/>
  <c r="E41" i="11"/>
  <c r="F41" i="11"/>
  <c r="G41" i="11"/>
  <c r="C42" i="11"/>
  <c r="D42" i="11"/>
  <c r="E42" i="11"/>
  <c r="F42" i="11"/>
  <c r="G42" i="11"/>
  <c r="C43" i="11"/>
  <c r="D43" i="11"/>
  <c r="E43" i="11"/>
  <c r="F43" i="11"/>
  <c r="G43" i="11"/>
  <c r="C44" i="11"/>
  <c r="D44" i="11"/>
  <c r="E44" i="11"/>
  <c r="F44" i="11"/>
  <c r="G44" i="11"/>
  <c r="C45" i="11"/>
  <c r="D45" i="11"/>
  <c r="E45" i="11"/>
  <c r="F45" i="11"/>
  <c r="G45" i="11"/>
  <c r="C46" i="11"/>
  <c r="D46" i="11"/>
  <c r="E46" i="11"/>
  <c r="F46" i="11"/>
  <c r="G46" i="11"/>
  <c r="C47" i="11"/>
  <c r="D47" i="11"/>
  <c r="E47" i="11"/>
  <c r="F47" i="11"/>
  <c r="G47" i="11"/>
  <c r="C48" i="11"/>
  <c r="D48" i="11"/>
  <c r="E48" i="11"/>
  <c r="F48" i="11"/>
  <c r="G48" i="11"/>
  <c r="C49" i="11"/>
  <c r="D49" i="11"/>
  <c r="E49" i="11"/>
  <c r="F49" i="11"/>
  <c r="G49" i="11"/>
  <c r="C50" i="11"/>
  <c r="D50" i="11"/>
  <c r="E50" i="11"/>
  <c r="F50" i="11"/>
  <c r="G50" i="11"/>
  <c r="C51" i="11"/>
  <c r="D51" i="11"/>
  <c r="E51" i="11"/>
  <c r="F51" i="11"/>
  <c r="G51" i="11"/>
  <c r="C52" i="11"/>
  <c r="D52" i="11"/>
  <c r="E52" i="11"/>
  <c r="F52" i="11"/>
  <c r="G52" i="11"/>
  <c r="C53" i="11"/>
  <c r="D53" i="11"/>
  <c r="E53" i="11"/>
  <c r="F53" i="11"/>
  <c r="G53" i="11"/>
  <c r="C54" i="11"/>
  <c r="D54" i="11"/>
  <c r="E54" i="11"/>
  <c r="F54" i="11"/>
  <c r="G54" i="11"/>
  <c r="C55" i="11"/>
  <c r="D55" i="11"/>
  <c r="E55" i="11"/>
  <c r="F55" i="11"/>
  <c r="G55" i="11"/>
  <c r="C56" i="11"/>
  <c r="D56" i="11"/>
  <c r="E56" i="11"/>
  <c r="F56" i="11"/>
  <c r="G56" i="11"/>
  <c r="C57" i="11"/>
  <c r="D57" i="11"/>
  <c r="E57" i="11"/>
  <c r="F57" i="11"/>
  <c r="G57" i="11"/>
  <c r="C58" i="11"/>
  <c r="D58" i="11"/>
  <c r="E58" i="11"/>
  <c r="F58" i="11"/>
  <c r="G58" i="11"/>
  <c r="C59" i="11"/>
  <c r="D59" i="11"/>
  <c r="E59" i="11"/>
  <c r="F59" i="11"/>
  <c r="G59" i="11"/>
  <c r="C60" i="11"/>
  <c r="D60" i="11"/>
  <c r="E60" i="11"/>
  <c r="F60" i="11"/>
  <c r="G60" i="11"/>
  <c r="C61" i="11"/>
  <c r="D61" i="11"/>
  <c r="E61" i="11"/>
  <c r="F61" i="11"/>
  <c r="G61" i="11"/>
  <c r="C62" i="11"/>
  <c r="D62" i="11"/>
  <c r="E62" i="11"/>
  <c r="F62" i="11"/>
  <c r="G62" i="11"/>
  <c r="C63" i="11"/>
  <c r="D63" i="11"/>
  <c r="E63" i="11"/>
  <c r="F63" i="11"/>
  <c r="G63" i="11"/>
  <c r="C64" i="11"/>
  <c r="D64" i="11"/>
  <c r="E64" i="11"/>
  <c r="F64" i="11"/>
  <c r="G64" i="11"/>
  <c r="C65" i="11"/>
  <c r="D65" i="11"/>
  <c r="E65" i="11"/>
  <c r="F65" i="11"/>
  <c r="G65" i="11"/>
  <c r="C66" i="11"/>
  <c r="D66" i="11"/>
  <c r="E66" i="11"/>
  <c r="F66" i="11"/>
  <c r="G66" i="11"/>
  <c r="C67" i="11"/>
  <c r="D67" i="11"/>
  <c r="E67" i="11"/>
  <c r="F67" i="11"/>
  <c r="G67" i="11"/>
  <c r="C68" i="11"/>
  <c r="D68" i="11"/>
  <c r="E68" i="11"/>
  <c r="F68" i="11"/>
  <c r="G68" i="11"/>
  <c r="C69" i="11"/>
  <c r="D69" i="11"/>
  <c r="E69" i="11"/>
  <c r="F69" i="11"/>
  <c r="G69" i="11"/>
  <c r="C70" i="11"/>
  <c r="D70" i="11"/>
  <c r="E70" i="11"/>
  <c r="F70" i="11"/>
  <c r="G70" i="11"/>
  <c r="C71" i="11"/>
  <c r="D71" i="11"/>
  <c r="E71" i="11"/>
  <c r="F71" i="11"/>
  <c r="G71" i="11"/>
  <c r="C72" i="11"/>
  <c r="D72" i="11"/>
  <c r="E72" i="11"/>
  <c r="F72" i="11"/>
  <c r="G72" i="11"/>
  <c r="C73" i="11"/>
  <c r="D73" i="11"/>
  <c r="E73" i="11"/>
  <c r="F73" i="11"/>
  <c r="G73" i="11"/>
  <c r="C74" i="11"/>
  <c r="D74" i="11"/>
  <c r="E74" i="11"/>
  <c r="F74" i="11"/>
  <c r="G74" i="11"/>
  <c r="C75" i="11"/>
  <c r="D75" i="11"/>
  <c r="E75" i="11"/>
  <c r="F75" i="11"/>
  <c r="G75" i="11"/>
  <c r="C76" i="11"/>
  <c r="D76" i="11"/>
  <c r="E76" i="11"/>
  <c r="F76" i="11"/>
  <c r="G76" i="11"/>
  <c r="C77" i="11"/>
  <c r="D77" i="11"/>
  <c r="E77" i="11"/>
  <c r="F77" i="11"/>
  <c r="G77" i="11"/>
  <c r="C78" i="11"/>
  <c r="D78" i="11"/>
  <c r="E78" i="11"/>
  <c r="F78" i="11"/>
  <c r="G78" i="11"/>
  <c r="C79" i="11"/>
  <c r="D79" i="11"/>
  <c r="E79" i="11"/>
  <c r="F79" i="11"/>
  <c r="G79" i="11"/>
  <c r="C80" i="11"/>
  <c r="D80" i="11"/>
  <c r="E80" i="11"/>
  <c r="F80" i="11"/>
  <c r="G80" i="11"/>
  <c r="C81" i="11"/>
  <c r="D81" i="11"/>
  <c r="E81" i="11"/>
  <c r="F81" i="11"/>
  <c r="G81" i="11"/>
  <c r="C82" i="11"/>
  <c r="D82" i="11"/>
  <c r="E82" i="11"/>
  <c r="F82" i="11"/>
  <c r="G82" i="11"/>
  <c r="C83" i="11"/>
  <c r="D83" i="11"/>
  <c r="E83" i="11"/>
  <c r="F83" i="11"/>
  <c r="G83" i="11"/>
  <c r="C84" i="11"/>
  <c r="D84" i="11"/>
  <c r="E84" i="11"/>
  <c r="F84" i="11"/>
  <c r="G84" i="11"/>
  <c r="C85" i="11"/>
  <c r="D85" i="11"/>
  <c r="E85" i="11"/>
  <c r="F85" i="11"/>
  <c r="G85" i="11"/>
  <c r="C86" i="11"/>
  <c r="D86" i="11"/>
  <c r="E86" i="11"/>
  <c r="F86" i="11"/>
  <c r="G86" i="11"/>
  <c r="C87" i="11"/>
  <c r="D87" i="11"/>
  <c r="E87" i="11"/>
  <c r="F87" i="11"/>
  <c r="G87" i="11"/>
  <c r="C88" i="11"/>
  <c r="D88" i="11"/>
  <c r="E88" i="11"/>
  <c r="F88" i="11"/>
  <c r="G88" i="11"/>
  <c r="C89" i="11"/>
  <c r="D89" i="11"/>
  <c r="E89" i="11"/>
  <c r="F89" i="11"/>
  <c r="G89" i="11"/>
  <c r="C90" i="11"/>
  <c r="D90" i="11"/>
  <c r="E90" i="11"/>
  <c r="F90" i="11"/>
  <c r="G90" i="11"/>
  <c r="C91" i="11"/>
  <c r="D91" i="11"/>
  <c r="E91" i="11"/>
  <c r="F91" i="11"/>
  <c r="G91" i="11"/>
  <c r="C92" i="11"/>
  <c r="D92" i="11"/>
  <c r="E92" i="11"/>
  <c r="F92" i="11"/>
  <c r="G92" i="11"/>
  <c r="C93" i="11"/>
  <c r="D93" i="11"/>
  <c r="E93" i="11"/>
  <c r="F93" i="11"/>
  <c r="G93" i="11"/>
  <c r="C94" i="11"/>
  <c r="D94" i="11"/>
  <c r="E94" i="11"/>
  <c r="F94" i="11"/>
  <c r="G94" i="11"/>
  <c r="C95" i="11"/>
  <c r="D95" i="11"/>
  <c r="E95" i="11"/>
  <c r="F95" i="11"/>
  <c r="G95" i="11"/>
  <c r="C96" i="11"/>
  <c r="D96" i="11"/>
  <c r="E96" i="11"/>
  <c r="F96" i="11"/>
  <c r="G96" i="11"/>
  <c r="C97" i="11"/>
  <c r="D97" i="11"/>
  <c r="E97" i="11"/>
  <c r="F97" i="11"/>
  <c r="G97" i="11"/>
  <c r="C98" i="11"/>
  <c r="D98" i="11"/>
  <c r="E98" i="11"/>
  <c r="F98" i="11"/>
  <c r="G98" i="11"/>
  <c r="C99" i="11"/>
  <c r="D99" i="11"/>
  <c r="E99" i="11"/>
  <c r="F99" i="11"/>
  <c r="G99" i="11"/>
  <c r="C100" i="11"/>
  <c r="D100" i="11"/>
  <c r="E100" i="11"/>
  <c r="F100" i="11"/>
  <c r="G100" i="11"/>
  <c r="C101" i="11"/>
  <c r="D101" i="11"/>
  <c r="E101" i="11"/>
  <c r="F101" i="11"/>
  <c r="G101" i="11"/>
  <c r="C102" i="11"/>
  <c r="D102" i="11"/>
  <c r="E102" i="11"/>
  <c r="F102" i="11"/>
  <c r="G102" i="11"/>
  <c r="C103" i="11"/>
  <c r="D103" i="11"/>
  <c r="E103" i="11"/>
  <c r="F103" i="11"/>
  <c r="G103" i="11"/>
  <c r="C104" i="11"/>
  <c r="D104" i="11"/>
  <c r="E104" i="11"/>
  <c r="F104" i="11"/>
  <c r="G104" i="11"/>
  <c r="C105" i="11"/>
  <c r="D105" i="11"/>
  <c r="E105" i="11"/>
  <c r="F105" i="11"/>
  <c r="G105" i="11"/>
  <c r="C106" i="11"/>
  <c r="D106" i="11"/>
  <c r="E106" i="11"/>
  <c r="F106" i="11"/>
  <c r="G106" i="11"/>
  <c r="C107" i="11"/>
  <c r="D107" i="11"/>
  <c r="E107" i="11"/>
  <c r="F107" i="11"/>
  <c r="G107" i="11"/>
  <c r="C108" i="11"/>
  <c r="D108" i="11"/>
  <c r="E108" i="11"/>
  <c r="F108" i="11"/>
  <c r="G108" i="11"/>
  <c r="C109" i="11"/>
  <c r="D109" i="11"/>
  <c r="E109" i="11"/>
  <c r="F109" i="11"/>
  <c r="G109" i="11"/>
  <c r="C110" i="11"/>
  <c r="D110" i="11"/>
  <c r="E110" i="11"/>
  <c r="F110" i="11"/>
  <c r="G110" i="11"/>
  <c r="C111" i="11"/>
  <c r="D111" i="11"/>
  <c r="E111" i="11"/>
  <c r="F111" i="11"/>
  <c r="G111" i="11"/>
  <c r="C112" i="11"/>
  <c r="D112" i="11"/>
  <c r="E112" i="11"/>
  <c r="F112" i="11"/>
  <c r="G112" i="11"/>
  <c r="C113" i="11"/>
  <c r="D113" i="11"/>
  <c r="E113" i="11"/>
  <c r="F113" i="11"/>
  <c r="G113" i="11"/>
  <c r="C114" i="11"/>
  <c r="D114" i="11"/>
  <c r="E114" i="11"/>
  <c r="F114" i="11"/>
  <c r="G114" i="11"/>
  <c r="C115" i="11"/>
  <c r="D115" i="11"/>
  <c r="E115" i="11"/>
  <c r="F115" i="11"/>
  <c r="G115" i="11"/>
  <c r="C116" i="11"/>
  <c r="D116" i="11"/>
  <c r="E116" i="11"/>
  <c r="F116" i="11"/>
  <c r="G116" i="11"/>
  <c r="C117" i="11"/>
  <c r="D117" i="11"/>
  <c r="E117" i="11"/>
  <c r="F117" i="11"/>
  <c r="G117" i="11"/>
  <c r="C118" i="11"/>
  <c r="D118" i="11"/>
  <c r="E118" i="11"/>
  <c r="F118" i="11"/>
  <c r="G118" i="11"/>
  <c r="C119" i="11"/>
  <c r="D119" i="11"/>
  <c r="E119" i="11"/>
  <c r="F119" i="11"/>
  <c r="G119" i="11"/>
  <c r="C120" i="11"/>
  <c r="D120" i="11"/>
  <c r="E120" i="11"/>
  <c r="F120" i="11"/>
  <c r="G120" i="11"/>
  <c r="C121" i="11"/>
  <c r="D121" i="11"/>
  <c r="E121" i="11"/>
  <c r="F121" i="11"/>
  <c r="G121" i="11"/>
  <c r="C122" i="11"/>
  <c r="D122" i="11"/>
  <c r="E122" i="11"/>
  <c r="F122" i="11"/>
  <c r="G122" i="11"/>
  <c r="C123" i="11"/>
  <c r="D123" i="11"/>
  <c r="E123" i="11"/>
  <c r="F123" i="11"/>
  <c r="G123" i="11"/>
  <c r="C124" i="11"/>
  <c r="D124" i="11"/>
  <c r="E124" i="11"/>
  <c r="F124" i="11"/>
  <c r="G124" i="11"/>
  <c r="C125" i="11"/>
  <c r="D125" i="11"/>
  <c r="E125" i="11"/>
  <c r="F125" i="11"/>
  <c r="G125" i="11"/>
  <c r="C126" i="11"/>
  <c r="D126" i="11"/>
  <c r="E126" i="11"/>
  <c r="F126" i="11"/>
  <c r="G126" i="11"/>
  <c r="C127" i="11"/>
  <c r="D127" i="11"/>
  <c r="E127" i="11"/>
  <c r="F127" i="11"/>
  <c r="G127" i="11"/>
  <c r="C128" i="11"/>
  <c r="D128" i="11"/>
  <c r="E128" i="11"/>
  <c r="F128" i="11"/>
  <c r="G128" i="11"/>
  <c r="C129" i="11"/>
  <c r="D129" i="11"/>
  <c r="E129" i="11"/>
  <c r="F129" i="11"/>
  <c r="G129" i="11"/>
  <c r="C130" i="11"/>
  <c r="D130" i="11"/>
  <c r="E130" i="11"/>
  <c r="F130" i="11"/>
  <c r="G130" i="11"/>
  <c r="C131" i="11"/>
  <c r="D131" i="11"/>
  <c r="E131" i="11"/>
  <c r="F131" i="11"/>
  <c r="G131" i="11"/>
  <c r="C132" i="11"/>
  <c r="D132" i="11"/>
  <c r="E132" i="11"/>
  <c r="F132" i="11"/>
  <c r="G132" i="11"/>
  <c r="C133" i="11"/>
  <c r="D133" i="11"/>
  <c r="E133" i="11"/>
  <c r="F133" i="11"/>
  <c r="G133" i="11"/>
  <c r="C134" i="11"/>
  <c r="D134" i="11"/>
  <c r="E134" i="11"/>
  <c r="F134" i="11"/>
  <c r="G134" i="11"/>
  <c r="C135" i="11"/>
  <c r="D135" i="11"/>
  <c r="E135" i="11"/>
  <c r="F135" i="11"/>
  <c r="G135" i="11"/>
  <c r="C136" i="11"/>
  <c r="D136" i="11"/>
  <c r="E136" i="11"/>
  <c r="F136" i="11"/>
  <c r="G136" i="11"/>
  <c r="C137" i="11"/>
  <c r="D137" i="11"/>
  <c r="E137" i="11"/>
  <c r="F137" i="11"/>
  <c r="G137" i="11"/>
  <c r="C138" i="11"/>
  <c r="D138" i="11"/>
  <c r="E138" i="11"/>
  <c r="F138" i="11"/>
  <c r="G138" i="11"/>
  <c r="C139" i="11"/>
  <c r="D139" i="11"/>
  <c r="E139" i="11"/>
  <c r="F139" i="11"/>
  <c r="G139" i="11"/>
  <c r="C140" i="11"/>
  <c r="D140" i="11"/>
  <c r="E140" i="11"/>
  <c r="F140" i="11"/>
  <c r="G140" i="11"/>
  <c r="C141" i="11"/>
  <c r="D141" i="11"/>
  <c r="E141" i="11"/>
  <c r="F141" i="11"/>
  <c r="G141" i="11"/>
  <c r="C142" i="11"/>
  <c r="D142" i="11"/>
  <c r="E142" i="11"/>
  <c r="F142" i="11"/>
  <c r="G142" i="11"/>
  <c r="C143" i="11"/>
  <c r="D143" i="11"/>
  <c r="E143" i="11"/>
  <c r="F143" i="11"/>
  <c r="G143" i="11"/>
  <c r="C144" i="11"/>
  <c r="D144" i="11"/>
  <c r="E144" i="11"/>
  <c r="F144" i="11"/>
  <c r="G144" i="11"/>
  <c r="C145" i="11"/>
  <c r="D145" i="11"/>
  <c r="E145" i="11"/>
  <c r="F145" i="11"/>
  <c r="G145" i="11"/>
  <c r="C146" i="11"/>
  <c r="D146" i="11"/>
  <c r="E146" i="11"/>
  <c r="F146" i="11"/>
  <c r="G146" i="11"/>
  <c r="C147" i="11"/>
  <c r="D147" i="11"/>
  <c r="E147" i="11"/>
  <c r="F147" i="11"/>
  <c r="G147" i="11"/>
  <c r="C148" i="11"/>
  <c r="D148" i="11"/>
  <c r="E148" i="11"/>
  <c r="F148" i="11"/>
  <c r="G148" i="11"/>
  <c r="C149" i="11"/>
  <c r="D149" i="11"/>
  <c r="E149" i="11"/>
  <c r="F149" i="11"/>
  <c r="G149" i="11"/>
  <c r="C150" i="11"/>
  <c r="D150" i="11"/>
  <c r="E150" i="11"/>
  <c r="F150" i="11"/>
  <c r="G150" i="11"/>
  <c r="C151" i="11"/>
  <c r="D151" i="11"/>
  <c r="E151" i="11"/>
  <c r="F151" i="11"/>
  <c r="G151" i="11"/>
  <c r="C152" i="11"/>
  <c r="D152" i="11"/>
  <c r="E152" i="11"/>
  <c r="F152" i="11"/>
  <c r="G152" i="11"/>
  <c r="C153" i="11"/>
  <c r="D153" i="11"/>
  <c r="E153" i="11"/>
  <c r="F153" i="11"/>
  <c r="G153" i="11"/>
  <c r="C154" i="11"/>
  <c r="D154" i="11"/>
  <c r="E154" i="11"/>
  <c r="F154" i="11"/>
  <c r="G154" i="11"/>
  <c r="C155" i="11"/>
  <c r="D155" i="11"/>
  <c r="E155" i="11"/>
  <c r="F155" i="11"/>
  <c r="G155" i="11"/>
  <c r="C156" i="11"/>
  <c r="D156" i="11"/>
  <c r="E156" i="11"/>
  <c r="F156" i="11"/>
  <c r="G156" i="11"/>
  <c r="C157" i="11"/>
  <c r="D157" i="11"/>
  <c r="E157" i="11"/>
  <c r="F157" i="11"/>
  <c r="G157" i="11"/>
  <c r="C158" i="11"/>
  <c r="D158" i="11"/>
  <c r="E158" i="11"/>
  <c r="F158" i="11"/>
  <c r="G158" i="11"/>
  <c r="C159" i="11"/>
  <c r="D159" i="11"/>
  <c r="E159" i="11"/>
  <c r="F159" i="11"/>
  <c r="G159" i="11"/>
  <c r="C160" i="11"/>
  <c r="D160" i="11"/>
  <c r="E160" i="11"/>
  <c r="F160" i="11"/>
  <c r="G160" i="11"/>
  <c r="C161" i="11"/>
  <c r="D161" i="11"/>
  <c r="E161" i="11"/>
  <c r="F161" i="11"/>
  <c r="G161" i="11"/>
  <c r="C162" i="11"/>
  <c r="D162" i="11"/>
  <c r="E162" i="11"/>
  <c r="F162" i="11"/>
  <c r="G162" i="11"/>
  <c r="C163" i="11"/>
  <c r="D163" i="11"/>
  <c r="E163" i="11"/>
  <c r="F163" i="11"/>
  <c r="G163" i="11"/>
  <c r="C164" i="11"/>
  <c r="D164" i="11"/>
  <c r="E164" i="11"/>
  <c r="F164" i="11"/>
  <c r="G164" i="11"/>
  <c r="C165" i="11"/>
  <c r="D165" i="11"/>
  <c r="E165" i="11"/>
  <c r="F165" i="11"/>
  <c r="G165" i="11"/>
  <c r="C166" i="11"/>
  <c r="D166" i="11"/>
  <c r="E166" i="11"/>
  <c r="F166" i="11"/>
  <c r="G166" i="11"/>
  <c r="C167" i="11"/>
  <c r="D167" i="11"/>
  <c r="E167" i="11"/>
  <c r="F167" i="11"/>
  <c r="G167" i="11"/>
  <c r="C168" i="11"/>
  <c r="D168" i="11"/>
  <c r="E168" i="11"/>
  <c r="F168" i="11"/>
  <c r="G168" i="11"/>
  <c r="C169" i="11"/>
  <c r="D169" i="11"/>
  <c r="E169" i="11"/>
  <c r="F169" i="11"/>
  <c r="G169" i="11"/>
  <c r="C170" i="11"/>
  <c r="D170" i="11"/>
  <c r="E170" i="11"/>
  <c r="F170" i="11"/>
  <c r="G170" i="11"/>
  <c r="C171" i="11"/>
  <c r="D171" i="11"/>
  <c r="E171" i="11"/>
  <c r="F171" i="11"/>
  <c r="G171" i="11"/>
  <c r="C172" i="11"/>
  <c r="D172" i="11"/>
  <c r="E172" i="11"/>
  <c r="F172" i="11"/>
  <c r="G172" i="11"/>
  <c r="C173" i="11"/>
  <c r="D173" i="11"/>
  <c r="E173" i="11"/>
  <c r="F173" i="11"/>
  <c r="G173" i="11"/>
  <c r="C174" i="11"/>
  <c r="D174" i="11"/>
  <c r="E174" i="11"/>
  <c r="F174" i="11"/>
  <c r="G174" i="11"/>
  <c r="C175" i="11"/>
  <c r="D175" i="11"/>
  <c r="E175" i="11"/>
  <c r="F175" i="11"/>
  <c r="G175" i="11"/>
  <c r="C176" i="11"/>
  <c r="D176" i="11"/>
  <c r="E176" i="11"/>
  <c r="F176" i="11"/>
  <c r="G176" i="11"/>
  <c r="C177" i="11"/>
  <c r="D177" i="11"/>
  <c r="E177" i="11"/>
  <c r="F177" i="11"/>
  <c r="G177" i="11"/>
  <c r="C178" i="11"/>
  <c r="D178" i="11"/>
  <c r="E178" i="11"/>
  <c r="F178" i="11"/>
  <c r="G178" i="11"/>
  <c r="C179" i="11"/>
  <c r="D179" i="11"/>
  <c r="E179" i="11"/>
  <c r="F179" i="11"/>
  <c r="G179" i="11"/>
  <c r="C180" i="11"/>
  <c r="D180" i="11"/>
  <c r="E180" i="11"/>
  <c r="F180" i="11"/>
  <c r="G180" i="11"/>
  <c r="C181" i="11"/>
  <c r="D181" i="11"/>
  <c r="E181" i="11"/>
  <c r="F181" i="11"/>
  <c r="G181" i="11"/>
  <c r="C182" i="11"/>
  <c r="D182" i="11"/>
  <c r="E182" i="11"/>
  <c r="F182" i="11"/>
  <c r="G182" i="11"/>
  <c r="C183" i="11"/>
  <c r="D183" i="11"/>
  <c r="E183" i="11"/>
  <c r="F183" i="11"/>
  <c r="G183" i="11"/>
  <c r="C184" i="11"/>
  <c r="D184" i="11"/>
  <c r="E184" i="11"/>
  <c r="F184" i="11"/>
  <c r="G184" i="11"/>
  <c r="C185" i="11"/>
  <c r="D185" i="11"/>
  <c r="E185" i="11"/>
  <c r="F185" i="11"/>
  <c r="G185" i="11"/>
  <c r="C186" i="11"/>
  <c r="D186" i="11"/>
  <c r="E186" i="11"/>
  <c r="F186" i="11"/>
  <c r="G186" i="11"/>
  <c r="C187" i="11"/>
  <c r="D187" i="11"/>
  <c r="E187" i="11"/>
  <c r="F187" i="11"/>
  <c r="G187" i="11"/>
  <c r="C188" i="11"/>
  <c r="D188" i="11"/>
  <c r="E188" i="11"/>
  <c r="F188" i="11"/>
  <c r="G188" i="11"/>
  <c r="C189" i="11"/>
  <c r="D189" i="11"/>
  <c r="E189" i="11"/>
  <c r="F189" i="11"/>
  <c r="G189" i="11"/>
  <c r="C190" i="11"/>
  <c r="D190" i="11"/>
  <c r="E190" i="11"/>
  <c r="F190" i="11"/>
  <c r="G190" i="11"/>
  <c r="C191" i="11"/>
  <c r="D191" i="11"/>
  <c r="E191" i="11"/>
  <c r="F191" i="11"/>
  <c r="G191" i="11"/>
  <c r="C192" i="11"/>
  <c r="D192" i="11"/>
  <c r="E192" i="11"/>
  <c r="F192" i="11"/>
  <c r="G192" i="11"/>
  <c r="C193" i="11"/>
  <c r="D193" i="11"/>
  <c r="E193" i="11"/>
  <c r="F193" i="11"/>
  <c r="G193" i="11"/>
  <c r="C194" i="11"/>
  <c r="D194" i="11"/>
  <c r="E194" i="11"/>
  <c r="F194" i="11"/>
  <c r="G194" i="11"/>
  <c r="C195" i="11"/>
  <c r="D195" i="11"/>
  <c r="E195" i="11"/>
  <c r="F195" i="11"/>
  <c r="G195" i="11"/>
  <c r="C196" i="11"/>
  <c r="D196" i="11"/>
  <c r="E196" i="11"/>
  <c r="F196" i="11"/>
  <c r="G196" i="11"/>
  <c r="C197" i="11"/>
  <c r="D197" i="11"/>
  <c r="E197" i="11"/>
  <c r="F197" i="11"/>
  <c r="G197" i="11"/>
  <c r="C198" i="11"/>
  <c r="D198" i="11"/>
  <c r="E198" i="11"/>
  <c r="F198" i="11"/>
  <c r="G198" i="11"/>
  <c r="C199" i="11"/>
  <c r="D199" i="11"/>
  <c r="E199" i="11"/>
  <c r="F199" i="11"/>
  <c r="G199" i="11"/>
  <c r="C200" i="11"/>
  <c r="D200" i="11"/>
  <c r="E200" i="11"/>
  <c r="F200" i="11"/>
  <c r="G200" i="11"/>
  <c r="C201" i="11"/>
  <c r="D201" i="11"/>
  <c r="E201" i="11"/>
  <c r="F201" i="11"/>
  <c r="G201" i="11"/>
  <c r="C202" i="11"/>
  <c r="D202" i="11"/>
  <c r="E202" i="11"/>
  <c r="F202" i="11"/>
  <c r="G202" i="11"/>
  <c r="C203" i="11"/>
  <c r="D203" i="11"/>
  <c r="E203" i="11"/>
  <c r="F203" i="11"/>
  <c r="G203" i="11"/>
  <c r="C204" i="11"/>
  <c r="D204" i="11"/>
  <c r="E204" i="11"/>
  <c r="F204" i="11"/>
  <c r="G204" i="11"/>
  <c r="C205" i="11"/>
  <c r="D205" i="11"/>
  <c r="E205" i="11"/>
  <c r="F205" i="11"/>
  <c r="G205" i="11"/>
  <c r="C206" i="11"/>
  <c r="D206" i="11"/>
  <c r="E206" i="11"/>
  <c r="F206" i="11"/>
  <c r="G206" i="11"/>
  <c r="C207" i="11"/>
  <c r="D207" i="11"/>
  <c r="E207" i="11"/>
  <c r="F207" i="11"/>
  <c r="G207" i="11"/>
  <c r="C208" i="11"/>
  <c r="D208" i="11"/>
  <c r="E208" i="11"/>
  <c r="F208" i="11"/>
  <c r="G208" i="11"/>
  <c r="C209" i="11"/>
  <c r="D209" i="11"/>
  <c r="E209" i="11"/>
  <c r="F209" i="11"/>
  <c r="G209" i="11"/>
  <c r="C210" i="11"/>
  <c r="D210" i="11"/>
  <c r="E210" i="11"/>
  <c r="F210" i="11"/>
  <c r="G210" i="11"/>
  <c r="C211" i="11"/>
  <c r="D211" i="11"/>
  <c r="E211" i="11"/>
  <c r="F211" i="11"/>
  <c r="G211" i="11"/>
  <c r="C212" i="11"/>
  <c r="D212" i="11"/>
  <c r="E212" i="11"/>
  <c r="F212" i="11"/>
  <c r="G212" i="11"/>
  <c r="C213" i="11"/>
  <c r="D213" i="11"/>
  <c r="E213" i="11"/>
  <c r="F213" i="11"/>
  <c r="G213" i="11"/>
  <c r="C214" i="11"/>
  <c r="D214" i="11"/>
  <c r="E214" i="11"/>
  <c r="F214" i="11"/>
  <c r="G214" i="11"/>
  <c r="C215" i="11"/>
  <c r="D215" i="11"/>
  <c r="E215" i="11"/>
  <c r="F215" i="11"/>
  <c r="G215" i="11"/>
  <c r="C216" i="11"/>
  <c r="D216" i="11"/>
  <c r="E216" i="11"/>
  <c r="F216" i="11"/>
  <c r="G216" i="11"/>
  <c r="C217" i="11"/>
  <c r="D217" i="11"/>
  <c r="E217" i="11"/>
  <c r="F217" i="11"/>
  <c r="G217" i="11"/>
  <c r="C218" i="11"/>
  <c r="D218" i="11"/>
  <c r="E218" i="11"/>
  <c r="F218" i="11"/>
  <c r="G218" i="11"/>
  <c r="C219" i="11"/>
  <c r="D219" i="11"/>
  <c r="E219" i="11"/>
  <c r="F219" i="11"/>
  <c r="G219" i="11"/>
  <c r="C220" i="11"/>
  <c r="D220" i="11"/>
  <c r="E220" i="11"/>
  <c r="F220" i="11"/>
  <c r="G220" i="11"/>
  <c r="C221" i="11"/>
  <c r="D221" i="11"/>
  <c r="E221" i="11"/>
  <c r="F221" i="11"/>
  <c r="G221" i="11"/>
  <c r="C222" i="11"/>
  <c r="D222" i="11"/>
  <c r="E222" i="11"/>
  <c r="F222" i="11"/>
  <c r="G222" i="11"/>
  <c r="C223" i="11"/>
  <c r="D223" i="11"/>
  <c r="E223" i="11"/>
  <c r="F223" i="11"/>
  <c r="G223" i="11"/>
  <c r="C224" i="11"/>
  <c r="D224" i="11"/>
  <c r="E224" i="11"/>
  <c r="F224" i="11"/>
  <c r="G224" i="11"/>
  <c r="C225" i="11"/>
  <c r="D225" i="11"/>
  <c r="E225" i="11"/>
  <c r="F225" i="11"/>
  <c r="G225" i="11"/>
  <c r="C226" i="11"/>
  <c r="D226" i="11"/>
  <c r="E226" i="11"/>
  <c r="F226" i="11"/>
  <c r="G226" i="11"/>
  <c r="C227" i="11"/>
  <c r="D227" i="11"/>
  <c r="E227" i="11"/>
  <c r="F227" i="11"/>
  <c r="G227" i="11"/>
  <c r="C228" i="11"/>
  <c r="D228" i="11"/>
  <c r="E228" i="11"/>
  <c r="F228" i="11"/>
  <c r="G228" i="11"/>
  <c r="C229" i="11"/>
  <c r="D229" i="11"/>
  <c r="E229" i="11"/>
  <c r="F229" i="11"/>
  <c r="G229" i="11"/>
  <c r="C230" i="11"/>
  <c r="D230" i="11"/>
  <c r="E230" i="11"/>
  <c r="F230" i="11"/>
  <c r="G230" i="11"/>
  <c r="C231" i="11"/>
  <c r="D231" i="11"/>
  <c r="E231" i="11"/>
  <c r="F231" i="11"/>
  <c r="G231" i="11"/>
  <c r="C232" i="11"/>
  <c r="D232" i="11"/>
  <c r="E232" i="11"/>
  <c r="F232" i="11"/>
  <c r="G232" i="11"/>
  <c r="C233" i="11"/>
  <c r="D233" i="11"/>
  <c r="E233" i="11"/>
  <c r="F233" i="11"/>
  <c r="G233" i="11"/>
  <c r="C234" i="11"/>
  <c r="D234" i="11"/>
  <c r="E234" i="11"/>
  <c r="F234" i="11"/>
  <c r="G234" i="11"/>
  <c r="C235" i="11"/>
  <c r="D235" i="11"/>
  <c r="E235" i="11"/>
  <c r="F235" i="11"/>
  <c r="G235" i="11"/>
  <c r="C236" i="11"/>
  <c r="D236" i="11"/>
  <c r="E236" i="11"/>
  <c r="F236" i="11"/>
  <c r="G236" i="11"/>
  <c r="C237" i="11"/>
  <c r="D237" i="11"/>
  <c r="E237" i="11"/>
  <c r="F237" i="11"/>
  <c r="G237" i="11"/>
  <c r="C238" i="11"/>
  <c r="D238" i="11"/>
  <c r="E238" i="11"/>
  <c r="F238" i="11"/>
  <c r="G238" i="11"/>
  <c r="C239" i="11"/>
  <c r="D239" i="11"/>
  <c r="E239" i="11"/>
  <c r="F239" i="11"/>
  <c r="G239" i="11"/>
  <c r="C240" i="11"/>
  <c r="D240" i="11"/>
  <c r="E240" i="11"/>
  <c r="F240" i="11"/>
  <c r="G240" i="11"/>
  <c r="C241" i="11"/>
  <c r="D241" i="11"/>
  <c r="E241" i="11"/>
  <c r="F241" i="11"/>
  <c r="G241" i="11"/>
  <c r="C242" i="11"/>
  <c r="D242" i="11"/>
  <c r="E242" i="11"/>
  <c r="F242" i="11"/>
  <c r="G242" i="11"/>
  <c r="C243" i="11"/>
  <c r="D243" i="11"/>
  <c r="E243" i="11"/>
  <c r="F243" i="11"/>
  <c r="G243" i="11"/>
  <c r="C244" i="11"/>
  <c r="D244" i="11"/>
  <c r="E244" i="11"/>
  <c r="F244" i="11"/>
  <c r="G244" i="11"/>
  <c r="C245" i="11"/>
  <c r="D245" i="11"/>
  <c r="E245" i="11"/>
  <c r="F245" i="11"/>
  <c r="G245" i="11"/>
  <c r="C246" i="11"/>
  <c r="D246" i="11"/>
  <c r="E246" i="11"/>
  <c r="F246" i="11"/>
  <c r="G246" i="11"/>
  <c r="C247" i="11"/>
  <c r="D247" i="11"/>
  <c r="E247" i="11"/>
  <c r="F247" i="11"/>
  <c r="G247" i="11"/>
  <c r="C248" i="11"/>
  <c r="D248" i="11"/>
  <c r="E248" i="11"/>
  <c r="F248" i="11"/>
  <c r="G248" i="11"/>
  <c r="C249" i="11"/>
  <c r="D249" i="11"/>
  <c r="E249" i="11"/>
  <c r="F249" i="11"/>
  <c r="G249" i="11"/>
  <c r="C250" i="11"/>
  <c r="D250" i="11"/>
  <c r="E250" i="11"/>
  <c r="F250" i="11"/>
  <c r="G250" i="11"/>
  <c r="C251" i="11"/>
  <c r="D251" i="11"/>
  <c r="E251" i="11"/>
  <c r="F251" i="11"/>
  <c r="G251" i="11"/>
  <c r="C252" i="11"/>
  <c r="D252" i="11"/>
  <c r="E252" i="11"/>
  <c r="F252" i="11"/>
  <c r="G252" i="11"/>
  <c r="C253" i="11"/>
  <c r="D253" i="11"/>
  <c r="E253" i="11"/>
  <c r="F253" i="11"/>
  <c r="G253" i="11"/>
  <c r="C254" i="11"/>
  <c r="D254" i="11"/>
  <c r="E254" i="11"/>
  <c r="F254" i="11"/>
  <c r="G254" i="11"/>
  <c r="C255" i="11"/>
  <c r="D255" i="11"/>
  <c r="E255" i="11"/>
  <c r="F255" i="11"/>
  <c r="G255" i="11"/>
  <c r="C256" i="11"/>
  <c r="D256" i="11"/>
  <c r="E256" i="11"/>
  <c r="F256" i="11"/>
  <c r="G256" i="11"/>
  <c r="C257" i="11"/>
  <c r="D257" i="11"/>
  <c r="E257" i="11"/>
  <c r="F257" i="11"/>
  <c r="G257" i="11"/>
  <c r="C258" i="11"/>
  <c r="D258" i="11"/>
  <c r="E258" i="11"/>
  <c r="F258" i="11"/>
  <c r="G258" i="11"/>
  <c r="C259" i="11"/>
  <c r="D259" i="11"/>
  <c r="E259" i="11"/>
  <c r="F259" i="11"/>
  <c r="G259" i="11"/>
  <c r="C260" i="11"/>
  <c r="D260" i="11"/>
  <c r="E260" i="11"/>
  <c r="F260" i="11"/>
  <c r="G260" i="11"/>
  <c r="C261" i="11"/>
  <c r="D261" i="11"/>
  <c r="E261" i="11"/>
  <c r="F261" i="11"/>
  <c r="G261" i="11"/>
  <c r="C262" i="11"/>
  <c r="D262" i="11"/>
  <c r="E262" i="11"/>
  <c r="F262" i="11"/>
  <c r="G262" i="11"/>
  <c r="C263" i="11"/>
  <c r="D263" i="11"/>
  <c r="E263" i="11"/>
  <c r="F263" i="11"/>
  <c r="G263" i="11"/>
  <c r="C264" i="11"/>
  <c r="D264" i="11"/>
  <c r="E264" i="11"/>
  <c r="F264" i="11"/>
  <c r="G264" i="11"/>
  <c r="C265" i="11"/>
  <c r="D265" i="11"/>
  <c r="E265" i="11"/>
  <c r="F265" i="11"/>
  <c r="G265" i="11"/>
  <c r="C266" i="11"/>
  <c r="D266" i="11"/>
  <c r="E266" i="11"/>
  <c r="F266" i="11"/>
  <c r="G266" i="11"/>
  <c r="C267" i="11"/>
  <c r="D267" i="11"/>
  <c r="E267" i="11"/>
  <c r="F267" i="11"/>
  <c r="G267" i="11"/>
  <c r="C268" i="11"/>
  <c r="D268" i="11"/>
  <c r="E268" i="11"/>
  <c r="F268" i="11"/>
  <c r="G268" i="11"/>
  <c r="C269" i="11"/>
  <c r="D269" i="11"/>
  <c r="E269" i="11"/>
  <c r="F269" i="11"/>
  <c r="G269" i="11"/>
  <c r="C270" i="11"/>
  <c r="D270" i="11"/>
  <c r="E270" i="11"/>
  <c r="F270" i="11"/>
  <c r="G270" i="11"/>
  <c r="C271" i="11"/>
  <c r="D271" i="11"/>
  <c r="E271" i="11"/>
  <c r="F271" i="11"/>
  <c r="G271" i="11"/>
  <c r="C272" i="11"/>
  <c r="D272" i="11"/>
  <c r="E272" i="11"/>
  <c r="F272" i="11"/>
  <c r="G272" i="11"/>
  <c r="C273" i="11"/>
  <c r="D273" i="11"/>
  <c r="E273" i="11"/>
  <c r="F273" i="11"/>
  <c r="G273" i="11"/>
  <c r="C274" i="11"/>
  <c r="D274" i="11"/>
  <c r="E274" i="11"/>
  <c r="F274" i="11"/>
  <c r="G274" i="11"/>
  <c r="C275" i="11"/>
  <c r="D275" i="11"/>
  <c r="E275" i="11"/>
  <c r="F275" i="11"/>
  <c r="G275" i="11"/>
  <c r="C276" i="11"/>
  <c r="D276" i="11"/>
  <c r="E276" i="11"/>
  <c r="F276" i="11"/>
  <c r="G276" i="11"/>
  <c r="C277" i="11"/>
  <c r="D277" i="11"/>
  <c r="E277" i="11"/>
  <c r="F277" i="11"/>
  <c r="G277" i="11"/>
  <c r="C278" i="11"/>
  <c r="D278" i="11"/>
  <c r="E278" i="11"/>
  <c r="F278" i="11"/>
  <c r="G278" i="11"/>
  <c r="C279" i="11"/>
  <c r="D279" i="11"/>
  <c r="E279" i="11"/>
  <c r="F279" i="11"/>
  <c r="G279" i="11"/>
  <c r="C280" i="11"/>
  <c r="D280" i="11"/>
  <c r="E280" i="11"/>
  <c r="F280" i="11"/>
  <c r="G280" i="11"/>
  <c r="C281" i="11"/>
  <c r="D281" i="11"/>
  <c r="E281" i="11"/>
  <c r="F281" i="11"/>
  <c r="G281" i="11"/>
  <c r="C282" i="11"/>
  <c r="D282" i="11"/>
  <c r="E282" i="11"/>
  <c r="F282" i="11"/>
  <c r="G282" i="11"/>
  <c r="C283" i="11"/>
  <c r="D283" i="11"/>
  <c r="E283" i="11"/>
  <c r="F283" i="11"/>
  <c r="G283" i="11"/>
  <c r="C284" i="11"/>
  <c r="D284" i="11"/>
  <c r="E284" i="11"/>
  <c r="F284" i="11"/>
  <c r="G284" i="11"/>
  <c r="C285" i="11"/>
  <c r="D285" i="11"/>
  <c r="E285" i="11"/>
  <c r="F285" i="11"/>
  <c r="G285" i="11"/>
  <c r="C286" i="11"/>
  <c r="D286" i="11"/>
  <c r="E286" i="11"/>
  <c r="F286" i="11"/>
  <c r="G286" i="11"/>
  <c r="C287" i="11"/>
  <c r="D287" i="11"/>
  <c r="E287" i="11"/>
  <c r="F287" i="11"/>
  <c r="G287" i="11"/>
  <c r="C288" i="11"/>
  <c r="D288" i="11"/>
  <c r="E288" i="11"/>
  <c r="F288" i="11"/>
  <c r="G288" i="11"/>
  <c r="C289" i="11"/>
  <c r="D289" i="11"/>
  <c r="E289" i="11"/>
  <c r="F289" i="11"/>
  <c r="G289" i="11"/>
  <c r="C290" i="11"/>
  <c r="D290" i="11"/>
  <c r="E290" i="11"/>
  <c r="F290" i="11"/>
  <c r="G290" i="11"/>
  <c r="C291" i="11"/>
  <c r="D291" i="11"/>
  <c r="E291" i="11"/>
  <c r="F291" i="11"/>
  <c r="G291" i="11"/>
  <c r="C292" i="11"/>
  <c r="D292" i="11"/>
  <c r="E292" i="11"/>
  <c r="F292" i="11"/>
  <c r="G292" i="11"/>
  <c r="C293" i="11"/>
  <c r="D293" i="11"/>
  <c r="E293" i="11"/>
  <c r="F293" i="11"/>
  <c r="G293" i="11"/>
  <c r="C294" i="11"/>
  <c r="D294" i="11"/>
  <c r="E294" i="11"/>
  <c r="F294" i="11"/>
  <c r="G294" i="11"/>
  <c r="C295" i="11"/>
  <c r="D295" i="11"/>
  <c r="E295" i="11"/>
  <c r="F295" i="11"/>
  <c r="G295" i="11"/>
  <c r="C296" i="11"/>
  <c r="D296" i="11"/>
  <c r="E296" i="11"/>
  <c r="F296" i="11"/>
  <c r="G296" i="11"/>
  <c r="C297" i="11"/>
  <c r="D297" i="11"/>
  <c r="E297" i="11"/>
  <c r="F297" i="11"/>
  <c r="G297" i="11"/>
  <c r="C298" i="11"/>
  <c r="D298" i="11"/>
  <c r="E298" i="11"/>
  <c r="F298" i="11"/>
  <c r="G298" i="11"/>
  <c r="C299" i="11"/>
  <c r="D299" i="11"/>
  <c r="E299" i="11"/>
  <c r="F299" i="11"/>
  <c r="G299" i="11"/>
  <c r="C300" i="11"/>
  <c r="D300" i="11"/>
  <c r="E300" i="11"/>
  <c r="F300" i="11"/>
  <c r="G300" i="11"/>
  <c r="C301" i="11"/>
  <c r="D301" i="11"/>
  <c r="E301" i="11"/>
  <c r="F301" i="11"/>
  <c r="G301" i="11"/>
  <c r="C302" i="11"/>
  <c r="D302" i="11"/>
  <c r="E302" i="11"/>
  <c r="F302" i="11"/>
  <c r="G302" i="11"/>
  <c r="C303" i="11"/>
  <c r="D303" i="11"/>
  <c r="E303" i="11"/>
  <c r="F303" i="11"/>
  <c r="G303" i="11"/>
  <c r="C304" i="11"/>
  <c r="D304" i="11"/>
  <c r="E304" i="11"/>
  <c r="F304" i="11"/>
  <c r="G304" i="11"/>
  <c r="C305" i="11"/>
  <c r="D305" i="11"/>
  <c r="E305" i="11"/>
  <c r="F305" i="11"/>
  <c r="G305" i="11"/>
  <c r="C306" i="11"/>
  <c r="D306" i="11"/>
  <c r="E306" i="11"/>
  <c r="F306" i="11"/>
  <c r="G306" i="11"/>
  <c r="C307" i="11"/>
  <c r="D307" i="11"/>
  <c r="E307" i="11"/>
  <c r="F307" i="11"/>
  <c r="G307" i="11"/>
  <c r="C308" i="11"/>
  <c r="D308" i="11"/>
  <c r="E308" i="11"/>
  <c r="F308" i="11"/>
  <c r="G308" i="11"/>
  <c r="C309" i="11"/>
  <c r="D309" i="11"/>
  <c r="E309" i="11"/>
  <c r="F309" i="11"/>
  <c r="G309" i="11"/>
  <c r="C310" i="11"/>
  <c r="D310" i="11"/>
  <c r="E310" i="11"/>
  <c r="F310" i="11"/>
  <c r="G310" i="11"/>
  <c r="C311" i="11"/>
  <c r="D311" i="11"/>
  <c r="E311" i="11"/>
  <c r="F311" i="11"/>
  <c r="G311" i="11"/>
  <c r="C312" i="11"/>
  <c r="D312" i="11"/>
  <c r="E312" i="11"/>
  <c r="F312" i="11"/>
  <c r="G312" i="11"/>
  <c r="C313" i="11"/>
  <c r="D313" i="11"/>
  <c r="E313" i="11"/>
  <c r="F313" i="11"/>
  <c r="G313" i="11"/>
  <c r="C314" i="11"/>
  <c r="D314" i="11"/>
  <c r="E314" i="11"/>
  <c r="F314" i="11"/>
  <c r="G314" i="11"/>
  <c r="C315" i="11"/>
  <c r="D315" i="11"/>
  <c r="E315" i="11"/>
  <c r="F315" i="11"/>
  <c r="G315" i="11"/>
  <c r="C316" i="11"/>
  <c r="D316" i="11"/>
  <c r="E316" i="11"/>
  <c r="F316" i="11"/>
  <c r="G316" i="11"/>
  <c r="C317" i="11"/>
  <c r="D317" i="11"/>
  <c r="E317" i="11"/>
  <c r="F317" i="11"/>
  <c r="G317" i="11"/>
  <c r="C318" i="11"/>
  <c r="D318" i="11"/>
  <c r="E318" i="11"/>
  <c r="F318" i="11"/>
  <c r="G318" i="11"/>
  <c r="C319" i="11"/>
  <c r="D319" i="11"/>
  <c r="E319" i="11"/>
  <c r="F319" i="11"/>
  <c r="G319" i="11"/>
  <c r="C320" i="11"/>
  <c r="D320" i="11"/>
  <c r="E320" i="11"/>
  <c r="F320" i="11"/>
  <c r="G320" i="11"/>
  <c r="C321" i="11"/>
  <c r="D321" i="11"/>
  <c r="E321" i="11"/>
  <c r="F321" i="11"/>
  <c r="G321" i="11"/>
  <c r="C322" i="11"/>
  <c r="D322" i="11"/>
  <c r="E322" i="11"/>
  <c r="F322" i="11"/>
  <c r="G322" i="11"/>
  <c r="C323" i="11"/>
  <c r="D323" i="11"/>
  <c r="E323" i="11"/>
  <c r="F323" i="11"/>
  <c r="G323" i="11"/>
  <c r="C324" i="11"/>
  <c r="D324" i="11"/>
  <c r="E324" i="11"/>
  <c r="F324" i="11"/>
  <c r="G324" i="11"/>
  <c r="C325" i="11"/>
  <c r="D325" i="11"/>
  <c r="E325" i="11"/>
  <c r="F325" i="11"/>
  <c r="G325" i="11"/>
  <c r="C326" i="11"/>
  <c r="D326" i="11"/>
  <c r="E326" i="11"/>
  <c r="F326" i="11"/>
  <c r="G326" i="11"/>
  <c r="C327" i="11"/>
  <c r="D327" i="11"/>
  <c r="E327" i="11"/>
  <c r="F327" i="11"/>
  <c r="G327" i="11"/>
  <c r="C328" i="11"/>
  <c r="D328" i="11"/>
  <c r="E328" i="11"/>
  <c r="F328" i="11"/>
  <c r="G328" i="11"/>
  <c r="C329" i="11"/>
  <c r="D329" i="11"/>
  <c r="E329" i="11"/>
  <c r="F329" i="11"/>
  <c r="G329" i="11"/>
  <c r="C330" i="11"/>
  <c r="D330" i="11"/>
  <c r="E330" i="11"/>
  <c r="F330" i="11"/>
  <c r="G330" i="11"/>
  <c r="C331" i="11"/>
  <c r="D331" i="11"/>
  <c r="E331" i="11"/>
  <c r="F331" i="11"/>
  <c r="G331" i="11"/>
  <c r="C332" i="11"/>
  <c r="D332" i="11"/>
  <c r="E332" i="11"/>
  <c r="F332" i="11"/>
  <c r="G332" i="11"/>
  <c r="C333" i="11"/>
  <c r="D333" i="11"/>
  <c r="E333" i="11"/>
  <c r="F333" i="11"/>
  <c r="G333" i="11"/>
  <c r="C334" i="11"/>
  <c r="D334" i="11"/>
  <c r="E334" i="11"/>
  <c r="F334" i="11"/>
  <c r="G334" i="11"/>
  <c r="C335" i="11"/>
  <c r="D335" i="11"/>
  <c r="E335" i="11"/>
  <c r="F335" i="11"/>
  <c r="G335" i="11"/>
  <c r="C336" i="11"/>
  <c r="D336" i="11"/>
  <c r="E336" i="11"/>
  <c r="F336" i="11"/>
  <c r="G336" i="11"/>
  <c r="C337" i="11"/>
  <c r="D337" i="11"/>
  <c r="E337" i="11"/>
  <c r="F337" i="11"/>
  <c r="G337" i="11"/>
  <c r="C338" i="11"/>
  <c r="D338" i="11"/>
  <c r="E338" i="11"/>
  <c r="F338" i="11"/>
  <c r="G338" i="11"/>
  <c r="C339" i="11"/>
  <c r="D339" i="11"/>
  <c r="E339" i="11"/>
  <c r="F339" i="11"/>
  <c r="G339" i="11"/>
  <c r="C340" i="11"/>
  <c r="D340" i="11"/>
  <c r="E340" i="11"/>
  <c r="F340" i="11"/>
  <c r="G340" i="11"/>
  <c r="C341" i="11"/>
  <c r="D341" i="11"/>
  <c r="E341" i="11"/>
  <c r="F341" i="11"/>
  <c r="G341" i="11"/>
  <c r="C342" i="11"/>
  <c r="D342" i="11"/>
  <c r="E342" i="11"/>
  <c r="F342" i="11"/>
  <c r="G342" i="11"/>
  <c r="C343" i="11"/>
  <c r="D343" i="11"/>
  <c r="E343" i="11"/>
  <c r="F343" i="11"/>
  <c r="G343" i="11"/>
  <c r="C344" i="11"/>
  <c r="D344" i="11"/>
  <c r="E344" i="11"/>
  <c r="F344" i="11"/>
  <c r="G344" i="11"/>
  <c r="C345" i="11"/>
  <c r="D345" i="11"/>
  <c r="E345" i="11"/>
  <c r="F345" i="11"/>
  <c r="G345" i="11"/>
  <c r="C346" i="11"/>
  <c r="D346" i="11"/>
  <c r="E346" i="11"/>
  <c r="F346" i="11"/>
  <c r="G346" i="11"/>
  <c r="C347" i="11"/>
  <c r="D347" i="11"/>
  <c r="E347" i="11"/>
  <c r="F347" i="11"/>
  <c r="G347" i="11"/>
  <c r="C348" i="11"/>
  <c r="D348" i="11"/>
  <c r="E348" i="11"/>
  <c r="F348" i="11"/>
  <c r="G348" i="11"/>
  <c r="C349" i="11"/>
  <c r="D349" i="11"/>
  <c r="E349" i="11"/>
  <c r="F349" i="11"/>
  <c r="G349" i="11"/>
  <c r="C350" i="11"/>
  <c r="D350" i="11"/>
  <c r="E350" i="11"/>
  <c r="F350" i="11"/>
  <c r="G350" i="11"/>
  <c r="C351" i="11"/>
  <c r="D351" i="11"/>
  <c r="E351" i="11"/>
  <c r="F351" i="11"/>
  <c r="G351" i="11"/>
  <c r="C352" i="11"/>
  <c r="D352" i="11"/>
  <c r="E352" i="11"/>
  <c r="F352" i="11"/>
  <c r="G352" i="11"/>
  <c r="C353" i="11"/>
  <c r="D353" i="11"/>
  <c r="E353" i="11"/>
  <c r="F353" i="11"/>
  <c r="G353" i="11"/>
  <c r="C354" i="11"/>
  <c r="D354" i="11"/>
  <c r="E354" i="11"/>
  <c r="F354" i="11"/>
  <c r="G354" i="11"/>
  <c r="C355" i="11"/>
  <c r="D355" i="11"/>
  <c r="E355" i="11"/>
  <c r="F355" i="11"/>
  <c r="G355" i="11"/>
  <c r="C356" i="11"/>
  <c r="D356" i="11"/>
  <c r="E356" i="11"/>
  <c r="F356" i="11"/>
  <c r="G356" i="11"/>
  <c r="C357" i="11"/>
  <c r="D357" i="11"/>
  <c r="E357" i="11"/>
  <c r="F357" i="11"/>
  <c r="G357" i="11"/>
  <c r="C358" i="11"/>
  <c r="D358" i="11"/>
  <c r="E358" i="11"/>
  <c r="F358" i="11"/>
  <c r="G358" i="11"/>
  <c r="C359" i="11"/>
  <c r="D359" i="11"/>
  <c r="E359" i="11"/>
  <c r="F359" i="11"/>
  <c r="G359" i="11"/>
  <c r="C360" i="11"/>
  <c r="D360" i="11"/>
  <c r="E360" i="11"/>
  <c r="F360" i="11"/>
  <c r="G360" i="11"/>
  <c r="C361" i="11"/>
  <c r="D361" i="11"/>
  <c r="E361" i="11"/>
  <c r="F361" i="11"/>
  <c r="G361" i="11"/>
  <c r="C362" i="11"/>
  <c r="D362" i="11"/>
  <c r="E362" i="11"/>
  <c r="F362" i="11"/>
  <c r="G362" i="11"/>
  <c r="C363" i="11"/>
  <c r="D363" i="11"/>
  <c r="E363" i="11"/>
  <c r="F363" i="11"/>
  <c r="G363" i="11"/>
  <c r="C364" i="11"/>
  <c r="D364" i="11"/>
  <c r="E364" i="11"/>
  <c r="F364" i="11"/>
  <c r="G364" i="11"/>
  <c r="C365" i="11"/>
  <c r="D365" i="11"/>
  <c r="E365" i="11"/>
  <c r="F365" i="11"/>
  <c r="G365" i="11"/>
  <c r="C366" i="11"/>
  <c r="D366" i="11"/>
  <c r="E366" i="11"/>
  <c r="F366" i="11"/>
  <c r="G366" i="11"/>
  <c r="C367" i="11"/>
  <c r="D367" i="11"/>
  <c r="E367" i="11"/>
  <c r="F367" i="11"/>
  <c r="G367" i="11"/>
  <c r="C368" i="11"/>
  <c r="D368" i="11"/>
  <c r="E368" i="11"/>
  <c r="F368" i="11"/>
  <c r="G368" i="11"/>
  <c r="C369" i="11"/>
  <c r="D369" i="11"/>
  <c r="E369" i="11"/>
  <c r="F369" i="11"/>
  <c r="G369" i="11"/>
  <c r="C370" i="11"/>
  <c r="D370" i="11"/>
  <c r="E370" i="11"/>
  <c r="F370" i="11"/>
  <c r="G370" i="11"/>
  <c r="C371" i="11"/>
  <c r="D371" i="11"/>
  <c r="E371" i="11"/>
  <c r="F371" i="11"/>
  <c r="G371" i="11"/>
  <c r="C372" i="11"/>
  <c r="D372" i="11"/>
  <c r="E372" i="11"/>
  <c r="F372" i="11"/>
  <c r="G372" i="11"/>
  <c r="C373" i="11"/>
  <c r="D373" i="11"/>
  <c r="E373" i="11"/>
  <c r="F373" i="11"/>
  <c r="G373" i="11"/>
  <c r="C374" i="11"/>
  <c r="D374" i="11"/>
  <c r="E374" i="11"/>
  <c r="F374" i="11"/>
  <c r="G374" i="11"/>
  <c r="C375" i="11"/>
  <c r="D375" i="11"/>
  <c r="E375" i="11"/>
  <c r="F375" i="11"/>
  <c r="G375" i="11"/>
  <c r="C376" i="11"/>
  <c r="D376" i="11"/>
  <c r="E376" i="11"/>
  <c r="F376" i="11"/>
  <c r="G376" i="11"/>
  <c r="C377" i="11"/>
  <c r="D377" i="11"/>
  <c r="E377" i="11"/>
  <c r="F377" i="11"/>
  <c r="G377" i="11"/>
  <c r="C378" i="11"/>
  <c r="D378" i="11"/>
  <c r="E378" i="11"/>
  <c r="F378" i="11"/>
  <c r="G378" i="11"/>
  <c r="C379" i="11"/>
  <c r="D379" i="11"/>
  <c r="E379" i="11"/>
  <c r="F379" i="11"/>
  <c r="G379" i="11"/>
  <c r="C380" i="11"/>
  <c r="D380" i="11"/>
  <c r="E380" i="11"/>
  <c r="F380" i="11"/>
  <c r="G380" i="11"/>
  <c r="C381" i="11"/>
  <c r="D381" i="11"/>
  <c r="E381" i="11"/>
  <c r="F381" i="11"/>
  <c r="G381" i="11"/>
  <c r="C382" i="11"/>
  <c r="D382" i="11"/>
  <c r="E382" i="11"/>
  <c r="F382" i="11"/>
  <c r="G382" i="11"/>
  <c r="C383" i="11"/>
  <c r="D383" i="11"/>
  <c r="E383" i="11"/>
  <c r="F383" i="11"/>
  <c r="G383" i="11"/>
  <c r="C384" i="11"/>
  <c r="D384" i="11"/>
  <c r="E384" i="11"/>
  <c r="F384" i="11"/>
  <c r="G384" i="11"/>
  <c r="C385" i="11"/>
  <c r="D385" i="11"/>
  <c r="E385" i="11"/>
  <c r="F385" i="11"/>
  <c r="G385" i="11"/>
  <c r="C386" i="11"/>
  <c r="D386" i="11"/>
  <c r="E386" i="11"/>
  <c r="F386" i="11"/>
  <c r="G386" i="11"/>
  <c r="C387" i="11"/>
  <c r="D387" i="11"/>
  <c r="E387" i="11"/>
  <c r="F387" i="11"/>
  <c r="G387" i="11"/>
  <c r="C388" i="11"/>
  <c r="D388" i="11"/>
  <c r="E388" i="11"/>
  <c r="F388" i="11"/>
  <c r="G388" i="11"/>
  <c r="C389" i="11"/>
  <c r="D389" i="11"/>
  <c r="E389" i="11"/>
  <c r="F389" i="11"/>
  <c r="G389" i="11"/>
  <c r="C390" i="11"/>
  <c r="D390" i="11"/>
  <c r="E390" i="11"/>
  <c r="F390" i="11"/>
  <c r="G390" i="11"/>
  <c r="C391" i="11"/>
  <c r="D391" i="11"/>
  <c r="E391" i="11"/>
  <c r="F391" i="11"/>
  <c r="G391" i="11"/>
  <c r="C392" i="11"/>
  <c r="D392" i="11"/>
  <c r="E392" i="11"/>
  <c r="F392" i="11"/>
  <c r="G392" i="11"/>
  <c r="C393" i="11"/>
  <c r="D393" i="11"/>
  <c r="E393" i="11"/>
  <c r="F393" i="11"/>
  <c r="G393" i="11"/>
  <c r="C394" i="11"/>
  <c r="D394" i="11"/>
  <c r="E394" i="11"/>
  <c r="F394" i="11"/>
  <c r="G394" i="11"/>
  <c r="C395" i="11"/>
  <c r="D395" i="11"/>
  <c r="E395" i="11"/>
  <c r="F395" i="11"/>
  <c r="G395" i="11"/>
  <c r="C396" i="11"/>
  <c r="D396" i="11"/>
  <c r="E396" i="11"/>
  <c r="F396" i="11"/>
  <c r="G396" i="11"/>
  <c r="C397" i="11"/>
  <c r="D397" i="11"/>
  <c r="E397" i="11"/>
  <c r="F397" i="11"/>
  <c r="G397" i="11"/>
  <c r="C398" i="11"/>
  <c r="D398" i="11"/>
  <c r="E398" i="11"/>
  <c r="F398" i="11"/>
  <c r="G398" i="11"/>
  <c r="C399" i="11"/>
  <c r="D399" i="11"/>
  <c r="E399" i="11"/>
  <c r="F399" i="11"/>
  <c r="G399" i="11"/>
  <c r="C400" i="11"/>
  <c r="D400" i="11"/>
  <c r="E400" i="11"/>
  <c r="F400" i="11"/>
  <c r="G400" i="11"/>
  <c r="C401" i="11"/>
  <c r="D401" i="11"/>
  <c r="E401" i="11"/>
  <c r="F401" i="11"/>
  <c r="G401" i="11"/>
  <c r="C402" i="11"/>
  <c r="D402" i="11"/>
  <c r="E402" i="11"/>
  <c r="F402" i="11"/>
  <c r="G402" i="11"/>
  <c r="C403" i="11"/>
  <c r="D403" i="11"/>
  <c r="E403" i="11"/>
  <c r="F403" i="11"/>
  <c r="G403" i="11"/>
  <c r="C404" i="11"/>
  <c r="D404" i="11"/>
  <c r="E404" i="11"/>
  <c r="F404" i="11"/>
  <c r="G404" i="11"/>
  <c r="C405" i="11"/>
  <c r="D405" i="11"/>
  <c r="E405" i="11"/>
  <c r="F405" i="11"/>
  <c r="G405" i="11"/>
  <c r="C406" i="11"/>
  <c r="D406" i="11"/>
  <c r="E406" i="11"/>
  <c r="F406" i="11"/>
  <c r="G406" i="11"/>
  <c r="C407" i="11"/>
  <c r="D407" i="11"/>
  <c r="E407" i="11"/>
  <c r="F407" i="11"/>
  <c r="G407" i="11"/>
  <c r="C408" i="11"/>
  <c r="D408" i="11"/>
  <c r="E408" i="11"/>
  <c r="F408" i="11"/>
  <c r="G408" i="11"/>
  <c r="C409" i="11"/>
  <c r="D409" i="11"/>
  <c r="E409" i="11"/>
  <c r="F409" i="11"/>
  <c r="G409" i="11"/>
  <c r="C410" i="11"/>
  <c r="D410" i="11"/>
  <c r="E410" i="11"/>
  <c r="F410" i="11"/>
  <c r="G410" i="11"/>
  <c r="C411" i="11"/>
  <c r="D411" i="11"/>
  <c r="E411" i="11"/>
  <c r="F411" i="11"/>
  <c r="G411" i="11"/>
  <c r="C412" i="11"/>
  <c r="D412" i="11"/>
  <c r="E412" i="11"/>
  <c r="F412" i="11"/>
  <c r="G412" i="11"/>
  <c r="C413" i="11"/>
  <c r="D413" i="11"/>
  <c r="E413" i="11"/>
  <c r="F413" i="11"/>
  <c r="G413" i="11"/>
  <c r="C414" i="11"/>
  <c r="D414" i="11"/>
  <c r="E414" i="11"/>
  <c r="F414" i="11"/>
  <c r="G414" i="11"/>
  <c r="C415" i="11"/>
  <c r="D415" i="11"/>
  <c r="E415" i="11"/>
  <c r="F415" i="11"/>
  <c r="G415" i="11"/>
  <c r="C416" i="11"/>
  <c r="D416" i="11"/>
  <c r="E416" i="11"/>
  <c r="F416" i="11"/>
  <c r="G416" i="11"/>
  <c r="C417" i="11"/>
  <c r="D417" i="11"/>
  <c r="E417" i="11"/>
  <c r="F417" i="11"/>
  <c r="G417" i="11"/>
  <c r="C418" i="11"/>
  <c r="D418" i="11"/>
  <c r="E418" i="11"/>
  <c r="F418" i="11"/>
  <c r="G418" i="11"/>
  <c r="C419" i="11"/>
  <c r="D419" i="11"/>
  <c r="E419" i="11"/>
  <c r="F419" i="11"/>
  <c r="G419" i="11"/>
  <c r="C420" i="11"/>
  <c r="D420" i="11"/>
  <c r="E420" i="11"/>
  <c r="F420" i="11"/>
  <c r="G420" i="11"/>
  <c r="C421" i="11"/>
  <c r="D421" i="11"/>
  <c r="E421" i="11"/>
  <c r="F421" i="11"/>
  <c r="G421" i="11"/>
  <c r="C422" i="11"/>
  <c r="D422" i="11"/>
  <c r="E422" i="11"/>
  <c r="F422" i="11"/>
  <c r="G422" i="11"/>
  <c r="C423" i="11"/>
  <c r="D423" i="11"/>
  <c r="E423" i="11"/>
  <c r="F423" i="11"/>
  <c r="G423" i="11"/>
  <c r="C424" i="11"/>
  <c r="D424" i="11"/>
  <c r="E424" i="11"/>
  <c r="F424" i="11"/>
  <c r="G424" i="11"/>
  <c r="C425" i="11"/>
  <c r="D425" i="11"/>
  <c r="E425" i="11"/>
  <c r="F425" i="11"/>
  <c r="G425" i="11"/>
  <c r="C426" i="11"/>
  <c r="D426" i="11"/>
  <c r="E426" i="11"/>
  <c r="F426" i="11"/>
  <c r="G426" i="11"/>
  <c r="C427" i="11"/>
  <c r="D427" i="11"/>
  <c r="E427" i="11"/>
  <c r="F427" i="11"/>
  <c r="G427" i="11"/>
  <c r="C428" i="11"/>
  <c r="D428" i="11"/>
  <c r="E428" i="11"/>
  <c r="F428" i="11"/>
  <c r="G428" i="11"/>
  <c r="C429" i="11"/>
  <c r="D429" i="11"/>
  <c r="E429" i="11"/>
  <c r="F429" i="11"/>
  <c r="G429" i="11"/>
  <c r="C430" i="11"/>
  <c r="D430" i="11"/>
  <c r="E430" i="11"/>
  <c r="F430" i="11"/>
  <c r="G430" i="11"/>
  <c r="C431" i="11"/>
  <c r="D431" i="11"/>
  <c r="E431" i="11"/>
  <c r="F431" i="11"/>
  <c r="G431" i="11"/>
  <c r="C432" i="11"/>
  <c r="D432" i="11"/>
  <c r="E432" i="11"/>
  <c r="F432" i="11"/>
  <c r="G432" i="11"/>
  <c r="C433" i="11"/>
  <c r="D433" i="11"/>
  <c r="E433" i="11"/>
  <c r="F433" i="11"/>
  <c r="G433" i="11"/>
  <c r="C434" i="11"/>
  <c r="D434" i="11"/>
  <c r="E434" i="11"/>
  <c r="F434" i="11"/>
  <c r="G434" i="11"/>
  <c r="C435" i="11"/>
  <c r="D435" i="11"/>
  <c r="E435" i="11"/>
  <c r="F435" i="11"/>
  <c r="G435" i="11"/>
  <c r="C436" i="11"/>
  <c r="D436" i="11"/>
  <c r="E436" i="11"/>
  <c r="F436" i="11"/>
  <c r="G436" i="11"/>
  <c r="C437" i="11"/>
  <c r="D437" i="11"/>
  <c r="E437" i="11"/>
  <c r="F437" i="11"/>
  <c r="G437" i="11"/>
  <c r="C438" i="11"/>
  <c r="D438" i="11"/>
  <c r="E438" i="11"/>
  <c r="F438" i="11"/>
  <c r="G438" i="11"/>
  <c r="C439" i="11"/>
  <c r="D439" i="11"/>
  <c r="E439" i="11"/>
  <c r="F439" i="11"/>
  <c r="G439" i="11"/>
  <c r="C440" i="11"/>
  <c r="D440" i="11"/>
  <c r="E440" i="11"/>
  <c r="F440" i="11"/>
  <c r="G440" i="11"/>
  <c r="C441" i="11"/>
  <c r="D441" i="11"/>
  <c r="E441" i="11"/>
  <c r="F441" i="11"/>
  <c r="G441" i="11"/>
  <c r="C442" i="11"/>
  <c r="D442" i="11"/>
  <c r="E442" i="11"/>
  <c r="F442" i="11"/>
  <c r="G442" i="11"/>
  <c r="C443" i="11"/>
  <c r="D443" i="11"/>
  <c r="E443" i="11"/>
  <c r="F443" i="11"/>
  <c r="G443" i="11"/>
  <c r="C444" i="11"/>
  <c r="D444" i="11"/>
  <c r="E444" i="11"/>
  <c r="F444" i="11"/>
  <c r="G444" i="11"/>
  <c r="C445" i="11"/>
  <c r="D445" i="11"/>
  <c r="E445" i="11"/>
  <c r="F445" i="11"/>
  <c r="G445" i="11"/>
  <c r="C446" i="11"/>
  <c r="D446" i="11"/>
  <c r="E446" i="11"/>
  <c r="F446" i="11"/>
  <c r="G446" i="11"/>
  <c r="C447" i="11"/>
  <c r="D447" i="11"/>
  <c r="E447" i="11"/>
  <c r="F447" i="11"/>
  <c r="G447" i="11"/>
  <c r="C448" i="11"/>
  <c r="D448" i="11"/>
  <c r="E448" i="11"/>
  <c r="F448" i="11"/>
  <c r="G448" i="11"/>
  <c r="C449" i="11"/>
  <c r="D449" i="11"/>
  <c r="E449" i="11"/>
  <c r="F449" i="11"/>
  <c r="G449" i="11"/>
  <c r="C450" i="11"/>
  <c r="D450" i="11"/>
  <c r="E450" i="11"/>
  <c r="F450" i="11"/>
  <c r="G450" i="11"/>
  <c r="C451" i="11"/>
  <c r="D451" i="11"/>
  <c r="E451" i="11"/>
  <c r="F451" i="11"/>
  <c r="G451" i="11"/>
  <c r="C452" i="11"/>
  <c r="D452" i="11"/>
  <c r="E452" i="11"/>
  <c r="F452" i="11"/>
  <c r="G452" i="11"/>
  <c r="C453" i="11"/>
  <c r="D453" i="11"/>
  <c r="E453" i="11"/>
  <c r="F453" i="11"/>
  <c r="G453" i="11"/>
  <c r="C454" i="11"/>
  <c r="D454" i="11"/>
  <c r="E454" i="11"/>
  <c r="F454" i="11"/>
  <c r="G454" i="11"/>
  <c r="C455" i="11"/>
  <c r="D455" i="11"/>
  <c r="E455" i="11"/>
  <c r="F455" i="11"/>
  <c r="G455" i="11"/>
  <c r="C456" i="11"/>
  <c r="D456" i="11"/>
  <c r="E456" i="11"/>
  <c r="F456" i="11"/>
  <c r="G456" i="11"/>
  <c r="C457" i="11"/>
  <c r="D457" i="11"/>
  <c r="E457" i="11"/>
  <c r="F457" i="11"/>
  <c r="G457" i="11"/>
  <c r="C458" i="11"/>
  <c r="D458" i="11"/>
  <c r="E458" i="11"/>
  <c r="F458" i="11"/>
  <c r="G458" i="11"/>
  <c r="C459" i="11"/>
  <c r="D459" i="11"/>
  <c r="E459" i="11"/>
  <c r="F459" i="11"/>
  <c r="G459" i="11"/>
  <c r="C460" i="11"/>
  <c r="D460" i="11"/>
  <c r="E460" i="11"/>
  <c r="F460" i="11"/>
  <c r="G460" i="11"/>
  <c r="C461" i="11"/>
  <c r="D461" i="11"/>
  <c r="E461" i="11"/>
  <c r="F461" i="11"/>
  <c r="G461" i="11"/>
  <c r="C462" i="11"/>
  <c r="D462" i="11"/>
  <c r="E462" i="11"/>
  <c r="F462" i="11"/>
  <c r="G462" i="11"/>
  <c r="C463" i="11"/>
  <c r="D463" i="11"/>
  <c r="E463" i="11"/>
  <c r="F463" i="11"/>
  <c r="G463" i="11"/>
  <c r="C464" i="11"/>
  <c r="D464" i="11"/>
  <c r="E464" i="11"/>
  <c r="F464" i="11"/>
  <c r="G464" i="11"/>
  <c r="C465" i="11"/>
  <c r="D465" i="11"/>
  <c r="E465" i="11"/>
  <c r="F465" i="11"/>
  <c r="G465" i="11"/>
  <c r="C466" i="11"/>
  <c r="D466" i="11"/>
  <c r="E466" i="11"/>
  <c r="F466" i="11"/>
  <c r="G466" i="11"/>
  <c r="C467" i="11"/>
  <c r="D467" i="11"/>
  <c r="E467" i="11"/>
  <c r="F467" i="11"/>
  <c r="G467" i="11"/>
  <c r="C468" i="11"/>
  <c r="D468" i="11"/>
  <c r="E468" i="11"/>
  <c r="F468" i="11"/>
  <c r="G468" i="11"/>
  <c r="C469" i="11"/>
  <c r="D469" i="11"/>
  <c r="E469" i="11"/>
  <c r="F469" i="11"/>
  <c r="G469" i="11"/>
  <c r="C470" i="11"/>
  <c r="D470" i="11"/>
  <c r="E470" i="11"/>
  <c r="F470" i="11"/>
  <c r="G470" i="11"/>
  <c r="C471" i="11"/>
  <c r="D471" i="11"/>
  <c r="E471" i="11"/>
  <c r="F471" i="11"/>
  <c r="G471" i="11"/>
  <c r="C472" i="11"/>
  <c r="D472" i="11"/>
  <c r="E472" i="11"/>
  <c r="F472" i="11"/>
  <c r="G472" i="11"/>
  <c r="C473" i="11"/>
  <c r="D473" i="11"/>
  <c r="E473" i="11"/>
  <c r="F473" i="11"/>
  <c r="G473" i="11"/>
  <c r="C474" i="11"/>
  <c r="D474" i="11"/>
  <c r="E474" i="11"/>
  <c r="F474" i="11"/>
  <c r="G474" i="11"/>
  <c r="C475" i="11"/>
  <c r="D475" i="11"/>
  <c r="E475" i="11"/>
  <c r="F475" i="11"/>
  <c r="G475" i="11"/>
  <c r="C476" i="11"/>
  <c r="D476" i="11"/>
  <c r="E476" i="11"/>
  <c r="F476" i="11"/>
  <c r="G476" i="11"/>
  <c r="C477" i="11"/>
  <c r="D477" i="11"/>
  <c r="E477" i="11"/>
  <c r="F477" i="11"/>
  <c r="G477" i="11"/>
  <c r="C478" i="11"/>
  <c r="D478" i="11"/>
  <c r="E478" i="11"/>
  <c r="F478" i="11"/>
  <c r="G478" i="11"/>
  <c r="C479" i="11"/>
  <c r="D479" i="11"/>
  <c r="E479" i="11"/>
  <c r="F479" i="11"/>
  <c r="G479" i="11"/>
  <c r="C480" i="11"/>
  <c r="D480" i="11"/>
  <c r="E480" i="11"/>
  <c r="F480" i="11"/>
  <c r="G480" i="11"/>
  <c r="C481" i="11"/>
  <c r="D481" i="11"/>
  <c r="E481" i="11"/>
  <c r="F481" i="11"/>
  <c r="G481" i="11"/>
  <c r="C482" i="11"/>
  <c r="D482" i="11"/>
  <c r="E482" i="11"/>
  <c r="F482" i="11"/>
  <c r="G482" i="11"/>
  <c r="C483" i="11"/>
  <c r="D483" i="11"/>
  <c r="E483" i="11"/>
  <c r="F483" i="11"/>
  <c r="G483" i="11"/>
  <c r="C484" i="11"/>
  <c r="D484" i="11"/>
  <c r="E484" i="11"/>
  <c r="F484" i="11"/>
  <c r="G484" i="11"/>
  <c r="C485" i="11"/>
  <c r="D485" i="11"/>
  <c r="E485" i="11"/>
  <c r="F485" i="11"/>
  <c r="G485" i="11"/>
  <c r="C486" i="11"/>
  <c r="D486" i="11"/>
  <c r="E486" i="11"/>
  <c r="F486" i="11"/>
  <c r="G486" i="11"/>
  <c r="C487" i="11"/>
  <c r="D487" i="11"/>
  <c r="E487" i="11"/>
  <c r="F487" i="11"/>
  <c r="G487" i="11"/>
  <c r="C488" i="11"/>
  <c r="D488" i="11"/>
  <c r="E488" i="11"/>
  <c r="F488" i="11"/>
  <c r="G488" i="11"/>
  <c r="C489" i="11"/>
  <c r="D489" i="11"/>
  <c r="E489" i="11"/>
  <c r="F489" i="11"/>
  <c r="G489" i="11"/>
  <c r="C490" i="11"/>
  <c r="D490" i="11"/>
  <c r="E490" i="11"/>
  <c r="F490" i="11"/>
  <c r="G490" i="11"/>
  <c r="C491" i="11"/>
  <c r="D491" i="11"/>
  <c r="E491" i="11"/>
  <c r="F491" i="11"/>
  <c r="G491" i="11"/>
  <c r="C492" i="11"/>
  <c r="D492" i="11"/>
  <c r="E492" i="11"/>
  <c r="F492" i="11"/>
  <c r="G492" i="11"/>
  <c r="C493" i="11"/>
  <c r="D493" i="11"/>
  <c r="E493" i="11"/>
  <c r="F493" i="11"/>
  <c r="G493" i="11"/>
  <c r="C494" i="11"/>
  <c r="D494" i="11"/>
  <c r="E494" i="11"/>
  <c r="F494" i="11"/>
  <c r="G494" i="11"/>
  <c r="C495" i="11"/>
  <c r="D495" i="11"/>
  <c r="E495" i="11"/>
  <c r="F495" i="11"/>
  <c r="G495" i="11"/>
  <c r="C496" i="11"/>
  <c r="D496" i="11"/>
  <c r="E496" i="11"/>
  <c r="F496" i="11"/>
  <c r="G496" i="11"/>
  <c r="C497" i="11"/>
  <c r="D497" i="11"/>
  <c r="E497" i="11"/>
  <c r="F497" i="11"/>
  <c r="G497" i="11"/>
  <c r="C498" i="11"/>
  <c r="D498" i="11"/>
  <c r="E498" i="11"/>
  <c r="F498" i="11"/>
  <c r="G498" i="11"/>
  <c r="C499" i="11"/>
  <c r="D499" i="11"/>
  <c r="E499" i="11"/>
  <c r="F499" i="11"/>
  <c r="G499" i="11"/>
  <c r="C500" i="11"/>
  <c r="D500" i="11"/>
  <c r="E500" i="11"/>
  <c r="F500" i="11"/>
  <c r="G500" i="11"/>
  <c r="C501" i="11"/>
  <c r="D501" i="11"/>
  <c r="E501" i="11"/>
  <c r="F501" i="11"/>
  <c r="G501" i="11"/>
  <c r="C502" i="11"/>
  <c r="D502" i="11"/>
  <c r="E502" i="11"/>
  <c r="F502" i="11"/>
  <c r="G502" i="11"/>
  <c r="C503" i="11"/>
  <c r="D503" i="11"/>
  <c r="E503" i="11"/>
  <c r="F503" i="11"/>
  <c r="G503" i="11"/>
  <c r="C504" i="11"/>
  <c r="D504" i="11"/>
  <c r="E504" i="11"/>
  <c r="F504" i="11"/>
  <c r="G504" i="11"/>
  <c r="C505" i="11"/>
  <c r="D505" i="11"/>
  <c r="E505" i="11"/>
  <c r="F505" i="11"/>
  <c r="G505" i="11"/>
  <c r="C506" i="11"/>
  <c r="D506" i="11"/>
  <c r="E506" i="11"/>
  <c r="F506" i="11"/>
  <c r="G506" i="11"/>
  <c r="C507" i="11"/>
  <c r="D507" i="11"/>
  <c r="E507" i="11"/>
  <c r="F507" i="11"/>
  <c r="G507" i="11"/>
  <c r="C508" i="11"/>
  <c r="D508" i="11"/>
  <c r="E508" i="11"/>
  <c r="F508" i="11"/>
  <c r="G508" i="11"/>
  <c r="C509" i="11"/>
  <c r="D509" i="11"/>
  <c r="E509" i="11"/>
  <c r="F509" i="11"/>
  <c r="G509" i="11"/>
  <c r="C510" i="11"/>
  <c r="D510" i="11"/>
  <c r="E510" i="11"/>
  <c r="F510" i="11"/>
  <c r="G510" i="11"/>
  <c r="C511" i="11"/>
  <c r="D511" i="11"/>
  <c r="E511" i="11"/>
  <c r="F511" i="11"/>
  <c r="G511" i="11"/>
  <c r="C512" i="11"/>
  <c r="D512" i="11"/>
  <c r="E512" i="11"/>
  <c r="F512" i="11"/>
  <c r="G512" i="11"/>
  <c r="C513" i="11"/>
  <c r="D513" i="11"/>
  <c r="E513" i="11"/>
  <c r="F513" i="11"/>
  <c r="G513" i="11"/>
  <c r="C514" i="11"/>
  <c r="D514" i="11"/>
  <c r="E514" i="11"/>
  <c r="F514" i="11"/>
  <c r="G514" i="11"/>
  <c r="C515" i="11"/>
  <c r="D515" i="11"/>
  <c r="E515" i="11"/>
  <c r="F515" i="11"/>
  <c r="G515" i="11"/>
  <c r="C516" i="11"/>
  <c r="D516" i="11"/>
  <c r="E516" i="11"/>
  <c r="F516" i="11"/>
  <c r="G516" i="11"/>
  <c r="C517" i="11"/>
  <c r="D517" i="11"/>
  <c r="E517" i="11"/>
  <c r="F517" i="11"/>
  <c r="G517" i="11"/>
  <c r="C518" i="11"/>
  <c r="D518" i="11"/>
  <c r="E518" i="11"/>
  <c r="F518" i="11"/>
  <c r="G518" i="11"/>
  <c r="C519" i="11"/>
  <c r="D519" i="11"/>
  <c r="E519" i="11"/>
  <c r="F519" i="11"/>
  <c r="G519" i="11"/>
  <c r="C520" i="11"/>
  <c r="D520" i="11"/>
  <c r="E520" i="11"/>
  <c r="F520" i="11"/>
  <c r="G520" i="11"/>
  <c r="C521" i="11"/>
  <c r="D521" i="11"/>
  <c r="E521" i="11"/>
  <c r="F521" i="11"/>
  <c r="G521" i="11"/>
  <c r="C522" i="11"/>
  <c r="D522" i="11"/>
  <c r="E522" i="11"/>
  <c r="F522" i="11"/>
  <c r="G522" i="11"/>
  <c r="C523" i="11"/>
  <c r="D523" i="11"/>
  <c r="E523" i="11"/>
  <c r="F523" i="11"/>
  <c r="G523" i="11"/>
  <c r="C524" i="11"/>
  <c r="D524" i="11"/>
  <c r="E524" i="11"/>
  <c r="F524" i="11"/>
  <c r="G524" i="11"/>
  <c r="C525" i="11"/>
  <c r="D525" i="11"/>
  <c r="E525" i="11"/>
  <c r="F525" i="11"/>
  <c r="G525" i="11"/>
  <c r="C526" i="11"/>
  <c r="D526" i="11"/>
  <c r="E526" i="11"/>
  <c r="F526" i="11"/>
  <c r="G526" i="11"/>
  <c r="C527" i="11"/>
  <c r="D527" i="11"/>
  <c r="E527" i="11"/>
  <c r="F527" i="11"/>
  <c r="G527" i="11"/>
  <c r="C528" i="11"/>
  <c r="D528" i="11"/>
  <c r="E528" i="11"/>
  <c r="F528" i="11"/>
  <c r="G528" i="11"/>
  <c r="C529" i="11"/>
  <c r="D529" i="11"/>
  <c r="E529" i="11"/>
  <c r="F529" i="11"/>
  <c r="G529" i="11"/>
  <c r="C530" i="11"/>
  <c r="D530" i="11"/>
  <c r="E530" i="11"/>
  <c r="F530" i="11"/>
  <c r="G530" i="11"/>
  <c r="C531" i="11"/>
  <c r="D531" i="11"/>
  <c r="E531" i="11"/>
  <c r="F531" i="11"/>
  <c r="G531" i="11"/>
  <c r="C532" i="11"/>
  <c r="D532" i="11"/>
  <c r="E532" i="11"/>
  <c r="F532" i="11"/>
  <c r="G532" i="11"/>
  <c r="C533" i="11"/>
  <c r="D533" i="11"/>
  <c r="E533" i="11"/>
  <c r="F533" i="11"/>
  <c r="G533" i="11"/>
  <c r="C534" i="11"/>
  <c r="D534" i="11"/>
  <c r="E534" i="11"/>
  <c r="F534" i="11"/>
  <c r="G534" i="11"/>
  <c r="C535" i="11"/>
  <c r="D535" i="11"/>
  <c r="E535" i="11"/>
  <c r="F535" i="11"/>
  <c r="G535" i="11"/>
  <c r="C536" i="11"/>
  <c r="D536" i="11"/>
  <c r="E536" i="11"/>
  <c r="F536" i="11"/>
  <c r="G536" i="11"/>
  <c r="C537" i="11"/>
  <c r="D537" i="11"/>
  <c r="E537" i="11"/>
  <c r="F537" i="11"/>
  <c r="G537" i="11"/>
  <c r="C538" i="11"/>
  <c r="D538" i="11"/>
  <c r="E538" i="11"/>
  <c r="F538" i="11"/>
  <c r="G538" i="11"/>
  <c r="C539" i="11"/>
  <c r="D539" i="11"/>
  <c r="E539" i="11"/>
  <c r="F539" i="11"/>
  <c r="G539" i="11"/>
  <c r="C540" i="11"/>
  <c r="D540" i="11"/>
  <c r="E540" i="11"/>
  <c r="F540" i="11"/>
  <c r="G540" i="11"/>
  <c r="C541" i="11"/>
  <c r="D541" i="11"/>
  <c r="E541" i="11"/>
  <c r="F541" i="11"/>
  <c r="G541" i="11"/>
  <c r="C542" i="11"/>
  <c r="D542" i="11"/>
  <c r="E542" i="11"/>
  <c r="F542" i="11"/>
  <c r="G542" i="11"/>
  <c r="C543" i="11"/>
  <c r="D543" i="11"/>
  <c r="E543" i="11"/>
  <c r="F543" i="11"/>
  <c r="G543" i="11"/>
  <c r="C544" i="11"/>
  <c r="D544" i="11"/>
  <c r="E544" i="11"/>
  <c r="F544" i="11"/>
  <c r="G544" i="11"/>
  <c r="C545" i="11"/>
  <c r="D545" i="11"/>
  <c r="E545" i="11"/>
  <c r="F545" i="11"/>
  <c r="G545" i="11"/>
  <c r="C546" i="11"/>
  <c r="D546" i="11"/>
  <c r="E546" i="11"/>
  <c r="F546" i="11"/>
  <c r="G546" i="11"/>
  <c r="C547" i="11"/>
  <c r="D547" i="11"/>
  <c r="E547" i="11"/>
  <c r="F547" i="11"/>
  <c r="G547" i="11"/>
  <c r="C548" i="11"/>
  <c r="D548" i="11"/>
  <c r="E548" i="11"/>
  <c r="F548" i="11"/>
  <c r="G548" i="11"/>
  <c r="C549" i="11"/>
  <c r="D549" i="11"/>
  <c r="E549" i="11"/>
  <c r="F549" i="11"/>
  <c r="G549" i="11"/>
  <c r="C550" i="11"/>
  <c r="D550" i="11"/>
  <c r="E550" i="11"/>
  <c r="F550" i="11"/>
  <c r="G550" i="11"/>
  <c r="C551" i="11"/>
  <c r="D551" i="11"/>
  <c r="E551" i="11"/>
  <c r="F551" i="11"/>
  <c r="G551" i="11"/>
  <c r="C552" i="11"/>
  <c r="D552" i="11"/>
  <c r="E552" i="11"/>
  <c r="F552" i="11"/>
  <c r="G552" i="11"/>
  <c r="C553" i="11"/>
  <c r="D553" i="11"/>
  <c r="E553" i="11"/>
  <c r="F553" i="11"/>
  <c r="G553" i="11"/>
  <c r="C554" i="11"/>
  <c r="D554" i="11"/>
  <c r="E554" i="11"/>
  <c r="F554" i="11"/>
  <c r="G554" i="11"/>
  <c r="C555" i="11"/>
  <c r="D555" i="11"/>
  <c r="E555" i="11"/>
  <c r="F555" i="11"/>
  <c r="G555" i="11"/>
  <c r="C556" i="11"/>
  <c r="D556" i="11"/>
  <c r="E556" i="11"/>
  <c r="F556" i="11"/>
  <c r="G556" i="11"/>
  <c r="C557" i="11"/>
  <c r="D557" i="11"/>
  <c r="E557" i="11"/>
  <c r="F557" i="11"/>
  <c r="G557" i="11"/>
  <c r="C558" i="11"/>
  <c r="D558" i="11"/>
  <c r="E558" i="11"/>
  <c r="F558" i="11"/>
  <c r="G558" i="11"/>
  <c r="C559" i="11"/>
  <c r="D559" i="11"/>
  <c r="E559" i="11"/>
  <c r="F559" i="11"/>
  <c r="G559" i="11"/>
  <c r="C560" i="11"/>
  <c r="D560" i="11"/>
  <c r="E560" i="11"/>
  <c r="F560" i="11"/>
  <c r="G560" i="11"/>
  <c r="C561" i="11"/>
  <c r="D561" i="11"/>
  <c r="E561" i="11"/>
  <c r="F561" i="11"/>
  <c r="G561" i="11"/>
  <c r="C562" i="11"/>
  <c r="D562" i="11"/>
  <c r="E562" i="11"/>
  <c r="F562" i="11"/>
  <c r="G562" i="11"/>
  <c r="C563" i="11"/>
  <c r="D563" i="11"/>
  <c r="E563" i="11"/>
  <c r="F563" i="11"/>
  <c r="G563" i="11"/>
  <c r="C564" i="11"/>
  <c r="D564" i="11"/>
  <c r="E564" i="11"/>
  <c r="F564" i="11"/>
  <c r="G564" i="11"/>
  <c r="C565" i="11"/>
  <c r="D565" i="11"/>
  <c r="E565" i="11"/>
  <c r="F565" i="11"/>
  <c r="G565" i="11"/>
  <c r="C566" i="11"/>
  <c r="D566" i="11"/>
  <c r="E566" i="11"/>
  <c r="F566" i="11"/>
  <c r="G566" i="11"/>
  <c r="C567" i="11"/>
  <c r="D567" i="11"/>
  <c r="E567" i="11"/>
  <c r="F567" i="11"/>
  <c r="G567" i="11"/>
  <c r="C568" i="11"/>
  <c r="D568" i="11"/>
  <c r="E568" i="11"/>
  <c r="F568" i="11"/>
  <c r="G568" i="11"/>
  <c r="C569" i="11"/>
  <c r="D569" i="11"/>
  <c r="E569" i="11"/>
  <c r="F569" i="11"/>
  <c r="G569" i="11"/>
  <c r="C570" i="11"/>
  <c r="D570" i="11"/>
  <c r="E570" i="11"/>
  <c r="F570" i="11"/>
  <c r="G570" i="11"/>
  <c r="C571" i="11"/>
  <c r="D571" i="11"/>
  <c r="E571" i="11"/>
  <c r="F571" i="11"/>
  <c r="G571" i="11"/>
  <c r="C572" i="11"/>
  <c r="D572" i="11"/>
  <c r="E572" i="11"/>
  <c r="F572" i="11"/>
  <c r="G572" i="11"/>
  <c r="C573" i="11"/>
  <c r="D573" i="11"/>
  <c r="E573" i="11"/>
  <c r="F573" i="11"/>
  <c r="G573" i="11"/>
  <c r="C574" i="11"/>
  <c r="D574" i="11"/>
  <c r="E574" i="11"/>
  <c r="F574" i="11"/>
  <c r="G574" i="11"/>
  <c r="C575" i="11"/>
  <c r="D575" i="11"/>
  <c r="E575" i="11"/>
  <c r="F575" i="11"/>
  <c r="G575" i="11"/>
  <c r="C576" i="11"/>
  <c r="D576" i="11"/>
  <c r="E576" i="11"/>
  <c r="F576" i="11"/>
  <c r="G576" i="11"/>
  <c r="C577" i="11"/>
  <c r="D577" i="11"/>
  <c r="E577" i="11"/>
  <c r="F577" i="11"/>
  <c r="G577" i="11"/>
  <c r="C578" i="11"/>
  <c r="D578" i="11"/>
  <c r="E578" i="11"/>
  <c r="F578" i="11"/>
  <c r="G578" i="11"/>
  <c r="C579" i="11"/>
  <c r="D579" i="11"/>
  <c r="E579" i="11"/>
  <c r="F579" i="11"/>
  <c r="G579" i="11"/>
  <c r="C580" i="11"/>
  <c r="D580" i="11"/>
  <c r="E580" i="11"/>
  <c r="F580" i="11"/>
  <c r="G580" i="11"/>
  <c r="C581" i="11"/>
  <c r="D581" i="11"/>
  <c r="E581" i="11"/>
  <c r="F581" i="11"/>
  <c r="G581" i="11"/>
  <c r="C582" i="11"/>
  <c r="D582" i="11"/>
  <c r="E582" i="11"/>
  <c r="F582" i="11"/>
  <c r="G582" i="11"/>
  <c r="C583" i="11"/>
  <c r="D583" i="11"/>
  <c r="E583" i="11"/>
  <c r="F583" i="11"/>
  <c r="G583" i="11"/>
  <c r="C584" i="11"/>
  <c r="D584" i="11"/>
  <c r="E584" i="11"/>
  <c r="F584" i="11"/>
  <c r="G584" i="11"/>
  <c r="C585" i="11"/>
  <c r="D585" i="11"/>
  <c r="E585" i="11"/>
  <c r="F585" i="11"/>
  <c r="G585" i="11"/>
  <c r="C586" i="11"/>
  <c r="D586" i="11"/>
  <c r="E586" i="11"/>
  <c r="F586" i="11"/>
  <c r="G586" i="11"/>
  <c r="C587" i="11"/>
  <c r="D587" i="11"/>
  <c r="E587" i="11"/>
  <c r="F587" i="11"/>
  <c r="G587" i="11"/>
  <c r="C588" i="11"/>
  <c r="D588" i="11"/>
  <c r="E588" i="11"/>
  <c r="F588" i="11"/>
  <c r="G588" i="11"/>
  <c r="C589" i="11"/>
  <c r="D589" i="11"/>
  <c r="E589" i="11"/>
  <c r="F589" i="11"/>
  <c r="G589" i="11"/>
  <c r="C590" i="11"/>
  <c r="D590" i="11"/>
  <c r="E590" i="11"/>
  <c r="F590" i="11"/>
  <c r="G590" i="11"/>
  <c r="C591" i="11"/>
  <c r="D591" i="11"/>
  <c r="E591" i="11"/>
  <c r="F591" i="11"/>
  <c r="G591" i="11"/>
  <c r="C592" i="11"/>
  <c r="D592" i="11"/>
  <c r="E592" i="11"/>
  <c r="F592" i="11"/>
  <c r="G592" i="11"/>
  <c r="C593" i="11"/>
  <c r="D593" i="11"/>
  <c r="E593" i="11"/>
  <c r="F593" i="11"/>
  <c r="G593" i="11"/>
  <c r="C594" i="11"/>
  <c r="D594" i="11"/>
  <c r="E594" i="11"/>
  <c r="F594" i="11"/>
  <c r="G594" i="11"/>
  <c r="C595" i="11"/>
  <c r="D595" i="11"/>
  <c r="E595" i="11"/>
  <c r="F595" i="11"/>
  <c r="G595" i="11"/>
  <c r="C596" i="11"/>
  <c r="D596" i="11"/>
  <c r="E596" i="11"/>
  <c r="F596" i="11"/>
  <c r="G596" i="11"/>
  <c r="C597" i="11"/>
  <c r="D597" i="11"/>
  <c r="E597" i="11"/>
  <c r="F597" i="11"/>
  <c r="G597" i="11"/>
  <c r="C598" i="11"/>
  <c r="D598" i="11"/>
  <c r="E598" i="11"/>
  <c r="F598" i="11"/>
  <c r="G598" i="11"/>
  <c r="C599" i="11"/>
  <c r="D599" i="11"/>
  <c r="E599" i="11"/>
  <c r="F599" i="11"/>
  <c r="G599" i="11"/>
  <c r="C600" i="11"/>
  <c r="D600" i="11"/>
  <c r="E600" i="11"/>
  <c r="F600" i="11"/>
  <c r="G600" i="11"/>
  <c r="C601" i="11"/>
  <c r="D601" i="11"/>
  <c r="E601" i="11"/>
  <c r="F601" i="11"/>
  <c r="G601" i="11"/>
  <c r="C602" i="11"/>
  <c r="D602" i="11"/>
  <c r="E602" i="11"/>
  <c r="F602" i="11"/>
  <c r="G602" i="11"/>
  <c r="C603" i="11"/>
  <c r="D603" i="11"/>
  <c r="E603" i="11"/>
  <c r="F603" i="11"/>
  <c r="G603" i="11"/>
  <c r="C604" i="11"/>
  <c r="D604" i="11"/>
  <c r="E604" i="11"/>
  <c r="F604" i="11"/>
  <c r="G604" i="11"/>
  <c r="C605" i="11"/>
  <c r="D605" i="11"/>
  <c r="E605" i="11"/>
  <c r="F605" i="11"/>
  <c r="G605" i="11"/>
  <c r="C606" i="11"/>
  <c r="D606" i="11"/>
  <c r="E606" i="11"/>
  <c r="F606" i="11"/>
  <c r="G606" i="11"/>
  <c r="C607" i="11"/>
  <c r="D607" i="11"/>
  <c r="E607" i="11"/>
  <c r="F607" i="11"/>
  <c r="G607" i="11"/>
  <c r="C608" i="11"/>
  <c r="D608" i="11"/>
  <c r="E608" i="11"/>
  <c r="F608" i="11"/>
  <c r="G608" i="11"/>
  <c r="C609" i="11"/>
  <c r="D609" i="11"/>
  <c r="E609" i="11"/>
  <c r="F609" i="11"/>
  <c r="G609" i="11"/>
  <c r="C610" i="11"/>
  <c r="D610" i="11"/>
  <c r="E610" i="11"/>
  <c r="F610" i="11"/>
  <c r="G610" i="11"/>
  <c r="C611" i="11"/>
  <c r="D611" i="11"/>
  <c r="E611" i="11"/>
  <c r="F611" i="11"/>
  <c r="G611" i="11"/>
  <c r="C612" i="11"/>
  <c r="D612" i="11"/>
  <c r="E612" i="11"/>
  <c r="F612" i="11"/>
  <c r="G612" i="11"/>
  <c r="C613" i="11"/>
  <c r="D613" i="11"/>
  <c r="E613" i="11"/>
  <c r="F613" i="11"/>
  <c r="G613" i="11"/>
  <c r="C614" i="11"/>
  <c r="D614" i="11"/>
  <c r="E614" i="11"/>
  <c r="F614" i="11"/>
  <c r="G614" i="11"/>
  <c r="C615" i="11"/>
  <c r="D615" i="11"/>
  <c r="E615" i="11"/>
  <c r="F615" i="11"/>
  <c r="G615" i="11"/>
  <c r="C616" i="11"/>
  <c r="D616" i="11"/>
  <c r="E616" i="11"/>
  <c r="F616" i="11"/>
  <c r="G616" i="11"/>
  <c r="C617" i="11"/>
  <c r="D617" i="11"/>
  <c r="E617" i="11"/>
  <c r="F617" i="11"/>
  <c r="G617" i="11"/>
  <c r="C618" i="11"/>
  <c r="D618" i="11"/>
  <c r="E618" i="11"/>
  <c r="F618" i="11"/>
  <c r="G618" i="11"/>
  <c r="C619" i="11"/>
  <c r="D619" i="11"/>
  <c r="E619" i="11"/>
  <c r="F619" i="11"/>
  <c r="G619" i="11"/>
  <c r="C620" i="11"/>
  <c r="D620" i="11"/>
  <c r="E620" i="11"/>
  <c r="F620" i="11"/>
  <c r="G620" i="11"/>
  <c r="C621" i="11"/>
  <c r="D621" i="11"/>
  <c r="E621" i="11"/>
  <c r="F621" i="11"/>
  <c r="G621" i="11"/>
  <c r="C622" i="11"/>
  <c r="D622" i="11"/>
  <c r="E622" i="11"/>
  <c r="F622" i="11"/>
  <c r="G622" i="11"/>
  <c r="C623" i="11"/>
  <c r="D623" i="11"/>
  <c r="E623" i="11"/>
  <c r="F623" i="11"/>
  <c r="G623" i="11"/>
  <c r="C624" i="11"/>
  <c r="D624" i="11"/>
  <c r="E624" i="11"/>
  <c r="F624" i="11"/>
  <c r="G624" i="11"/>
  <c r="C625" i="11"/>
  <c r="D625" i="11"/>
  <c r="E625" i="11"/>
  <c r="F625" i="11"/>
  <c r="G625" i="11"/>
  <c r="C626" i="11"/>
  <c r="D626" i="11"/>
  <c r="E626" i="11"/>
  <c r="F626" i="11"/>
  <c r="G626" i="11"/>
  <c r="C627" i="11"/>
  <c r="D627" i="11"/>
  <c r="E627" i="11"/>
  <c r="F627" i="11"/>
  <c r="G627" i="11"/>
  <c r="C628" i="11"/>
  <c r="D628" i="11"/>
  <c r="E628" i="11"/>
  <c r="F628" i="11"/>
  <c r="G628" i="11"/>
  <c r="C629" i="11"/>
  <c r="D629" i="11"/>
  <c r="E629" i="11"/>
  <c r="F629" i="11"/>
  <c r="G629" i="11"/>
  <c r="C630" i="11"/>
  <c r="D630" i="11"/>
  <c r="E630" i="11"/>
  <c r="F630" i="11"/>
  <c r="G630" i="11"/>
  <c r="C631" i="11"/>
  <c r="D631" i="11"/>
  <c r="E631" i="11"/>
  <c r="F631" i="11"/>
  <c r="G631" i="11"/>
  <c r="C632" i="11"/>
  <c r="D632" i="11"/>
  <c r="E632" i="11"/>
  <c r="F632" i="11"/>
  <c r="G632" i="11"/>
  <c r="C633" i="11"/>
  <c r="D633" i="11"/>
  <c r="E633" i="11"/>
  <c r="F633" i="11"/>
  <c r="G633" i="11"/>
  <c r="C634" i="11"/>
  <c r="D634" i="11"/>
  <c r="E634" i="11"/>
  <c r="F634" i="11"/>
  <c r="G634" i="11"/>
  <c r="C635" i="11"/>
  <c r="D635" i="11"/>
  <c r="E635" i="11"/>
  <c r="F635" i="11"/>
  <c r="G635" i="11"/>
  <c r="C636" i="11"/>
  <c r="D636" i="11"/>
  <c r="E636" i="11"/>
  <c r="F636" i="11"/>
  <c r="G636" i="11"/>
  <c r="C637" i="11"/>
  <c r="D637" i="11"/>
  <c r="E637" i="11"/>
  <c r="F637" i="11"/>
  <c r="G637" i="11"/>
  <c r="C638" i="11"/>
  <c r="D638" i="11"/>
  <c r="E638" i="11"/>
  <c r="F638" i="11"/>
  <c r="G638" i="11"/>
  <c r="C639" i="11"/>
  <c r="D639" i="11"/>
  <c r="E639" i="11"/>
  <c r="F639" i="11"/>
  <c r="G639" i="11"/>
  <c r="C640" i="11"/>
  <c r="D640" i="11"/>
  <c r="E640" i="11"/>
  <c r="F640" i="11"/>
  <c r="G640" i="11"/>
  <c r="C641" i="11"/>
  <c r="D641" i="11"/>
  <c r="E641" i="11"/>
  <c r="F641" i="11"/>
  <c r="G641" i="11"/>
  <c r="C642" i="11"/>
  <c r="D642" i="11"/>
  <c r="E642" i="11"/>
  <c r="F642" i="11"/>
  <c r="G642" i="11"/>
  <c r="C643" i="11"/>
  <c r="D643" i="11"/>
  <c r="E643" i="11"/>
  <c r="F643" i="11"/>
  <c r="G643" i="11"/>
  <c r="C644" i="11"/>
  <c r="D644" i="11"/>
  <c r="E644" i="11"/>
  <c r="F644" i="11"/>
  <c r="G644" i="11"/>
  <c r="C645" i="11"/>
  <c r="D645" i="11"/>
  <c r="E645" i="11"/>
  <c r="F645" i="11"/>
  <c r="G645" i="11"/>
  <c r="C646" i="11"/>
  <c r="D646" i="11"/>
  <c r="E646" i="11"/>
  <c r="F646" i="11"/>
  <c r="G646" i="11"/>
  <c r="C647" i="11"/>
  <c r="D647" i="11"/>
  <c r="E647" i="11"/>
  <c r="F647" i="11"/>
  <c r="G647" i="11"/>
  <c r="C648" i="11"/>
  <c r="D648" i="11"/>
  <c r="E648" i="11"/>
  <c r="F648" i="11"/>
  <c r="G648" i="11"/>
  <c r="C649" i="11"/>
  <c r="D649" i="11"/>
  <c r="E649" i="11"/>
  <c r="F649" i="11"/>
  <c r="G649" i="11"/>
  <c r="C650" i="11"/>
  <c r="D650" i="11"/>
  <c r="E650" i="11"/>
  <c r="F650" i="11"/>
  <c r="G650" i="11"/>
  <c r="C651" i="11"/>
  <c r="D651" i="11"/>
  <c r="E651" i="11"/>
  <c r="F651" i="11"/>
  <c r="G651" i="11"/>
  <c r="C652" i="11"/>
  <c r="D652" i="11"/>
  <c r="E652" i="11"/>
  <c r="F652" i="11"/>
  <c r="G652" i="11"/>
  <c r="C653" i="11"/>
  <c r="D653" i="11"/>
  <c r="E653" i="11"/>
  <c r="F653" i="11"/>
  <c r="G653" i="11"/>
  <c r="C654" i="11"/>
  <c r="D654" i="11"/>
  <c r="E654" i="11"/>
  <c r="F654" i="11"/>
  <c r="G654" i="11"/>
  <c r="C655" i="11"/>
  <c r="D655" i="11"/>
  <c r="E655" i="11"/>
  <c r="F655" i="11"/>
  <c r="G655" i="11"/>
  <c r="C656" i="11"/>
  <c r="D656" i="11"/>
  <c r="E656" i="11"/>
  <c r="F656" i="11"/>
  <c r="G656" i="11"/>
  <c r="C657" i="11"/>
  <c r="D657" i="11"/>
  <c r="E657" i="11"/>
  <c r="F657" i="11"/>
  <c r="G657" i="11"/>
  <c r="C658" i="11"/>
  <c r="D658" i="11"/>
  <c r="E658" i="11"/>
  <c r="F658" i="11"/>
  <c r="G658" i="11"/>
  <c r="C659" i="11"/>
  <c r="D659" i="11"/>
  <c r="E659" i="11"/>
  <c r="F659" i="11"/>
  <c r="G659" i="11"/>
  <c r="C660" i="11"/>
  <c r="D660" i="11"/>
  <c r="E660" i="11"/>
  <c r="F660" i="11"/>
  <c r="G660" i="11"/>
  <c r="C661" i="11"/>
  <c r="D661" i="11"/>
  <c r="E661" i="11"/>
  <c r="F661" i="11"/>
  <c r="G661" i="11"/>
  <c r="C662" i="11"/>
  <c r="D662" i="11"/>
  <c r="E662" i="11"/>
  <c r="F662" i="11"/>
  <c r="G662" i="11"/>
  <c r="C663" i="11"/>
  <c r="D663" i="11"/>
  <c r="E663" i="11"/>
  <c r="F663" i="11"/>
  <c r="G663" i="11"/>
  <c r="C664" i="11"/>
  <c r="D664" i="11"/>
  <c r="E664" i="11"/>
  <c r="F664" i="11"/>
  <c r="G664" i="11"/>
  <c r="C665" i="11"/>
  <c r="D665" i="11"/>
  <c r="E665" i="11"/>
  <c r="F665" i="11"/>
  <c r="G665" i="11"/>
  <c r="C666" i="11"/>
  <c r="D666" i="11"/>
  <c r="E666" i="11"/>
  <c r="F666" i="11"/>
  <c r="G666" i="11"/>
  <c r="C667" i="11"/>
  <c r="D667" i="11"/>
  <c r="E667" i="11"/>
  <c r="F667" i="11"/>
  <c r="G667" i="11"/>
  <c r="C668" i="11"/>
  <c r="D668" i="11"/>
  <c r="E668" i="11"/>
  <c r="F668" i="11"/>
  <c r="G668" i="11"/>
  <c r="C669" i="11"/>
  <c r="D669" i="11"/>
  <c r="E669" i="11"/>
  <c r="F669" i="11"/>
  <c r="G669" i="11"/>
  <c r="C670" i="11"/>
  <c r="D670" i="11"/>
  <c r="E670" i="11"/>
  <c r="F670" i="11"/>
  <c r="G670" i="11"/>
  <c r="C671" i="11"/>
  <c r="D671" i="11"/>
  <c r="E671" i="11"/>
  <c r="F671" i="11"/>
  <c r="G671" i="11"/>
  <c r="C672" i="11"/>
  <c r="D672" i="11"/>
  <c r="E672" i="11"/>
  <c r="F672" i="11"/>
  <c r="G672" i="11"/>
  <c r="C673" i="11"/>
  <c r="D673" i="11"/>
  <c r="E673" i="11"/>
  <c r="F673" i="11"/>
  <c r="G673" i="11"/>
  <c r="C674" i="11"/>
  <c r="D674" i="11"/>
  <c r="E674" i="11"/>
  <c r="F674" i="11"/>
  <c r="G674" i="11"/>
  <c r="C675" i="11"/>
  <c r="D675" i="11"/>
  <c r="E675" i="11"/>
  <c r="F675" i="11"/>
  <c r="G675" i="11"/>
  <c r="C676" i="11"/>
  <c r="D676" i="11"/>
  <c r="E676" i="11"/>
  <c r="F676" i="11"/>
  <c r="G676" i="11"/>
  <c r="C677" i="11"/>
  <c r="D677" i="11"/>
  <c r="E677" i="11"/>
  <c r="F677" i="11"/>
  <c r="G677" i="11"/>
  <c r="C678" i="11"/>
  <c r="D678" i="11"/>
  <c r="E678" i="11"/>
  <c r="F678" i="11"/>
  <c r="G678" i="11"/>
  <c r="C679" i="11"/>
  <c r="D679" i="11"/>
  <c r="E679" i="11"/>
  <c r="F679" i="11"/>
  <c r="G679" i="11"/>
  <c r="C680" i="11"/>
  <c r="D680" i="11"/>
  <c r="E680" i="11"/>
  <c r="F680" i="11"/>
  <c r="G680" i="11"/>
  <c r="C681" i="11"/>
  <c r="D681" i="11"/>
  <c r="E681" i="11"/>
  <c r="F681" i="11"/>
  <c r="G681" i="11"/>
  <c r="C682" i="11"/>
  <c r="D682" i="11"/>
  <c r="E682" i="11"/>
  <c r="F682" i="11"/>
  <c r="G682" i="11"/>
  <c r="C683" i="11"/>
  <c r="D683" i="11"/>
  <c r="E683" i="11"/>
  <c r="F683" i="11"/>
  <c r="G683" i="11"/>
  <c r="C684" i="11"/>
  <c r="D684" i="11"/>
  <c r="E684" i="11"/>
  <c r="F684" i="11"/>
  <c r="G684" i="11"/>
  <c r="C685" i="11"/>
  <c r="D685" i="11"/>
  <c r="E685" i="11"/>
  <c r="F685" i="11"/>
  <c r="G685" i="11"/>
  <c r="C686" i="11"/>
  <c r="D686" i="11"/>
  <c r="E686" i="11"/>
  <c r="F686" i="11"/>
  <c r="G686" i="11"/>
  <c r="C687" i="11"/>
  <c r="D687" i="11"/>
  <c r="E687" i="11"/>
  <c r="F687" i="11"/>
  <c r="G687" i="11"/>
  <c r="C688" i="11"/>
  <c r="D688" i="11"/>
  <c r="E688" i="11"/>
  <c r="F688" i="11"/>
  <c r="G688" i="11"/>
  <c r="C689" i="11"/>
  <c r="D689" i="11"/>
  <c r="E689" i="11"/>
  <c r="F689" i="11"/>
  <c r="G689" i="11"/>
  <c r="C690" i="11"/>
  <c r="D690" i="11"/>
  <c r="E690" i="11"/>
  <c r="F690" i="11"/>
  <c r="G690" i="11"/>
  <c r="C691" i="11"/>
  <c r="D691" i="11"/>
  <c r="E691" i="11"/>
  <c r="F691" i="11"/>
  <c r="G691" i="11"/>
  <c r="C692" i="11"/>
  <c r="D692" i="11"/>
  <c r="E692" i="11"/>
  <c r="F692" i="11"/>
  <c r="G692" i="11"/>
  <c r="C693" i="11"/>
  <c r="D693" i="11"/>
  <c r="E693" i="11"/>
  <c r="F693" i="11"/>
  <c r="G693" i="11"/>
  <c r="C694" i="11"/>
  <c r="D694" i="11"/>
  <c r="E694" i="11"/>
  <c r="F694" i="11"/>
  <c r="G694" i="11"/>
  <c r="C695" i="11"/>
  <c r="D695" i="11"/>
  <c r="E695" i="11"/>
  <c r="F695" i="11"/>
  <c r="G695" i="11"/>
  <c r="C696" i="11"/>
  <c r="D696" i="11"/>
  <c r="E696" i="11"/>
  <c r="F696" i="11"/>
  <c r="G696" i="11"/>
  <c r="C697" i="11"/>
  <c r="D697" i="11"/>
  <c r="E697" i="11"/>
  <c r="F697" i="11"/>
  <c r="G697" i="11"/>
  <c r="C698" i="11"/>
  <c r="D698" i="11"/>
  <c r="E698" i="11"/>
  <c r="F698" i="11"/>
  <c r="G698" i="11"/>
  <c r="C699" i="11"/>
  <c r="D699" i="11"/>
  <c r="E699" i="11"/>
  <c r="F699" i="11"/>
  <c r="G699" i="11"/>
  <c r="C700" i="11"/>
  <c r="D700" i="11"/>
  <c r="E700" i="11"/>
  <c r="F700" i="11"/>
  <c r="G700" i="11"/>
  <c r="C701" i="11"/>
  <c r="D701" i="11"/>
  <c r="E701" i="11"/>
  <c r="F701" i="11"/>
  <c r="G701" i="11"/>
  <c r="C702" i="11"/>
  <c r="D702" i="11"/>
  <c r="E702" i="11"/>
  <c r="F702" i="11"/>
  <c r="G702" i="11"/>
  <c r="C703" i="11"/>
  <c r="D703" i="11"/>
  <c r="E703" i="11"/>
  <c r="F703" i="11"/>
  <c r="G703" i="11"/>
  <c r="C704" i="11"/>
  <c r="D704" i="11"/>
  <c r="E704" i="11"/>
  <c r="F704" i="11"/>
  <c r="G704" i="11"/>
  <c r="C705" i="11"/>
  <c r="D705" i="11"/>
  <c r="E705" i="11"/>
  <c r="F705" i="11"/>
  <c r="G705" i="11"/>
  <c r="C706" i="11"/>
  <c r="D706" i="11"/>
  <c r="E706" i="11"/>
  <c r="F706" i="11"/>
  <c r="G706" i="11"/>
  <c r="C707" i="11"/>
  <c r="D707" i="11"/>
  <c r="E707" i="11"/>
  <c r="F707" i="11"/>
  <c r="G707" i="11"/>
  <c r="C708" i="11"/>
  <c r="D708" i="11"/>
  <c r="E708" i="11"/>
  <c r="F708" i="11"/>
  <c r="G708" i="11"/>
  <c r="C709" i="11"/>
  <c r="D709" i="11"/>
  <c r="E709" i="11"/>
  <c r="F709" i="11"/>
  <c r="G709" i="11"/>
  <c r="C710" i="11"/>
  <c r="D710" i="11"/>
  <c r="E710" i="11"/>
  <c r="F710" i="11"/>
  <c r="G710" i="11"/>
  <c r="C711" i="11"/>
  <c r="D711" i="11"/>
  <c r="E711" i="11"/>
  <c r="F711" i="11"/>
  <c r="G711" i="11"/>
  <c r="C712" i="11"/>
  <c r="D712" i="11"/>
  <c r="E712" i="11"/>
  <c r="F712" i="11"/>
  <c r="G712" i="11"/>
  <c r="C713" i="11"/>
  <c r="D713" i="11"/>
  <c r="E713" i="11"/>
  <c r="F713" i="11"/>
  <c r="G713" i="11"/>
  <c r="C714" i="11"/>
  <c r="D714" i="11"/>
  <c r="E714" i="11"/>
  <c r="F714" i="11"/>
  <c r="G714" i="11"/>
  <c r="C715" i="11"/>
  <c r="D715" i="11"/>
  <c r="E715" i="11"/>
  <c r="F715" i="11"/>
  <c r="G715" i="11"/>
  <c r="C716" i="11"/>
  <c r="D716" i="11"/>
  <c r="E716" i="11"/>
  <c r="F716" i="11"/>
  <c r="G716" i="11"/>
  <c r="C717" i="11"/>
  <c r="D717" i="11"/>
  <c r="E717" i="11"/>
  <c r="F717" i="11"/>
  <c r="G717" i="11"/>
  <c r="C718" i="11"/>
  <c r="D718" i="11"/>
  <c r="E718" i="11"/>
  <c r="F718" i="11"/>
  <c r="G718" i="11"/>
  <c r="C719" i="11"/>
  <c r="D719" i="11"/>
  <c r="E719" i="11"/>
  <c r="F719" i="11"/>
  <c r="G719" i="11"/>
  <c r="C720" i="11"/>
  <c r="D720" i="11"/>
  <c r="E720" i="11"/>
  <c r="F720" i="11"/>
  <c r="G720" i="11"/>
  <c r="C721" i="11"/>
  <c r="D721" i="11"/>
  <c r="E721" i="11"/>
  <c r="F721" i="11"/>
  <c r="G721" i="11"/>
  <c r="C722" i="11"/>
  <c r="D722" i="11"/>
  <c r="E722" i="11"/>
  <c r="F722" i="11"/>
  <c r="G722" i="11"/>
  <c r="C723" i="11"/>
  <c r="D723" i="11"/>
  <c r="E723" i="11"/>
  <c r="F723" i="11"/>
  <c r="G723" i="11"/>
  <c r="C724" i="11"/>
  <c r="D724" i="11"/>
  <c r="E724" i="11"/>
  <c r="F724" i="11"/>
  <c r="G724" i="11"/>
  <c r="C725" i="11"/>
  <c r="D725" i="11"/>
  <c r="E725" i="11"/>
  <c r="F725" i="11"/>
  <c r="G725" i="11"/>
  <c r="C726" i="11"/>
  <c r="D726" i="11"/>
  <c r="E726" i="11"/>
  <c r="F726" i="11"/>
  <c r="G726" i="11"/>
  <c r="C727" i="11"/>
  <c r="D727" i="11"/>
  <c r="E727" i="11"/>
  <c r="F727" i="11"/>
  <c r="G727" i="11"/>
  <c r="C728" i="11"/>
  <c r="D728" i="11"/>
  <c r="E728" i="11"/>
  <c r="F728" i="11"/>
  <c r="G728" i="11"/>
  <c r="C729" i="11"/>
  <c r="D729" i="11"/>
  <c r="E729" i="11"/>
  <c r="F729" i="11"/>
  <c r="G729" i="11"/>
  <c r="C730" i="11"/>
  <c r="D730" i="11"/>
  <c r="E730" i="11"/>
  <c r="F730" i="11"/>
  <c r="G730" i="11"/>
  <c r="C731" i="11"/>
  <c r="D731" i="11"/>
  <c r="E731" i="11"/>
  <c r="F731" i="11"/>
  <c r="G731" i="11"/>
  <c r="C732" i="11"/>
  <c r="D732" i="11"/>
  <c r="E732" i="11"/>
  <c r="F732" i="11"/>
  <c r="G732" i="11"/>
  <c r="C733" i="11"/>
  <c r="D733" i="11"/>
  <c r="E733" i="11"/>
  <c r="F733" i="11"/>
  <c r="G733" i="11"/>
  <c r="C734" i="11"/>
  <c r="D734" i="11"/>
  <c r="E734" i="11"/>
  <c r="F734" i="11"/>
  <c r="G734" i="11"/>
  <c r="C735" i="11"/>
  <c r="D735" i="11"/>
  <c r="E735" i="11"/>
  <c r="F735" i="11"/>
  <c r="G735" i="11"/>
  <c r="C736" i="11"/>
  <c r="D736" i="11"/>
  <c r="E736" i="11"/>
  <c r="F736" i="11"/>
  <c r="G736" i="11"/>
  <c r="C737" i="11"/>
  <c r="D737" i="11"/>
  <c r="E737" i="11"/>
  <c r="F737" i="11"/>
  <c r="G737" i="11"/>
  <c r="C738" i="11"/>
  <c r="D738" i="11"/>
  <c r="E738" i="11"/>
  <c r="F738" i="11"/>
  <c r="G738" i="11"/>
  <c r="C739" i="11"/>
  <c r="D739" i="11"/>
  <c r="E739" i="11"/>
  <c r="F739" i="11"/>
  <c r="G739" i="11"/>
  <c r="C740" i="11"/>
  <c r="D740" i="11"/>
  <c r="E740" i="11"/>
  <c r="F740" i="11"/>
  <c r="G740" i="11"/>
  <c r="C741" i="11"/>
  <c r="D741" i="11"/>
  <c r="E741" i="11"/>
  <c r="F741" i="11"/>
  <c r="G741" i="11"/>
  <c r="C742" i="11"/>
  <c r="D742" i="11"/>
  <c r="E742" i="11"/>
  <c r="F742" i="11"/>
  <c r="G742" i="11"/>
  <c r="C743" i="11"/>
  <c r="D743" i="11"/>
  <c r="E743" i="11"/>
  <c r="F743" i="11"/>
  <c r="G743" i="11"/>
  <c r="C744" i="11"/>
  <c r="D744" i="11"/>
  <c r="E744" i="11"/>
  <c r="F744" i="11"/>
  <c r="G744" i="11"/>
  <c r="C745" i="11"/>
  <c r="D745" i="11"/>
  <c r="E745" i="11"/>
  <c r="F745" i="11"/>
  <c r="G745" i="11"/>
  <c r="C746" i="11"/>
  <c r="D746" i="11"/>
  <c r="E746" i="11"/>
  <c r="F746" i="11"/>
  <c r="G746" i="11"/>
  <c r="C747" i="11"/>
  <c r="D747" i="11"/>
  <c r="E747" i="11"/>
  <c r="F747" i="11"/>
  <c r="G747" i="11"/>
  <c r="C748" i="11"/>
  <c r="D748" i="11"/>
  <c r="E748" i="11"/>
  <c r="F748" i="11"/>
  <c r="G748" i="11"/>
  <c r="C749" i="11"/>
  <c r="D749" i="11"/>
  <c r="E749" i="11"/>
  <c r="F749" i="11"/>
  <c r="G749" i="11"/>
  <c r="C750" i="11"/>
  <c r="D750" i="11"/>
  <c r="E750" i="11"/>
  <c r="F750" i="11"/>
  <c r="G750" i="11"/>
  <c r="C751" i="11"/>
  <c r="D751" i="11"/>
  <c r="E751" i="11"/>
  <c r="F751" i="11"/>
  <c r="G751" i="11"/>
  <c r="C752" i="11"/>
  <c r="D752" i="11"/>
  <c r="E752" i="11"/>
  <c r="F752" i="11"/>
  <c r="G752" i="11"/>
  <c r="C753" i="11"/>
  <c r="D753" i="11"/>
  <c r="E753" i="11"/>
  <c r="F753" i="11"/>
  <c r="G753" i="11"/>
  <c r="C754" i="11"/>
  <c r="D754" i="11"/>
  <c r="E754" i="11"/>
  <c r="F754" i="11"/>
  <c r="G754" i="11"/>
  <c r="C755" i="11"/>
  <c r="D755" i="11"/>
  <c r="E755" i="11"/>
  <c r="F755" i="11"/>
  <c r="G755" i="11"/>
  <c r="C756" i="11"/>
  <c r="D756" i="11"/>
  <c r="E756" i="11"/>
  <c r="F756" i="11"/>
  <c r="G756" i="11"/>
  <c r="C757" i="11"/>
  <c r="D757" i="11"/>
  <c r="E757" i="11"/>
  <c r="F757" i="11"/>
  <c r="G757" i="11"/>
  <c r="C758" i="11"/>
  <c r="D758" i="11"/>
  <c r="E758" i="11"/>
  <c r="F758" i="11"/>
  <c r="G758" i="11"/>
  <c r="C759" i="11"/>
  <c r="D759" i="11"/>
  <c r="E759" i="11"/>
  <c r="F759" i="11"/>
  <c r="G759" i="11"/>
  <c r="C760" i="11"/>
  <c r="D760" i="11"/>
  <c r="E760" i="11"/>
  <c r="F760" i="11"/>
  <c r="G760" i="11"/>
  <c r="C761" i="11"/>
  <c r="D761" i="11"/>
  <c r="E761" i="11"/>
  <c r="F761" i="11"/>
  <c r="G761" i="11"/>
  <c r="C762" i="11"/>
  <c r="D762" i="11"/>
  <c r="E762" i="11"/>
  <c r="F762" i="11"/>
  <c r="G762" i="11"/>
  <c r="C763" i="11"/>
  <c r="D763" i="11"/>
  <c r="E763" i="11"/>
  <c r="F763" i="11"/>
  <c r="G763" i="11"/>
  <c r="C764" i="11"/>
  <c r="D764" i="11"/>
  <c r="E764" i="11"/>
  <c r="F764" i="11"/>
  <c r="G764" i="11"/>
  <c r="C765" i="11"/>
  <c r="D765" i="11"/>
  <c r="E765" i="11"/>
  <c r="F765" i="11"/>
  <c r="G765" i="11"/>
  <c r="C766" i="11"/>
  <c r="D766" i="11"/>
  <c r="E766" i="11"/>
  <c r="F766" i="11"/>
  <c r="G766" i="11"/>
  <c r="C767" i="11"/>
  <c r="D767" i="11"/>
  <c r="E767" i="11"/>
  <c r="F767" i="11"/>
  <c r="G767" i="11"/>
  <c r="C768" i="11"/>
  <c r="D768" i="11"/>
  <c r="E768" i="11"/>
  <c r="F768" i="11"/>
  <c r="G768" i="11"/>
  <c r="C769" i="11"/>
  <c r="D769" i="11"/>
  <c r="E769" i="11"/>
  <c r="F769" i="11"/>
  <c r="G769" i="11"/>
  <c r="C770" i="11"/>
  <c r="D770" i="11"/>
  <c r="E770" i="11"/>
  <c r="F770" i="11"/>
  <c r="G770" i="11"/>
  <c r="C771" i="11"/>
  <c r="D771" i="11"/>
  <c r="E771" i="11"/>
  <c r="F771" i="11"/>
  <c r="G771" i="11"/>
  <c r="C772" i="11"/>
  <c r="D772" i="11"/>
  <c r="E772" i="11"/>
  <c r="F772" i="11"/>
  <c r="G772" i="11"/>
  <c r="C773" i="11"/>
  <c r="D773" i="11"/>
  <c r="E773" i="11"/>
  <c r="F773" i="11"/>
  <c r="G773" i="11"/>
  <c r="C774" i="11"/>
  <c r="D774" i="11"/>
  <c r="E774" i="11"/>
  <c r="F774" i="11"/>
  <c r="G774" i="11"/>
  <c r="C775" i="11"/>
  <c r="D775" i="11"/>
  <c r="E775" i="11"/>
  <c r="F775" i="11"/>
  <c r="G775" i="11"/>
  <c r="C776" i="11"/>
  <c r="D776" i="11"/>
  <c r="E776" i="11"/>
  <c r="F776" i="11"/>
  <c r="G776" i="11"/>
  <c r="C777" i="11"/>
  <c r="D777" i="11"/>
  <c r="E777" i="11"/>
  <c r="F777" i="11"/>
  <c r="G777" i="11"/>
  <c r="C778" i="11"/>
  <c r="D778" i="11"/>
  <c r="E778" i="11"/>
  <c r="F778" i="11"/>
  <c r="G778" i="11"/>
  <c r="C779" i="11"/>
  <c r="D779" i="11"/>
  <c r="E779" i="11"/>
  <c r="F779" i="11"/>
  <c r="G779" i="11"/>
  <c r="C780" i="11"/>
  <c r="D780" i="11"/>
  <c r="E780" i="11"/>
  <c r="F780" i="11"/>
  <c r="G780" i="11"/>
  <c r="C781" i="11"/>
  <c r="D781" i="11"/>
  <c r="E781" i="11"/>
  <c r="F781" i="11"/>
  <c r="G781" i="11"/>
  <c r="C782" i="11"/>
  <c r="D782" i="11"/>
  <c r="E782" i="11"/>
  <c r="F782" i="11"/>
  <c r="G782" i="11"/>
  <c r="C783" i="11"/>
  <c r="D783" i="11"/>
  <c r="E783" i="11"/>
  <c r="F783" i="11"/>
  <c r="G783" i="11"/>
  <c r="C784" i="11"/>
  <c r="D784" i="11"/>
  <c r="E784" i="11"/>
  <c r="F784" i="11"/>
  <c r="G784" i="11"/>
  <c r="C785" i="11"/>
  <c r="D785" i="11"/>
  <c r="E785" i="11"/>
  <c r="F785" i="11"/>
  <c r="G785" i="11"/>
  <c r="C786" i="11"/>
  <c r="D786" i="11"/>
  <c r="E786" i="11"/>
  <c r="F786" i="11"/>
  <c r="G786" i="11"/>
  <c r="C787" i="11"/>
  <c r="D787" i="11"/>
  <c r="E787" i="11"/>
  <c r="F787" i="11"/>
  <c r="G787" i="11"/>
  <c r="C788" i="11"/>
  <c r="D788" i="11"/>
  <c r="E788" i="11"/>
  <c r="F788" i="11"/>
  <c r="G788" i="11"/>
  <c r="C789" i="11"/>
  <c r="D789" i="11"/>
  <c r="E789" i="11"/>
  <c r="F789" i="11"/>
  <c r="G789" i="11"/>
  <c r="C790" i="11"/>
  <c r="D790" i="11"/>
  <c r="E790" i="11"/>
  <c r="F790" i="11"/>
  <c r="G790" i="11"/>
  <c r="C791" i="11"/>
  <c r="D791" i="11"/>
  <c r="E791" i="11"/>
  <c r="F791" i="11"/>
  <c r="G791" i="11"/>
  <c r="C792" i="11"/>
  <c r="D792" i="11"/>
  <c r="E792" i="11"/>
  <c r="F792" i="11"/>
  <c r="G792" i="11"/>
  <c r="C793" i="11"/>
  <c r="D793" i="11"/>
  <c r="E793" i="11"/>
  <c r="F793" i="11"/>
  <c r="G793" i="11"/>
  <c r="C794" i="11"/>
  <c r="D794" i="11"/>
  <c r="E794" i="11"/>
  <c r="F794" i="11"/>
  <c r="G794" i="11"/>
  <c r="C795" i="11"/>
  <c r="D795" i="11"/>
  <c r="E795" i="11"/>
  <c r="F795" i="11"/>
  <c r="G795" i="11"/>
  <c r="C796" i="11"/>
  <c r="D796" i="11"/>
  <c r="E796" i="11"/>
  <c r="F796" i="11"/>
  <c r="G796" i="11"/>
  <c r="C797" i="11"/>
  <c r="D797" i="11"/>
  <c r="E797" i="11"/>
  <c r="F797" i="11"/>
  <c r="G797" i="11"/>
  <c r="C798" i="11"/>
  <c r="D798" i="11"/>
  <c r="E798" i="11"/>
  <c r="F798" i="11"/>
  <c r="G798" i="11"/>
  <c r="C799" i="11"/>
  <c r="D799" i="11"/>
  <c r="E799" i="11"/>
  <c r="F799" i="11"/>
  <c r="G799" i="11"/>
  <c r="C800" i="11"/>
  <c r="D800" i="11"/>
  <c r="E800" i="11"/>
  <c r="F800" i="11"/>
  <c r="G800" i="11"/>
  <c r="C801" i="11"/>
  <c r="D801" i="11"/>
  <c r="E801" i="11"/>
  <c r="F801" i="11"/>
  <c r="G801" i="11"/>
  <c r="C802" i="11"/>
  <c r="D802" i="11"/>
  <c r="E802" i="11"/>
  <c r="F802" i="11"/>
  <c r="G802" i="11"/>
  <c r="C803" i="11"/>
  <c r="D803" i="11"/>
  <c r="E803" i="11"/>
  <c r="F803" i="11"/>
  <c r="G803" i="11"/>
  <c r="C804" i="11"/>
  <c r="D804" i="11"/>
  <c r="E804" i="11"/>
  <c r="F804" i="11"/>
  <c r="G804" i="11"/>
  <c r="C2" i="11"/>
  <c r="D2" i="11"/>
  <c r="E2" i="11"/>
  <c r="F2" i="11"/>
  <c r="G2" i="11"/>
  <c r="X6" i="1"/>
  <c r="X5" i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2" i="8"/>
  <c r="L4" i="8"/>
  <c r="L5" i="8" s="1"/>
  <c r="L6" i="8" s="1"/>
  <c r="L7" i="8" s="1"/>
  <c r="L8" i="8" s="1"/>
  <c r="L9" i="8" s="1"/>
  <c r="L10" i="8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L120" i="8" s="1"/>
  <c r="L121" i="8" s="1"/>
  <c r="L122" i="8" s="1"/>
  <c r="L123" i="8" s="1"/>
  <c r="L124" i="8" s="1"/>
  <c r="L125" i="8" s="1"/>
  <c r="L126" i="8" s="1"/>
  <c r="L127" i="8" s="1"/>
  <c r="L128" i="8" s="1"/>
  <c r="L129" i="8" s="1"/>
  <c r="L130" i="8" s="1"/>
  <c r="L131" i="8" s="1"/>
  <c r="L132" i="8" s="1"/>
  <c r="L133" i="8" s="1"/>
  <c r="L134" i="8" s="1"/>
  <c r="L135" i="8" s="1"/>
  <c r="L136" i="8" s="1"/>
  <c r="L137" i="8" s="1"/>
  <c r="L138" i="8" s="1"/>
  <c r="L139" i="8" s="1"/>
  <c r="L140" i="8" s="1"/>
  <c r="L141" i="8" s="1"/>
  <c r="L142" i="8" s="1"/>
  <c r="L143" i="8" s="1"/>
  <c r="L144" i="8" s="1"/>
  <c r="L145" i="8" s="1"/>
  <c r="L146" i="8" s="1"/>
  <c r="L147" i="8" s="1"/>
  <c r="L148" i="8" s="1"/>
  <c r="L149" i="8" s="1"/>
  <c r="L150" i="8" s="1"/>
  <c r="L151" i="8" s="1"/>
  <c r="L152" i="8" s="1"/>
  <c r="L153" i="8" s="1"/>
  <c r="L154" i="8" s="1"/>
  <c r="L155" i="8" s="1"/>
  <c r="L156" i="8" s="1"/>
  <c r="L157" i="8" s="1"/>
  <c r="L158" i="8" s="1"/>
  <c r="L159" i="8" s="1"/>
  <c r="L160" i="8" s="1"/>
  <c r="L161" i="8" s="1"/>
  <c r="L162" i="8" s="1"/>
  <c r="L163" i="8" s="1"/>
  <c r="L164" i="8" s="1"/>
  <c r="L165" i="8" s="1"/>
  <c r="L166" i="8" s="1"/>
  <c r="L167" i="8" s="1"/>
  <c r="L168" i="8" s="1"/>
  <c r="L169" i="8" s="1"/>
  <c r="L170" i="8" s="1"/>
  <c r="L171" i="8" s="1"/>
  <c r="L172" i="8" s="1"/>
  <c r="L173" i="8" s="1"/>
  <c r="L174" i="8" s="1"/>
  <c r="L175" i="8" s="1"/>
  <c r="L176" i="8" s="1"/>
  <c r="L177" i="8" s="1"/>
  <c r="L178" i="8" s="1"/>
  <c r="L179" i="8" s="1"/>
  <c r="L180" i="8" s="1"/>
  <c r="L181" i="8" s="1"/>
  <c r="L182" i="8" s="1"/>
  <c r="L183" i="8" s="1"/>
  <c r="L184" i="8" s="1"/>
  <c r="L185" i="8" s="1"/>
  <c r="L186" i="8" s="1"/>
  <c r="L187" i="8" s="1"/>
  <c r="L188" i="8" s="1"/>
  <c r="L189" i="8" s="1"/>
  <c r="L190" i="8" s="1"/>
  <c r="L191" i="8" s="1"/>
  <c r="L192" i="8" s="1"/>
  <c r="L193" i="8" s="1"/>
  <c r="L194" i="8" s="1"/>
  <c r="L195" i="8" s="1"/>
  <c r="L196" i="8" s="1"/>
  <c r="L197" i="8" s="1"/>
  <c r="L198" i="8" s="1"/>
  <c r="L199" i="8" s="1"/>
  <c r="L200" i="8" s="1"/>
  <c r="L201" i="8" s="1"/>
  <c r="L202" i="8" s="1"/>
  <c r="L203" i="8" s="1"/>
  <c r="L204" i="8" s="1"/>
  <c r="L205" i="8" s="1"/>
  <c r="L206" i="8" s="1"/>
  <c r="L207" i="8" s="1"/>
  <c r="L208" i="8" s="1"/>
  <c r="L209" i="8" s="1"/>
  <c r="L210" i="8" s="1"/>
  <c r="L211" i="8" s="1"/>
  <c r="L212" i="8" s="1"/>
  <c r="L213" i="8" s="1"/>
  <c r="L214" i="8" s="1"/>
  <c r="L215" i="8" s="1"/>
  <c r="L216" i="8" s="1"/>
  <c r="L217" i="8" s="1"/>
  <c r="L218" i="8" s="1"/>
  <c r="L219" i="8" s="1"/>
  <c r="L220" i="8" s="1"/>
  <c r="L221" i="8" s="1"/>
  <c r="L222" i="8" s="1"/>
  <c r="L223" i="8" s="1"/>
  <c r="L224" i="8" s="1"/>
  <c r="L225" i="8" s="1"/>
  <c r="L226" i="8" s="1"/>
  <c r="L227" i="8" s="1"/>
  <c r="L228" i="8" s="1"/>
  <c r="L229" i="8" s="1"/>
  <c r="L230" i="8" s="1"/>
  <c r="L231" i="8" s="1"/>
  <c r="L232" i="8" s="1"/>
  <c r="L233" i="8" s="1"/>
  <c r="L234" i="8" s="1"/>
  <c r="L235" i="8" s="1"/>
  <c r="L236" i="8" s="1"/>
  <c r="L237" i="8" s="1"/>
  <c r="L238" i="8" s="1"/>
  <c r="L239" i="8" s="1"/>
  <c r="L240" i="8" s="1"/>
  <c r="L241" i="8" s="1"/>
  <c r="L242" i="8" s="1"/>
  <c r="L243" i="8" s="1"/>
  <c r="L244" i="8" s="1"/>
  <c r="L245" i="8" s="1"/>
  <c r="L246" i="8" s="1"/>
  <c r="L247" i="8" s="1"/>
  <c r="L248" i="8" s="1"/>
  <c r="L249" i="8" s="1"/>
  <c r="L250" i="8" s="1"/>
  <c r="L251" i="8" s="1"/>
  <c r="L252" i="8" s="1"/>
  <c r="L253" i="8" s="1"/>
  <c r="L254" i="8" s="1"/>
  <c r="L255" i="8" s="1"/>
  <c r="L256" i="8" s="1"/>
  <c r="L257" i="8" s="1"/>
  <c r="L258" i="8" s="1"/>
  <c r="L259" i="8" s="1"/>
  <c r="L260" i="8" s="1"/>
  <c r="L261" i="8" s="1"/>
  <c r="L262" i="8" s="1"/>
  <c r="L263" i="8" s="1"/>
  <c r="L264" i="8" s="1"/>
  <c r="L265" i="8" s="1"/>
  <c r="L266" i="8" s="1"/>
  <c r="L267" i="8" s="1"/>
  <c r="L268" i="8" s="1"/>
  <c r="L269" i="8" s="1"/>
  <c r="L270" i="8" s="1"/>
  <c r="L271" i="8" s="1"/>
  <c r="L272" i="8" s="1"/>
  <c r="L273" i="8" s="1"/>
  <c r="L274" i="8" s="1"/>
  <c r="L275" i="8" s="1"/>
  <c r="L276" i="8" s="1"/>
  <c r="L277" i="8" s="1"/>
  <c r="L278" i="8" s="1"/>
  <c r="L279" i="8" s="1"/>
  <c r="L280" i="8" s="1"/>
  <c r="L281" i="8" s="1"/>
  <c r="L282" i="8" s="1"/>
  <c r="L283" i="8" s="1"/>
  <c r="L284" i="8" s="1"/>
  <c r="L285" i="8" s="1"/>
  <c r="L286" i="8" s="1"/>
  <c r="L287" i="8" s="1"/>
  <c r="L288" i="8" s="1"/>
  <c r="L289" i="8" s="1"/>
  <c r="L290" i="8" s="1"/>
  <c r="L291" i="8" s="1"/>
  <c r="L292" i="8" s="1"/>
  <c r="L293" i="8" s="1"/>
  <c r="L294" i="8" s="1"/>
  <c r="L295" i="8" s="1"/>
  <c r="L296" i="8" s="1"/>
  <c r="L297" i="8" s="1"/>
  <c r="L298" i="8" s="1"/>
  <c r="L299" i="8" s="1"/>
  <c r="L300" i="8" s="1"/>
  <c r="L301" i="8" s="1"/>
  <c r="L302" i="8" s="1"/>
  <c r="L303" i="8" s="1"/>
  <c r="L304" i="8" s="1"/>
  <c r="L305" i="8" s="1"/>
  <c r="L306" i="8" s="1"/>
  <c r="L307" i="8" s="1"/>
  <c r="L308" i="8" s="1"/>
  <c r="L309" i="8" s="1"/>
  <c r="L310" i="8" s="1"/>
  <c r="L311" i="8" s="1"/>
  <c r="L312" i="8" s="1"/>
  <c r="L313" i="8" s="1"/>
  <c r="L314" i="8" s="1"/>
  <c r="L315" i="8" s="1"/>
  <c r="L316" i="8" s="1"/>
  <c r="L317" i="8" s="1"/>
  <c r="L318" i="8" s="1"/>
  <c r="L319" i="8" s="1"/>
  <c r="L320" i="8" s="1"/>
  <c r="L321" i="8" s="1"/>
  <c r="L322" i="8" s="1"/>
  <c r="L323" i="8" s="1"/>
  <c r="L324" i="8" s="1"/>
  <c r="L325" i="8" s="1"/>
  <c r="L326" i="8" s="1"/>
  <c r="L327" i="8" s="1"/>
  <c r="L328" i="8" s="1"/>
  <c r="L329" i="8" s="1"/>
  <c r="L330" i="8" s="1"/>
  <c r="L331" i="8" s="1"/>
  <c r="L332" i="8" s="1"/>
  <c r="L333" i="8" s="1"/>
  <c r="L334" i="8" s="1"/>
  <c r="L335" i="8" s="1"/>
  <c r="L336" i="8" s="1"/>
  <c r="L337" i="8" s="1"/>
  <c r="L338" i="8" s="1"/>
  <c r="L339" i="8" s="1"/>
  <c r="L340" i="8" s="1"/>
  <c r="L341" i="8" s="1"/>
  <c r="L342" i="8" s="1"/>
  <c r="L343" i="8" s="1"/>
  <c r="L344" i="8" s="1"/>
  <c r="L345" i="8" s="1"/>
  <c r="L346" i="8" s="1"/>
  <c r="L347" i="8" s="1"/>
  <c r="L348" i="8" s="1"/>
  <c r="L349" i="8" s="1"/>
  <c r="L350" i="8" s="1"/>
  <c r="L351" i="8" s="1"/>
  <c r="L352" i="8" s="1"/>
  <c r="L353" i="8" s="1"/>
  <c r="L354" i="8" s="1"/>
  <c r="L355" i="8" s="1"/>
  <c r="L356" i="8" s="1"/>
  <c r="L357" i="8" s="1"/>
  <c r="L358" i="8" s="1"/>
  <c r="L359" i="8" s="1"/>
  <c r="L360" i="8" s="1"/>
  <c r="L361" i="8" s="1"/>
  <c r="L362" i="8" s="1"/>
  <c r="L363" i="8" s="1"/>
  <c r="L364" i="8" s="1"/>
  <c r="L365" i="8" s="1"/>
  <c r="L366" i="8" s="1"/>
  <c r="L367" i="8" s="1"/>
  <c r="L368" i="8" s="1"/>
  <c r="L369" i="8" s="1"/>
  <c r="L370" i="8" s="1"/>
  <c r="L371" i="8" s="1"/>
  <c r="L372" i="8" s="1"/>
  <c r="L373" i="8" s="1"/>
  <c r="L374" i="8" s="1"/>
  <c r="L375" i="8" s="1"/>
  <c r="L376" i="8" s="1"/>
  <c r="L377" i="8" s="1"/>
  <c r="L378" i="8" s="1"/>
  <c r="L379" i="8" s="1"/>
  <c r="L380" i="8" s="1"/>
  <c r="L381" i="8" s="1"/>
  <c r="L382" i="8" s="1"/>
  <c r="L383" i="8" s="1"/>
  <c r="L384" i="8" s="1"/>
  <c r="L385" i="8" s="1"/>
  <c r="L386" i="8" s="1"/>
  <c r="L387" i="8" s="1"/>
  <c r="L388" i="8" s="1"/>
  <c r="L389" i="8" s="1"/>
  <c r="L390" i="8" s="1"/>
  <c r="L391" i="8" s="1"/>
  <c r="L392" i="8" s="1"/>
  <c r="L393" i="8" s="1"/>
  <c r="L394" i="8" s="1"/>
  <c r="L395" i="8" s="1"/>
  <c r="L396" i="8" s="1"/>
  <c r="L397" i="8" s="1"/>
  <c r="L398" i="8" s="1"/>
  <c r="L399" i="8" s="1"/>
  <c r="L400" i="8" s="1"/>
  <c r="L401" i="8" s="1"/>
  <c r="L402" i="8" s="1"/>
  <c r="L403" i="8" s="1"/>
  <c r="L404" i="8" s="1"/>
  <c r="L405" i="8" s="1"/>
  <c r="L406" i="8" s="1"/>
  <c r="L407" i="8" s="1"/>
  <c r="L408" i="8" s="1"/>
  <c r="L409" i="8" s="1"/>
  <c r="L410" i="8" s="1"/>
  <c r="L411" i="8" s="1"/>
  <c r="L412" i="8" s="1"/>
  <c r="L413" i="8" s="1"/>
  <c r="L414" i="8" s="1"/>
  <c r="L415" i="8" s="1"/>
  <c r="L416" i="8" s="1"/>
  <c r="L417" i="8" s="1"/>
  <c r="L418" i="8" s="1"/>
  <c r="L419" i="8" s="1"/>
  <c r="L420" i="8" s="1"/>
  <c r="L421" i="8" s="1"/>
  <c r="L422" i="8" s="1"/>
  <c r="L423" i="8" s="1"/>
  <c r="L424" i="8" s="1"/>
  <c r="L425" i="8" s="1"/>
  <c r="L426" i="8" s="1"/>
  <c r="L427" i="8" s="1"/>
  <c r="L428" i="8" s="1"/>
  <c r="L429" i="8" s="1"/>
  <c r="L430" i="8" s="1"/>
  <c r="L431" i="8" s="1"/>
  <c r="L432" i="8" s="1"/>
  <c r="L433" i="8" s="1"/>
  <c r="L434" i="8" s="1"/>
  <c r="L435" i="8" s="1"/>
  <c r="L436" i="8" s="1"/>
  <c r="L437" i="8" s="1"/>
  <c r="L438" i="8" s="1"/>
  <c r="L439" i="8" s="1"/>
  <c r="L440" i="8" s="1"/>
  <c r="L441" i="8" s="1"/>
  <c r="L442" i="8" s="1"/>
  <c r="L443" i="8" s="1"/>
  <c r="L444" i="8" s="1"/>
  <c r="L445" i="8" s="1"/>
  <c r="L446" i="8" s="1"/>
  <c r="L447" i="8" s="1"/>
  <c r="L448" i="8" s="1"/>
  <c r="L449" i="8" s="1"/>
  <c r="L450" i="8" s="1"/>
  <c r="L451" i="8" s="1"/>
  <c r="L452" i="8" s="1"/>
  <c r="L453" i="8" s="1"/>
  <c r="L454" i="8" s="1"/>
  <c r="L455" i="8" s="1"/>
  <c r="L456" i="8" s="1"/>
  <c r="L457" i="8" s="1"/>
  <c r="L458" i="8" s="1"/>
  <c r="L459" i="8" s="1"/>
  <c r="L460" i="8" s="1"/>
  <c r="L461" i="8" s="1"/>
  <c r="L462" i="8" s="1"/>
  <c r="L463" i="8" s="1"/>
  <c r="L464" i="8" s="1"/>
  <c r="L465" i="8" s="1"/>
  <c r="L466" i="8" s="1"/>
  <c r="L467" i="8" s="1"/>
  <c r="L468" i="8" s="1"/>
  <c r="L469" i="8" s="1"/>
  <c r="L470" i="8" s="1"/>
  <c r="L471" i="8" s="1"/>
  <c r="L472" i="8" s="1"/>
  <c r="L473" i="8" s="1"/>
  <c r="L474" i="8" s="1"/>
  <c r="L475" i="8" s="1"/>
  <c r="L476" i="8" s="1"/>
  <c r="L477" i="8" s="1"/>
  <c r="L478" i="8" s="1"/>
  <c r="L479" i="8" s="1"/>
  <c r="L480" i="8" s="1"/>
  <c r="L481" i="8" s="1"/>
  <c r="L482" i="8" s="1"/>
  <c r="L483" i="8" s="1"/>
  <c r="L484" i="8" s="1"/>
  <c r="L485" i="8" s="1"/>
  <c r="L486" i="8" s="1"/>
  <c r="L487" i="8" s="1"/>
  <c r="L488" i="8" s="1"/>
  <c r="L489" i="8" s="1"/>
  <c r="L490" i="8" s="1"/>
  <c r="L491" i="8" s="1"/>
  <c r="L492" i="8" s="1"/>
  <c r="L493" i="8" s="1"/>
  <c r="L494" i="8" s="1"/>
  <c r="L495" i="8" s="1"/>
  <c r="L496" i="8" s="1"/>
  <c r="L497" i="8" s="1"/>
  <c r="L498" i="8" s="1"/>
  <c r="L499" i="8" s="1"/>
  <c r="L500" i="8" s="1"/>
  <c r="L501" i="8" s="1"/>
  <c r="L502" i="8" s="1"/>
  <c r="L503" i="8" s="1"/>
  <c r="L504" i="8" s="1"/>
  <c r="L505" i="8" s="1"/>
  <c r="L506" i="8" s="1"/>
  <c r="L507" i="8" s="1"/>
  <c r="L508" i="8" s="1"/>
  <c r="L509" i="8" s="1"/>
  <c r="L510" i="8" s="1"/>
  <c r="L511" i="8" s="1"/>
  <c r="L512" i="8" s="1"/>
  <c r="L513" i="8" s="1"/>
  <c r="L514" i="8" s="1"/>
  <c r="L515" i="8" s="1"/>
  <c r="L516" i="8" s="1"/>
  <c r="L517" i="8" s="1"/>
  <c r="L518" i="8" s="1"/>
  <c r="L519" i="8" s="1"/>
  <c r="L520" i="8" s="1"/>
  <c r="L521" i="8" s="1"/>
  <c r="L522" i="8" s="1"/>
  <c r="L523" i="8" s="1"/>
  <c r="L524" i="8" s="1"/>
  <c r="L525" i="8" s="1"/>
  <c r="L526" i="8" s="1"/>
  <c r="L527" i="8" s="1"/>
  <c r="L528" i="8" s="1"/>
  <c r="L529" i="8" s="1"/>
  <c r="L530" i="8" s="1"/>
  <c r="L531" i="8" s="1"/>
  <c r="L532" i="8" s="1"/>
  <c r="L533" i="8" s="1"/>
  <c r="L534" i="8" s="1"/>
  <c r="L535" i="8" s="1"/>
  <c r="L536" i="8" s="1"/>
  <c r="L537" i="8" s="1"/>
  <c r="L538" i="8" s="1"/>
  <c r="L539" i="8" s="1"/>
  <c r="L540" i="8" s="1"/>
  <c r="L541" i="8" s="1"/>
  <c r="L542" i="8" s="1"/>
  <c r="L543" i="8" s="1"/>
  <c r="L544" i="8" s="1"/>
  <c r="L545" i="8" s="1"/>
  <c r="L546" i="8" s="1"/>
  <c r="L547" i="8" s="1"/>
  <c r="L548" i="8" s="1"/>
  <c r="L549" i="8" s="1"/>
  <c r="L550" i="8" s="1"/>
  <c r="L551" i="8" s="1"/>
  <c r="L552" i="8" s="1"/>
  <c r="L553" i="8" s="1"/>
  <c r="L554" i="8" s="1"/>
  <c r="L555" i="8" s="1"/>
  <c r="L556" i="8" s="1"/>
  <c r="L557" i="8" s="1"/>
  <c r="L558" i="8" s="1"/>
  <c r="L559" i="8" s="1"/>
  <c r="L560" i="8" s="1"/>
  <c r="L561" i="8" s="1"/>
  <c r="L562" i="8" s="1"/>
  <c r="L563" i="8" s="1"/>
  <c r="L564" i="8" s="1"/>
  <c r="L565" i="8" s="1"/>
  <c r="L566" i="8" s="1"/>
  <c r="L567" i="8" s="1"/>
  <c r="L568" i="8" s="1"/>
  <c r="L569" i="8" s="1"/>
  <c r="L570" i="8" s="1"/>
  <c r="L571" i="8" s="1"/>
  <c r="L572" i="8" s="1"/>
  <c r="L573" i="8" s="1"/>
  <c r="L574" i="8" s="1"/>
  <c r="L575" i="8" s="1"/>
  <c r="L576" i="8" s="1"/>
  <c r="L577" i="8" s="1"/>
  <c r="L578" i="8" s="1"/>
  <c r="L579" i="8" s="1"/>
  <c r="L580" i="8" s="1"/>
  <c r="L581" i="8" s="1"/>
  <c r="L582" i="8" s="1"/>
  <c r="L583" i="8" s="1"/>
  <c r="L584" i="8" s="1"/>
  <c r="L585" i="8" s="1"/>
  <c r="L586" i="8" s="1"/>
  <c r="L587" i="8" s="1"/>
  <c r="L588" i="8" s="1"/>
  <c r="L589" i="8" s="1"/>
  <c r="L590" i="8" s="1"/>
  <c r="L591" i="8" s="1"/>
  <c r="L592" i="8" s="1"/>
  <c r="L593" i="8" s="1"/>
  <c r="L594" i="8" s="1"/>
  <c r="L595" i="8" s="1"/>
  <c r="L596" i="8" s="1"/>
  <c r="L597" i="8" s="1"/>
  <c r="L598" i="8" s="1"/>
  <c r="L599" i="8" s="1"/>
  <c r="L600" i="8" s="1"/>
  <c r="L601" i="8" s="1"/>
  <c r="L602" i="8" s="1"/>
  <c r="L603" i="8" s="1"/>
  <c r="L604" i="8" s="1"/>
  <c r="L605" i="8" s="1"/>
  <c r="L606" i="8" s="1"/>
  <c r="L607" i="8" s="1"/>
  <c r="L608" i="8" s="1"/>
  <c r="L609" i="8" s="1"/>
  <c r="L610" i="8" s="1"/>
  <c r="L611" i="8" s="1"/>
  <c r="L612" i="8" s="1"/>
  <c r="L613" i="8" s="1"/>
  <c r="L614" i="8" s="1"/>
  <c r="L615" i="8" s="1"/>
  <c r="L616" i="8" s="1"/>
  <c r="L617" i="8" s="1"/>
  <c r="L618" i="8" s="1"/>
  <c r="L619" i="8" s="1"/>
  <c r="L620" i="8" s="1"/>
  <c r="L621" i="8" s="1"/>
  <c r="L622" i="8" s="1"/>
  <c r="L623" i="8" s="1"/>
  <c r="L624" i="8" s="1"/>
  <c r="L625" i="8" s="1"/>
  <c r="L626" i="8" s="1"/>
  <c r="L627" i="8" s="1"/>
  <c r="L628" i="8" s="1"/>
  <c r="L629" i="8" s="1"/>
  <c r="L630" i="8" s="1"/>
  <c r="L631" i="8" s="1"/>
  <c r="L632" i="8" s="1"/>
  <c r="L633" i="8" s="1"/>
  <c r="L634" i="8" s="1"/>
  <c r="L635" i="8" s="1"/>
  <c r="L636" i="8" s="1"/>
  <c r="L637" i="8" s="1"/>
  <c r="L638" i="8" s="1"/>
  <c r="L639" i="8" s="1"/>
  <c r="L640" i="8" s="1"/>
  <c r="L641" i="8" s="1"/>
  <c r="L642" i="8" s="1"/>
  <c r="L643" i="8" s="1"/>
  <c r="L644" i="8" s="1"/>
  <c r="L645" i="8" s="1"/>
  <c r="L646" i="8" s="1"/>
  <c r="L647" i="8" s="1"/>
  <c r="L648" i="8" s="1"/>
  <c r="L649" i="8" s="1"/>
  <c r="L650" i="8" s="1"/>
  <c r="L651" i="8" s="1"/>
  <c r="L652" i="8" s="1"/>
  <c r="L653" i="8" s="1"/>
  <c r="L654" i="8" s="1"/>
  <c r="L655" i="8" s="1"/>
  <c r="L656" i="8" s="1"/>
  <c r="L657" i="8" s="1"/>
  <c r="L658" i="8" s="1"/>
  <c r="L659" i="8" s="1"/>
  <c r="L660" i="8" s="1"/>
  <c r="L661" i="8" s="1"/>
  <c r="L662" i="8" s="1"/>
  <c r="L663" i="8" s="1"/>
  <c r="L664" i="8" s="1"/>
  <c r="L665" i="8" s="1"/>
  <c r="L666" i="8" s="1"/>
  <c r="L667" i="8" s="1"/>
  <c r="L668" i="8" s="1"/>
  <c r="L669" i="8" s="1"/>
  <c r="L670" i="8" s="1"/>
  <c r="L671" i="8" s="1"/>
  <c r="L672" i="8" s="1"/>
  <c r="L673" i="8" s="1"/>
  <c r="L674" i="8" s="1"/>
  <c r="L675" i="8" s="1"/>
  <c r="L676" i="8" s="1"/>
  <c r="L677" i="8" s="1"/>
  <c r="L678" i="8" s="1"/>
  <c r="L679" i="8" s="1"/>
  <c r="L680" i="8" s="1"/>
  <c r="L681" i="8" s="1"/>
  <c r="L682" i="8" s="1"/>
  <c r="L683" i="8" s="1"/>
  <c r="L684" i="8" s="1"/>
  <c r="L685" i="8" s="1"/>
  <c r="L686" i="8" s="1"/>
  <c r="L687" i="8" s="1"/>
  <c r="L688" i="8" s="1"/>
  <c r="L689" i="8" s="1"/>
  <c r="L690" i="8" s="1"/>
  <c r="L691" i="8" s="1"/>
  <c r="L692" i="8" s="1"/>
  <c r="L693" i="8" s="1"/>
  <c r="L694" i="8" s="1"/>
  <c r="L695" i="8" s="1"/>
  <c r="L696" i="8" s="1"/>
  <c r="L697" i="8" s="1"/>
  <c r="L698" i="8" s="1"/>
  <c r="L699" i="8" s="1"/>
  <c r="L700" i="8" s="1"/>
  <c r="L701" i="8" s="1"/>
  <c r="L702" i="8" s="1"/>
  <c r="L703" i="8" s="1"/>
  <c r="L704" i="8" s="1"/>
  <c r="L705" i="8" s="1"/>
  <c r="L706" i="8" s="1"/>
  <c r="L707" i="8" s="1"/>
  <c r="L708" i="8" s="1"/>
  <c r="L709" i="8" s="1"/>
  <c r="L710" i="8" s="1"/>
  <c r="L711" i="8" s="1"/>
  <c r="L712" i="8" s="1"/>
  <c r="L713" i="8" s="1"/>
  <c r="L714" i="8" s="1"/>
  <c r="L715" i="8" s="1"/>
  <c r="L716" i="8" s="1"/>
  <c r="L717" i="8" s="1"/>
  <c r="L718" i="8" s="1"/>
  <c r="L719" i="8" s="1"/>
  <c r="L720" i="8" s="1"/>
  <c r="L721" i="8" s="1"/>
  <c r="L722" i="8" s="1"/>
  <c r="L723" i="8" s="1"/>
  <c r="L724" i="8" s="1"/>
  <c r="L725" i="8" s="1"/>
  <c r="L726" i="8" s="1"/>
  <c r="L727" i="8" s="1"/>
  <c r="L728" i="8" s="1"/>
  <c r="L729" i="8" s="1"/>
  <c r="L730" i="8" s="1"/>
  <c r="L731" i="8" s="1"/>
  <c r="L732" i="8" s="1"/>
  <c r="L733" i="8" s="1"/>
  <c r="L734" i="8" s="1"/>
  <c r="L735" i="8" s="1"/>
  <c r="L736" i="8" s="1"/>
  <c r="L737" i="8" s="1"/>
  <c r="L738" i="8" s="1"/>
  <c r="L739" i="8" s="1"/>
  <c r="L740" i="8" s="1"/>
  <c r="L741" i="8" s="1"/>
  <c r="L742" i="8" s="1"/>
  <c r="L743" i="8" s="1"/>
  <c r="L744" i="8" s="1"/>
  <c r="L745" i="8" s="1"/>
  <c r="L746" i="8" s="1"/>
  <c r="L747" i="8" s="1"/>
  <c r="L748" i="8" s="1"/>
  <c r="L749" i="8" s="1"/>
  <c r="L750" i="8" s="1"/>
  <c r="L751" i="8" s="1"/>
  <c r="L752" i="8" s="1"/>
  <c r="L753" i="8" s="1"/>
  <c r="L754" i="8" s="1"/>
  <c r="L755" i="8" s="1"/>
  <c r="L756" i="8" s="1"/>
  <c r="L757" i="8" s="1"/>
  <c r="L758" i="8" s="1"/>
  <c r="L759" i="8" s="1"/>
  <c r="L760" i="8" s="1"/>
  <c r="L761" i="8" s="1"/>
  <c r="L762" i="8" s="1"/>
  <c r="L763" i="8" s="1"/>
  <c r="L764" i="8" s="1"/>
  <c r="L765" i="8" s="1"/>
  <c r="L766" i="8" s="1"/>
  <c r="L767" i="8" s="1"/>
  <c r="L768" i="8" s="1"/>
  <c r="L769" i="8" s="1"/>
  <c r="L770" i="8" s="1"/>
  <c r="L771" i="8" s="1"/>
  <c r="L772" i="8" s="1"/>
  <c r="L773" i="8" s="1"/>
  <c r="L774" i="8" s="1"/>
  <c r="L775" i="8" s="1"/>
  <c r="L776" i="8" s="1"/>
  <c r="L777" i="8" s="1"/>
  <c r="L778" i="8" s="1"/>
  <c r="L779" i="8" s="1"/>
  <c r="L780" i="8" s="1"/>
  <c r="L781" i="8" s="1"/>
  <c r="L782" i="8" s="1"/>
  <c r="L783" i="8" s="1"/>
  <c r="L784" i="8" s="1"/>
  <c r="L785" i="8" s="1"/>
  <c r="L786" i="8" s="1"/>
  <c r="L787" i="8" s="1"/>
  <c r="L788" i="8" s="1"/>
  <c r="L789" i="8" s="1"/>
  <c r="L790" i="8" s="1"/>
  <c r="L791" i="8" s="1"/>
  <c r="L792" i="8" s="1"/>
  <c r="L793" i="8" s="1"/>
  <c r="L794" i="8" s="1"/>
  <c r="L795" i="8" s="1"/>
  <c r="L796" i="8" s="1"/>
  <c r="L797" i="8" s="1"/>
  <c r="L798" i="8" s="1"/>
  <c r="L799" i="8" s="1"/>
  <c r="L800" i="8" s="1"/>
  <c r="L801" i="8" s="1"/>
  <c r="L802" i="8" s="1"/>
  <c r="L803" i="8" s="1"/>
  <c r="L804" i="8" s="1"/>
  <c r="L3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2" i="8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2" i="1"/>
</calcChain>
</file>

<file path=xl/sharedStrings.xml><?xml version="1.0" encoding="utf-8"?>
<sst xmlns="http://schemas.openxmlformats.org/spreadsheetml/2006/main" count="10195" uniqueCount="1269">
  <si>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</si>
  <si>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</si>
  <si>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</si>
  <si>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</si>
  <si>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</si>
  <si>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</si>
  <si>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</si>
  <si>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</si>
  <si>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</si>
  <si>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</si>
  <si>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</si>
  <si>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</si>
  <si>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</si>
  <si>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</si>
  <si>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</si>
  <si>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</si>
  <si>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</si>
  <si>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</si>
  <si>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</si>
  <si>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</si>
  <si>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</si>
  <si>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</si>
  <si>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</si>
  <si>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</si>
  <si>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</si>
  <si>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</si>
  <si>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</si>
  <si>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</si>
  <si>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</si>
  <si>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</si>
  <si>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</si>
  <si>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</si>
  <si>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</si>
  <si>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</si>
  <si>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</si>
  <si>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</si>
  <si>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</si>
  <si>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</si>
  <si>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</si>
  <si>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</si>
  <si>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</si>
  <si>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</si>
  <si>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</si>
  <si>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</si>
  <si>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</si>
  <si>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</si>
  <si>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</si>
  <si>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</si>
  <si>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</si>
  <si>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</si>
  <si>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</si>
  <si>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</si>
  <si>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</si>
  <si>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</si>
  <si>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</si>
  <si>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</si>
  <si>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</si>
  <si>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</si>
  <si>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</si>
  <si>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</si>
  <si>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</si>
  <si>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</si>
  <si>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</si>
  <si>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</si>
  <si>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</si>
  <si>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</si>
  <si>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</si>
  <si>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</si>
  <si>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</si>
  <si>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</si>
  <si>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</si>
  <si>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</si>
  <si>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</si>
  <si>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</si>
  <si>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</si>
  <si>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</si>
  <si>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</si>
  <si>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</si>
  <si>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</si>
  <si>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</si>
  <si>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</si>
  <si>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</si>
  <si>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</si>
  <si>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</si>
  <si>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</si>
  <si>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</si>
  <si>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</si>
  <si>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</si>
  <si>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</si>
  <si>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</si>
  <si>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</si>
  <si>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</si>
  <si>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</si>
  <si>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</si>
  <si>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ПАКЕТ</t>
  </si>
  <si>
    <t>Индивидуальный предприниматель Кочанов Андрей Миха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</si>
  <si>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</si>
  <si>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</si>
  <si>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</si>
  <si>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</si>
  <si>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</si>
  <si>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</si>
  <si>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</si>
  <si>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</si>
  <si>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</si>
  <si>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</si>
  <si>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</si>
  <si>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</si>
  <si>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</si>
  <si>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</si>
  <si>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</si>
  <si>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</si>
  <si>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</si>
  <si>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</si>
  <si>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</si>
  <si>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</si>
  <si>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</si>
  <si>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</si>
  <si>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</si>
  <si>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</si>
  <si>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</si>
  <si>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</si>
  <si>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</si>
  <si>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</si>
  <si>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</si>
  <si>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</si>
  <si>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</si>
  <si>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</si>
  <si>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</si>
  <si>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</si>
  <si>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</si>
  <si>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</si>
  <si>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</si>
  <si>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</si>
  <si>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</si>
  <si>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</si>
  <si>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</si>
  <si>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</si>
  <si>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</si>
  <si>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</si>
  <si>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КАЛИНОВ РОДНИК ВОДА МИНЕР. 0,5Л. Н/ГАЗ.</t>
  </si>
  <si>
    <t>ПрофитМед</t>
  </si>
  <si>
    <t>ФОНТЕ-АКВА</t>
  </si>
  <si>
    <t>Карта LOYALITY 0,01Р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</si>
  <si>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</si>
  <si>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</si>
  <si>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</si>
  <si>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</si>
  <si>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</si>
  <si>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</si>
  <si>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</si>
  <si>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</si>
  <si>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</si>
  <si>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</si>
  <si>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</si>
  <si>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</si>
  <si>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</si>
  <si>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</si>
  <si>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</si>
  <si>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</si>
  <si>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</si>
  <si>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</si>
  <si>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</si>
  <si>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</si>
  <si>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</si>
  <si>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</si>
  <si>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ГЕМАТОГЕН РУССКИЙ ДЕТСКИЙ 40Г. ПЛИТКА /ФАРМ-ПРО/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</si>
  <si>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</si>
  <si>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</si>
  <si>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</si>
  <si>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</si>
  <si>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</si>
  <si>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</si>
  <si>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</si>
  <si>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</si>
  <si>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</si>
  <si>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</si>
  <si>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</si>
  <si>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ПРЕГИНОР 550МГ. №10 КАПС.</t>
  </si>
  <si>
    <t>Артлайф ООО</t>
  </si>
  <si>
    <t>L-ТИРОКСИН 75МКГ. №100 ТАБ. /БЕРЛИН ХЕМИ/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</si>
  <si>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</si>
  <si>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</si>
  <si>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</si>
  <si>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</si>
  <si>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</si>
  <si>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</si>
  <si>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</si>
  <si>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</si>
  <si>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</si>
  <si>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</si>
  <si>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</si>
  <si>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</si>
  <si>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</si>
  <si>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</si>
  <si>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</si>
  <si>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</si>
  <si>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</si>
  <si>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АФОБАЗОЛ 10МГ. №60 ТАБ.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</si>
  <si>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</si>
  <si>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</si>
  <si>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</si>
  <si>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</si>
  <si>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</si>
  <si>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</si>
  <si>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</si>
  <si>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</si>
  <si>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ОМРОН ТОНОМЕТР M2 БАЗИК АВТОМАТ АДАПТЕР /АРТ.HEM-7121-ARU/ [OMRON]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</si>
  <si>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</si>
  <si>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</si>
  <si>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</si>
  <si>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</si>
  <si>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</si>
  <si>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</si>
  <si>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</si>
  <si>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</si>
  <si>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</si>
  <si>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ПАНКРЕАТИН 25ЕД №60 ТАБ.КШ/РАСТВ. П/О БАНКА /БИОСИНТЕЗ/</t>
  </si>
  <si>
    <t>БИОСИНТЕЗ ОАО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</si>
  <si>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</si>
  <si>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</si>
  <si>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</si>
  <si>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</si>
  <si>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</si>
  <si>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</si>
  <si>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КОНТЕЙНЕР Д/СБОРА БИОМАТЕРИАЛА 100МЛ. СТЕР. (БАНКА)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</si>
  <si>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</si>
  <si>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</si>
  <si>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</si>
  <si>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</si>
  <si>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</si>
  <si>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</si>
  <si>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</si>
  <si>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</si>
  <si>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</si>
  <si>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</si>
  <si>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</si>
  <si>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</si>
  <si>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</si>
  <si>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МЕНОВАЗИН 40МЛ. №1 СПИРТ. Р-Р Д/НАРУЖ.ПРИМ. ФЛ. /САМАРАМЕДПРОМ/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</si>
  <si>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</si>
  <si>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</si>
  <si>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</si>
  <si>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</si>
  <si>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</si>
  <si>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</si>
  <si>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</si>
  <si>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</si>
  <si>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</si>
  <si>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</si>
  <si>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ПУСТЫРНИКА НАСТОЙКА 25МЛ. ФЛ. /ГИППОКРАТ/</t>
  </si>
  <si>
    <t>ЭСВИЦИН СР-ВО П/ОБЛЫСЕНИЯ ЛОСЬОН-ТОНИК 250МЛ. ФЛ. /ВИО-ФАРМ/</t>
  </si>
  <si>
    <t>Норман</t>
  </si>
  <si>
    <t>ВИО-ФАРМ</t>
  </si>
  <si>
    <t>ЛОПЕРАМИД-АКРИХИН 2МГ. №20 КАПС. /АКРИХИН/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</si>
  <si>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</si>
  <si>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</si>
  <si>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</si>
  <si>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</si>
  <si>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</si>
  <si>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</si>
  <si>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</si>
  <si>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АСПАРКАМ №60 ТАБ. /ФАРМАПОЛ-ВОЛГА/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</si>
  <si>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</si>
  <si>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</si>
  <si>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</si>
  <si>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</si>
  <si>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</si>
  <si>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</si>
  <si>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</si>
  <si>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/ФАРМСТАНДАРТ/</t>
  </si>
  <si>
    <t>РУТАЦИД 500МГ. №20 ТАБ.ЖЕВ. /KRKA/</t>
  </si>
  <si>
    <t>КРКА д.д. (KRKA )</t>
  </si>
  <si>
    <t>ЦИТРАМОН П №20 ТАБ. /МЕДИСОРБ/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</si>
  <si>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</si>
  <si>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</si>
  <si>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</si>
  <si>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</si>
  <si>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</si>
  <si>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</si>
  <si>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</si>
  <si>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</si>
  <si>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</si>
  <si>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</si>
  <si>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</si>
  <si>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</si>
  <si>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</si>
  <si>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</si>
  <si>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ПИКАМИЛОН 20МГ. №30 ТАБ. /ФАРМСТАНДАРТ/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</si>
  <si>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</si>
  <si>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</si>
  <si>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</si>
  <si>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</si>
  <si>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</si>
  <si>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</si>
  <si>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</si>
  <si>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</si>
  <si>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</si>
  <si>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</si>
  <si>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</si>
  <si>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</si>
  <si>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</si>
  <si>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ТРОКСЕРУТИН ВРАМЕД 2% 40Г. ГЕЛЬ Д/НАРУЖ.ПРИМ. ТУБА /СОФАРМА/</t>
  </si>
  <si>
    <t>Софарма АО / SOFARMA</t>
  </si>
  <si>
    <t>САЛИПОД ЛЕЙКОПЛАСТ. МОЗОЛЬНЫЙ 6Х10СМ. /ВЕРОФАРМ/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</si>
  <si>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</si>
  <si>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</si>
  <si>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</si>
  <si>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</si>
  <si>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</si>
  <si>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</si>
  <si>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</si>
  <si>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</si>
  <si>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</si>
  <si>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</si>
  <si>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</si>
  <si>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ИБУКЛИН 100МГ.+125МГ. №20 ТАБ. Д/ДЕТЕЙ (ЮНИОР)</t>
  </si>
  <si>
    <t>КСАРЕЛТО 10МГ. №98 ТАБ. П/П/О /БАЙЕР/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</si>
  <si>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</si>
  <si>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</si>
  <si>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</si>
  <si>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</si>
  <si>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</si>
  <si>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</si>
  <si>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</si>
  <si>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</si>
  <si>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</si>
  <si>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</si>
  <si>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</si>
  <si>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</si>
  <si>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</si>
  <si>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</si>
  <si>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</si>
  <si>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</si>
  <si>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КОРВАЛОЛ 25МЛ. КАПЛИ Д/ПРИЕМА ВНУТРЬ ФЛ. И/У /ФАРМСТАНДАРТ ЛЕКСРЕДСТВА/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</si>
  <si>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</si>
  <si>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</si>
  <si>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</si>
  <si>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</si>
  <si>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</si>
  <si>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</si>
  <si>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</si>
  <si>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КОРНЕРЕГЕЛЬ 5% 10Г. ГЛ. ГЕЛЬ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</si>
  <si>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</si>
  <si>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</si>
  <si>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</si>
  <si>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</si>
  <si>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</si>
  <si>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</si>
  <si>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</si>
  <si>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</si>
  <si>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</si>
  <si>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</si>
  <si>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</si>
  <si>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ПОЛИОКСИДОНИЙ 6МГ. №10 СУПП. РЕКТ./ВАГИН. /ПЕТРОВАКС/</t>
  </si>
  <si>
    <t>ПЕТРОВАКС</t>
  </si>
  <si>
    <t>МАСКА МЕД. ЛАТИО ДЕТСКАЯ ТРЕХСЛОЙНАЯ (3-Х) РИСУНОК №50 И/У [LATIO]</t>
  </si>
  <si>
    <t>КИТ ООО</t>
  </si>
  <si>
    <t>АСКОРБИНКА ЛУНТИК ВИТ.С №10 ТАБ. (30Г.) /ФАРМ-ПРО/ТИГОДА-ФАРМ/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</si>
  <si>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</si>
  <si>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</si>
  <si>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</si>
  <si>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</si>
  <si>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</si>
  <si>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</si>
  <si>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</si>
  <si>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</si>
  <si>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</si>
  <si>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</si>
  <si>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УГОЛЬ АКТИВИРОВАННЫЙ 250МГ. №50 ТАБ. /ФАРМСТАНДАРТ ЛЕКСРЕДСТВА/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</si>
  <si>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</si>
  <si>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</si>
  <si>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</si>
  <si>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</si>
  <si>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</si>
  <si>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</si>
  <si>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</si>
  <si>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</si>
  <si>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ЛЕЙКОПЛАСТЫРЬ БАКТЕР. 2,5Х7,2 №1 /ВЕРОФАРМ/</t>
  </si>
  <si>
    <t>ИНДАПАМИД 2,5МГ. №30 ТАБ. П/О /ХЕМОФАРМ/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</si>
  <si>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</si>
  <si>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</si>
  <si>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</si>
  <si>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</si>
  <si>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</si>
  <si>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</si>
  <si>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</si>
  <si>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КАНЕФРОН Н №120 ТАБ. П/О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</si>
  <si>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</si>
  <si>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</si>
  <si>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</si>
  <si>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</si>
  <si>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</si>
  <si>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</si>
  <si>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</si>
  <si>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</si>
  <si>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</si>
  <si>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</si>
  <si>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</si>
  <si>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</si>
  <si>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</si>
  <si>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</si>
  <si>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</si>
  <si>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</si>
  <si>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</si>
  <si>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</si>
  <si>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САЛФЕТКИ ДВУХСЛ. СТЕР. 16Х14СМ №10 И/У</t>
  </si>
  <si>
    <t>ВЕРАМЕД</t>
  </si>
  <si>
    <t>ЭВЕРС-ЛАЙФ САЛФЕТКА СТЕР. 2-Х СЛ. 16Х14СМ. №10 [EVERS LIFE]</t>
  </si>
  <si>
    <t>ДЕСИТИН 57Г./50МЛ. КРЕМ ТУБА</t>
  </si>
  <si>
    <t>JOHNSON &amp; JOHNSON (ДЖОНСОН)</t>
  </si>
  <si>
    <t>КЕТОРОЛ ЭКСПРЕСС 10МГ. №20 ТАБ. ДИСПЕРГ. /Д-Р РЕДДИС/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</si>
  <si>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</si>
  <si>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</si>
  <si>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</si>
  <si>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</si>
  <si>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НИМЕСИЛ 100МГ. 2Г. №30 ГРАН. Д/СУСП. Д/ПРИЕМА ВНУТРЬ ПАК. /ГУИДОТТИ/МЕНАРИНИ/</t>
  </si>
  <si>
    <t>А.Менарини Индустриэ Фармачеутикэ Риунитэ (Menarin</t>
  </si>
  <si>
    <t>ВАЛИДОЛ 60МГ. №10 ТАБ. ПОДЪЯЗЫЧ. /ФАРМСТАНДАРТ/</t>
  </si>
  <si>
    <t>НАФТИЗИН 0,1% 15МЛ. НАЗАЛ.КАПЛИ ФЛ./КАП. /СЛАВЯНСКАЯ АПТЕКА/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</si>
  <si>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</si>
  <si>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</si>
  <si>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</si>
  <si>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</si>
  <si>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</si>
  <si>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</si>
  <si>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</si>
  <si>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МИДОКАЛМ 150МГ. №30 ТАБ. П/П/О /ГЕДЕОН РИХТЕР/</t>
  </si>
  <si>
    <t>ИНЪЕКТРАН 100МГ/МЛ. 2МЛ. №10 Р-Р Д/В/М АМП.</t>
  </si>
  <si>
    <t>ЭЛЛАРА  ООО</t>
  </si>
  <si>
    <t>САТЕЛЛИТ СЕНСОРЫ ПЛЮС ПКГЭ-02.4 №50 ТЕСТ ПОЛОСКИ</t>
  </si>
  <si>
    <t>Элта ЗАО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</si>
  <si>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</si>
  <si>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</si>
  <si>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</si>
  <si>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НОЛИПРЕЛ А ФОРТЕ 5МГ.+1,25МГ. №30 ТАБ. П/П/О</t>
  </si>
  <si>
    <t>СЕРВЬЕ РУС</t>
  </si>
  <si>
    <t>ПЕРТУССИН-ЭКО 100МЛ. СИРОП ФЛ. /ЭКОЛАБ/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</si>
  <si>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</si>
  <si>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</si>
  <si>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</si>
  <si>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</si>
  <si>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</si>
  <si>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</si>
  <si>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</si>
  <si>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</si>
  <si>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</si>
  <si>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</si>
  <si>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</si>
  <si>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</si>
  <si>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</si>
  <si>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ЛЕЙКОПЛАСТЫРЬ БАКТЕР. 6X10 №1 /ВЕРОФАРМ/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</si>
  <si>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</si>
  <si>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</si>
  <si>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</si>
  <si>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</si>
  <si>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</si>
  <si>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</si>
  <si>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</si>
  <si>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</si>
  <si>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</si>
  <si>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</si>
  <si>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</si>
  <si>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</si>
  <si>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</si>
  <si>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ВИТАПРОСТ 10МГ. №10 СУПП. РЕКТ. /НИЖФАРМ/</t>
  </si>
  <si>
    <t>ЕАПТЕКА ООО</t>
  </si>
  <si>
    <t>ПСИЛО-БАЛЬЗАМ 20Г. ГЕЛЬ Д/НАРУЖ.ПРИМ.</t>
  </si>
  <si>
    <t>ФЕРРОГЕМАТОГЕН 50Г. ПАСТИЛКА ЖЕВ. (ПЛИТКА)</t>
  </si>
  <si>
    <t>МАСКА МЕД. ТРЕХСЛОЙНАЯ (3-Х) НА РЕЗИНКЕ №5</t>
  </si>
  <si>
    <t>КАЗАНСКАЯ ФФ</t>
  </si>
  <si>
    <t>СИЛДЕНАФИЛ-СЗ 50МГ. №4 ТАБ. П/П/О /СЕВЕРНАЯ ЗВЕЗДА/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</si>
  <si>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</si>
  <si>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</si>
  <si>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</si>
  <si>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</si>
  <si>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</si>
  <si>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</si>
  <si>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</si>
  <si>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ТРИПЛИКСАМ 5МГ.+1,25МГ.+5МГ. №30 ТАБ. П/П/О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</si>
  <si>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</si>
  <si>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</si>
  <si>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</si>
  <si>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</si>
  <si>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</si>
  <si>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</si>
  <si>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</si>
  <si>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</si>
  <si>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</si>
  <si>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</si>
  <si>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</si>
  <si>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</si>
  <si>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</si>
  <si>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</si>
  <si>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</si>
  <si>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ПАСКАЛЬ ШПРИЦ 3-Х КОМП. 5МЛ. С ИГЛОЙ 22G 0,7Х30ММ. №10 [PASCAL]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</si>
  <si>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</si>
  <si>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</si>
  <si>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</si>
  <si>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</si>
  <si>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ТАВЕГИЛ 1МГ. №20 ТАБ.</t>
  </si>
  <si>
    <t>Смиткляйн Бичем Фармасьютикалз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</si>
  <si>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</si>
  <si>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</si>
  <si>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</si>
  <si>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</si>
  <si>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</si>
  <si>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</si>
  <si>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</si>
  <si>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</si>
  <si>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</si>
  <si>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</si>
  <si>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</si>
  <si>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</si>
  <si>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</si>
  <si>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</si>
  <si>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</si>
  <si>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ТАУФОН 4% 10МЛ. №1 ГЛ.КАПЛИ ФЛ./КАП. /ОТИСИФАРМ/ФАРМСТАНДАРТ/</t>
  </si>
  <si>
    <t>911-ГЕЛЬ-БАЛЬЗАМ Д/НОГ КОНСКИЙ КАШТАН 100МЛ. ТУБА</t>
  </si>
  <si>
    <t>ПЕРИ КРИСТАЛ</t>
  </si>
  <si>
    <t>ДОКТОР ПЕРЕЦ ЛЕЙКОПЛАСТ. ПЕРЦОВЫЙ 10X18 №1 ПЕРФ. /ВЕРОФАРМ/</t>
  </si>
  <si>
    <t>ИНДОМЕТАЦИН-СОФАРМА 25МГ. №30 ТАБ.КШ/РАСТВ. П/О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</si>
  <si>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</si>
  <si>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</si>
  <si>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</si>
  <si>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</si>
  <si>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</si>
  <si>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АПИЗАРТРОН 20Г. №1 МАЗЬ Д/НАРУЖ. ПРИМ. ТУБА</t>
  </si>
  <si>
    <t>ЛИХТЕНХЕЛД ГМБХ</t>
  </si>
  <si>
    <t>МЕЗИМ-ФОРТЕ №20 ТАБ. П/О /БЕРЛИН-ХЕМИ/</t>
  </si>
  <si>
    <t>ЦИСТОН №100 ТАБ.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</si>
  <si>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</si>
  <si>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</si>
  <si>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</si>
  <si>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</si>
  <si>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ЛИТТЛ ДОКТОР ТОНОМЕТР LD-51U АВТОМАТ НА ПЛЕЧО 22-42СМ. +АДАПТЕР [LITTLE DOCTOR]</t>
  </si>
  <si>
    <t>LITTLE DOCTOR INTERNATIONAL / ЛИТЛЛ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</si>
  <si>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</si>
  <si>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</si>
  <si>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</si>
  <si>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</si>
  <si>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</si>
  <si>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</si>
  <si>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</si>
  <si>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</si>
  <si>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</si>
  <si>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</si>
  <si>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</si>
  <si>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</si>
  <si>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</si>
  <si>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МОЕ СОЛНЫШКО БАЛЬЗАМ Д/ГУБ ВАНИЛЬ 2,8Г. СТИК</t>
  </si>
  <si>
    <t>ДЮФАЛАК 667МГ/МЛ. 1000МЛ. СИРОП ФЛ. +МЕРН.СТАКАН /ЭББОТТ/СОЛВЕЙ/</t>
  </si>
  <si>
    <t>ЭББОТ ХЕЛСКЕА САС ( ABBOT )</t>
  </si>
  <si>
    <t>ДОНОРМИЛ 15МГ. №30 ТАБ. П/П/О</t>
  </si>
  <si>
    <t>Бристол-Майерс Сквибб</t>
  </si>
  <si>
    <t>ЛЮКСПЛАСТ ЛЕЙКОПЛАСТ. БАКТЕР. 19Х72ММ ПЕРФ. ТЕЛЕСН. ПОЛИМЕР. №10 [LUXPLAST]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</si>
  <si>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</si>
  <si>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</si>
  <si>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</si>
  <si>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</si>
  <si>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</si>
  <si>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</si>
  <si>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</si>
  <si>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</si>
  <si>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</si>
  <si>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</si>
  <si>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</si>
  <si>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</si>
  <si>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</si>
  <si>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</si>
  <si>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</si>
  <si>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СТЕЛЛАНИН 3% 20Г. МАЗЬ Д/НАРУЖ.ПРИМ. ТУБА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</si>
  <si>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</si>
  <si>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</si>
  <si>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</si>
  <si>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</si>
  <si>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</si>
  <si>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</si>
  <si>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</si>
  <si>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</si>
  <si>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</si>
  <si>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</si>
  <si>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</si>
  <si>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</si>
  <si>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</si>
  <si>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</si>
  <si>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БОРНАЯ К-ТА 10Г. ДЕЗ.СР-ВО ПОР. (НДС 20%)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</si>
  <si>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</si>
  <si>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</si>
  <si>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</si>
  <si>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</si>
  <si>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</si>
  <si>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МЕТИЛУРАЦИЛ 10% 25Г. МАЗЬ Д/МЕСТ. И НАРУЖ.ПРИМ. ТУБА /НИЖФАРМ/</t>
  </si>
  <si>
    <t>ХЛОРГЕКСИДИН 0,05% 100МЛ. №1 Р-Р Д/МЕСТ. И НАРУЖ.ПРИМ. ФЛ. ПЭТ. /ТУЛЬСКАЯ ФФ/</t>
  </si>
  <si>
    <t>ПЕРЕКИСЬ ВОДОРОДА 3% 100МЛ. №1 Р-Р ДЕЗ.СР-ВО ФЛ. (НДС 20%)</t>
  </si>
  <si>
    <t>ПЕРЕКИСЬ ВОДОРОДА 3% 200МЛ. Р-Р ФЛ. ПЛАСТ. /ЛЕКАРЬ/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</si>
  <si>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</si>
  <si>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</si>
  <si>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</si>
  <si>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</si>
  <si>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</si>
  <si>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</si>
  <si>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</si>
  <si>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</si>
  <si>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</si>
  <si>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ПУЛЬМИКОРТ 0,25МГ/МЛ. 2МЛ. №20 СУСП. Д/ИНГ. КОНТ. /АСТРА ЗЕНЕКА/</t>
  </si>
  <si>
    <t>МАГНЕ В6 ФОРТЕ №40 ТАБ. П/П/О</t>
  </si>
  <si>
    <t>АМИКСИН 125МГ. №6 ТАБ. П/П/О /ОТИСИФАРМ/ФАРМСТАНДАРТ/</t>
  </si>
  <si>
    <t>ГРАММИДИН НЕО 3МГ+1МГ. №18 ТАБ. Д/РАСС.</t>
  </si>
  <si>
    <t>ВАЛЕНТА</t>
  </si>
  <si>
    <t>АМОКСИЦИЛЛИН 500МГ. №16 КАПС. /ХЕМОФАРМ/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</si>
  <si>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</si>
  <si>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</si>
  <si>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</si>
  <si>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</si>
  <si>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</si>
  <si>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БОБС ЛЕДЕНЦЫ ОТ КАШЛЯ МЯТА+ЭВКАЛИПТ 35Г.(№10)</t>
  </si>
  <si>
    <t>РИНОРУС 0,1% 10МЛ. НАЗАЛ.КАПЛИ ФЛ./КАП. И/У /СИНТЕЗ/</t>
  </si>
  <si>
    <t>БИСАКОДИЛ-НИЖФАРМ 10МГ. №10 СУПП. РЕКТ. /НИЖФАРМ/</t>
  </si>
  <si>
    <t>СТРЕЗАМ 50МГ. №60 КАПС.</t>
  </si>
  <si>
    <t>BIOCODEX Laboratoires ( БИОКОДЕКС )</t>
  </si>
  <si>
    <t>АЛЬФАГАН Р 0,15% 5МЛ. ГЛ.КАПЛИ ФЛ./КАП.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</si>
  <si>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</si>
  <si>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</si>
  <si>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</si>
  <si>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</si>
  <si>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</si>
  <si>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ВАЛЕРИАНЫ НАСТОЙКА 25МЛ. ФЛ. /ГИППОКРАТ/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</si>
  <si>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</si>
  <si>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</si>
  <si>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</si>
  <si>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</si>
  <si>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</si>
  <si>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</si>
  <si>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</si>
  <si>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</si>
  <si>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</si>
  <si>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</si>
  <si>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</si>
  <si>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</si>
  <si>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</si>
  <si>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САЛФЕТКИ ДВУХСЛ. СТЕР. 45Х29СМ №5</t>
  </si>
  <si>
    <t>МЕТРОГИЛ ДЕНТА 20Г. №1 ГЕЛЬ СТОМАТ. ТУБА</t>
  </si>
  <si>
    <t>МИРРОЛЛА РЕПЕЙНОЕ МАСЛО 100МЛ. ВИТ.А+ВИТ.Е [MIRROLLA]</t>
  </si>
  <si>
    <t>КСАЛАТАН 0,005% 2,5МЛ. №1 ГЛ.КАПЛИ ФЛ./КАП.</t>
  </si>
  <si>
    <t>БИСАКОДИЛ-ХЕМОФАРМ 5МГ. №30 ТАБ.КШ/РАСТВ. П/О /ХЕМОФАРМ/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</si>
  <si>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</si>
  <si>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</si>
  <si>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</si>
  <si>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ТРИМЕДАТ ФОРТЕ 300МГ. №60 ТАБ.ПРОЛОНГ.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</si>
  <si>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</si>
  <si>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</si>
  <si>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</si>
  <si>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</si>
  <si>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</si>
  <si>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</si>
  <si>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</si>
  <si>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</si>
  <si>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</si>
  <si>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</si>
  <si>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ИРУНИН 100МГ. №14 КАПС. /ВЕРОФАРМ/</t>
  </si>
  <si>
    <t>ЛОГЕСТ 75МКГ.+20МКГ. №21 ТАБ. П/О</t>
  </si>
  <si>
    <t>BAYER AG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</si>
  <si>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</si>
  <si>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</si>
  <si>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</si>
  <si>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</si>
  <si>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СФМ СИСТЕМА Д/ПЕРЕЛИВ. ИНФУЗ. Р-РОВ №1 ПЛАСТ.ИГЛА [SFM]</t>
  </si>
  <si>
    <t>SFM HOSPITAL PRODUCTS GMBH</t>
  </si>
  <si>
    <t>КАЛЬЦИЯ ГЛЮКОНАТ 10% 5МЛ. №10 Р-Р Д/В/В,В/М ВВЕД. АМП. /АТОЛЛ/ОЗОН/</t>
  </si>
  <si>
    <t>ВАЛИДОЛ 60МГ. №10 ТАБ. ПОДЪЯЗЫЧ. /ТАТХИМФАРМПРЕПАРАТЫ/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</si>
  <si>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</si>
  <si>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</si>
  <si>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</si>
  <si>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БРИЛЛИАНТОВЫЙ ЗЕЛЕН 1% 25МЛ. №1 СПИРТ. Р-Р Д/НАРУЖ.ПРИМ. ФЛ. /САМАРАМЕДПРОМ/ЖЕНЕЛ/</t>
  </si>
  <si>
    <t>ЛЕЙКОПЛАСТЫРЬ 1Х500 РУЛОН КОНТ.УПАКОВКА/ПАКЕТ /ВЕРОФАРМ/</t>
  </si>
  <si>
    <t>РИНОСТОП 0,1% 10МЛ. НАЗАЛ.КАПЛИ ФЛ./КАП. /ОТИСИФАРМ/ЛЕККО/ФАРМСТАНДАРТ ЛЕКСРЕДСТВА/</t>
  </si>
  <si>
    <t>АМОКСИЦИЛЛИН 250МГ/5МЛ. 40Г. №1 ГРАН. Д/СУСП. Д/ПРИЕМА ВНУТРЬ ФЛ. /ХЕМОФАРМ/</t>
  </si>
  <si>
    <t>АЛЬФА НОРМИКС 200МГ. №28 ТАБ. П/П/О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</si>
  <si>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</si>
  <si>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</si>
  <si>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</si>
  <si>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</si>
  <si>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</si>
  <si>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</si>
  <si>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</si>
  <si>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ВОЛЬТАРЕН ЭМУЛЬГЕЛЬ 2% 100Г. ГЕЛЬ Д/НАРУЖ.ПРИМ. ТУБА</t>
  </si>
  <si>
    <t>МОВАЛИС 7,5МГ. №20 ТАБ.</t>
  </si>
  <si>
    <t>Берингер Ингельхайм Эллас А.Е</t>
  </si>
  <si>
    <t>АМОКСИЦИЛЛИН САНДОЗ 1000МГ. №12 ТАБ. П/О БЛИСТЕР /САНДОЗ/</t>
  </si>
  <si>
    <t>Сандоз Гмбх /SANDOZ/</t>
  </si>
  <si>
    <t>SANDOZ</t>
  </si>
  <si>
    <t>КЛАРИТРОМИЦИН-ВЕРТЕ 500МГ. №14 ТАБ. П/П/О /ВЕРТЕКС/</t>
  </si>
  <si>
    <t>МАКСИЛАК СИНБИОТИК №10 КАПС.</t>
  </si>
  <si>
    <t>DANISCO France SAS</t>
  </si>
  <si>
    <t>РИНЗАСИП С ВИТ.С ЛИМОН 5Г. №10 ПОР. Д/Р-РА Д/ПРИЕМА ВНУТРЬ ПАК.</t>
  </si>
  <si>
    <t>СУПРАКС СОЛЮТАБ 400МГ. №7 ТАБ. ДИСПЕРГ.</t>
  </si>
  <si>
    <t>Menarini A.Industria (МЕНАРИНИ )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</si>
  <si>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</si>
  <si>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</si>
  <si>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</si>
  <si>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</si>
  <si>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</si>
  <si>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</si>
  <si>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</si>
  <si>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</si>
  <si>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ФОСФОГЛИВ ФОРТЕ 65МГ+300МГ. №50 КАПС. /ФАРМСТАНДАРТ/</t>
  </si>
  <si>
    <t>БИОВИТА ВОДА ПИТЬЕВАЯ СТРУКТУР. 0,6Л. Н/ГАЗ. [BIOVITA]</t>
  </si>
  <si>
    <t>СТЭЛМАС-Д ООО</t>
  </si>
  <si>
    <t>ВОДЫ ЗДОРОВЬЯ</t>
  </si>
  <si>
    <t>ДЮСПАТАЛИН 200МГ. №30 КАПС. РЕТАРД /ЭББОТТ/</t>
  </si>
  <si>
    <t>АТОРИС 20МГ. №90 ТАБ. П/П/О /KRKA/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</si>
  <si>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</si>
  <si>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</si>
  <si>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</si>
  <si>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ЦЕФАЗОЛИНА НАТРИЕВАЯ СОЛЬ 1Г. №1 ПОР. Д/Р-РА В/В,В/М ФЛ. /БИОСИНТЕЗ/</t>
  </si>
  <si>
    <t>МИДОКАЛМ 50МГ. №30 ТАБ. П/П/О /ГЕДЕОН РИХТЕР/</t>
  </si>
  <si>
    <t>Гедеон Рихтер А.О</t>
  </si>
  <si>
    <t>АЭРТАЛ 100МГ. №60 ТАБ. П/П/О</t>
  </si>
  <si>
    <t>МИЛЬГАММА КОМПОЗИТУМ 100МГ+100МГ. №60 ТАБ. П/О</t>
  </si>
  <si>
    <t>МАЙЕРМАНН-АРКНАИМИТТЕЛ</t>
  </si>
  <si>
    <t>ЦЕТРИН 10МГ. №20 ТАБ. П/П/О /Д-Р РЕДДИ/</t>
  </si>
  <si>
    <t>АЦИКЛОВИР-БЕЛУПО 5% 10Г. №1 КРЕМ Д/НАРУЖ.ПРИМ. ТУБА /БЕЛУПО/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</si>
  <si>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</si>
  <si>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</si>
  <si>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</si>
  <si>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</si>
  <si>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</si>
  <si>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</si>
  <si>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</si>
  <si>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</si>
  <si>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</si>
  <si>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</si>
  <si>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</si>
  <si>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</si>
  <si>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</si>
  <si>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</si>
  <si>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</si>
  <si>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</si>
  <si>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</si>
  <si>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</si>
  <si>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</si>
  <si>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</si>
  <si>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</si>
  <si>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ЦЕФТРИАКСОН 1Г. №1 ПОР. Д/Р-РА Д/В/В,В/М ФЛ. /БИОСИНТЕЗ/</t>
  </si>
  <si>
    <t>ВОДА 2МЛ. №10 Д/ИН. АМП. /ФАРМАСИНТЕЗ/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</si>
  <si>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</si>
  <si>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</si>
  <si>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</si>
  <si>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</si>
  <si>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</si>
  <si>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</si>
  <si>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</si>
  <si>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</si>
  <si>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</si>
  <si>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СУПРАСТИН 25МГ. №20 ТАБ. /ЭГИС/</t>
  </si>
  <si>
    <t>Эгис АО фармацевтический завод /EGIS</t>
  </si>
  <si>
    <t>ТЕЛМИСТА 80МГ. №84 ТАБ.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</si>
  <si>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</si>
  <si>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</si>
  <si>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</si>
  <si>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</si>
  <si>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ДЕТРАЛЕКС 1000МГ. №60 ТАБ. П/П/О</t>
  </si>
  <si>
    <t>РИГЕВИДОН 0,15МГ+0,03МГ. №63 (21Х3) ТАБ. П/О /ГЕДЕОН РИХТЕР/</t>
  </si>
  <si>
    <t>ВИФЕРОН 40000МЕ 12Г. МАЗЬ Д/МЕСТ. И НАРУЖ.ПРИМ. ТУБА /ФЕРОН/</t>
  </si>
  <si>
    <t>ФЕРОН</t>
  </si>
  <si>
    <t>АДЖИСЕПТ МЕД+ЛИМОН №24 ТАБ. Д/РАСС.</t>
  </si>
  <si>
    <t>СИЛЬВЕР КАПИТАН БАТОНЧИК КОКОС БЕЛ.ГЛАЗ. 50Г.</t>
  </si>
  <si>
    <t>МИЛЬГАММА 2МЛ. №10 Р-Р Д/В/М АМП.</t>
  </si>
  <si>
    <t>СОЛЮФАРМ (SOLUPHARM)</t>
  </si>
  <si>
    <t>АРТРАДОЛ 100МГ. №20 ЛИОФ. Д/Р-РА Д/В/М АМП.</t>
  </si>
  <si>
    <t>АРМАВИРСКАЯ БИОФАБРИКА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</si>
  <si>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</si>
  <si>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</si>
  <si>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</si>
  <si>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</si>
  <si>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</si>
  <si>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</si>
  <si>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КАЛЬЦЕМИН АДВАНС №60 ТАБ. П/П/О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</si>
  <si>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</si>
  <si>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</si>
  <si>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</si>
  <si>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</si>
  <si>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ГЕПАРИНОВАЯ 25Г. МАЗЬ Д/НАРУЖ.ПРИМ. ТУБА /ЗЕЛЕНАЯ ДУБРАВА/</t>
  </si>
  <si>
    <t>ПРЕСТАНС 5МГ.+5МГ. №30 ТАБ.</t>
  </si>
  <si>
    <t>ПРЕСТАНС 10МГ.+10МГ. №30 ТАБ.</t>
  </si>
  <si>
    <t>ВАЛЬСАКОР Н 160МГ.+12,5МГ. №90 ТАБ. П/П/О /KRKA/</t>
  </si>
  <si>
    <t>АТОРВАСТАТИН-СЗ 10МГ. №60 ТАБ. П/П/О /СЕВЕРНАЯ ЗВЕЗДА/</t>
  </si>
  <si>
    <t>ВЕССЕЛ ДУЭ Ф 250ЕД №60 КАПС.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</si>
  <si>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</si>
  <si>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</si>
  <si>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</si>
  <si>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</si>
  <si>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</si>
  <si>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</si>
  <si>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</si>
  <si>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</si>
  <si>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</si>
  <si>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</si>
  <si>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</si>
  <si>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</si>
  <si>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</si>
  <si>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</si>
  <si>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</si>
  <si>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</si>
  <si>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</si>
  <si>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</si>
  <si>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ГЛИЦИН 100МГ. №50 ТАБ. ПОДЪЯЗЫЧ. /БИОТИКИ/</t>
  </si>
  <si>
    <t>КРЕОН 25000 №20 КАПС. КШ/РАСТВ. ФЛ. /ЭББОТТ/</t>
  </si>
  <si>
    <t>ХАРТМАНН КОСМОПОР Е ПОВЯЗКА 10СМХ6СМ №25 П/ОПЕР. САМОКЛ. СТЕР. /АРТ.901009/ [HARTMANN COSMOPOR]</t>
  </si>
  <si>
    <t>ПАУЛЬ ХАРТМАНН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</si>
  <si>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</si>
  <si>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</si>
  <si>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</si>
  <si>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</si>
  <si>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</si>
  <si>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</si>
  <si>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</si>
  <si>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</si>
  <si>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МЕНОВАЗИН 40МЛ. №1 СПИРТ. Р-Р Д/НАРУЖ.ПРИМ. ФЛ. /ТУЛЬСКАЯ ФФ/</t>
  </si>
  <si>
    <t>ТРОКСЕРУТИН ВРАМЕД 300МГ. №50 КАПС. /СОФАРМА/</t>
  </si>
  <si>
    <t>ЭМОКСИПИН 10МГ/МЛ. 5МЛ. №1 ГЛ.КАПЛИ ФЛ. КРЫШ/КАП.</t>
  </si>
  <si>
    <t>ФЕРМЕНТ  ООО</t>
  </si>
  <si>
    <t>МИДРИМАКС 5МЛ. №1 ГЛ.КАПЛИ ФЛ./КАП.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</si>
  <si>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</si>
  <si>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</si>
  <si>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</si>
  <si>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</si>
  <si>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ПУСТЫРНИКА ЭКСТРАКТ 14МГ. №50 ТАБ. /ФАРМСТАНДАРТ/</t>
  </si>
  <si>
    <t>МЕКСИДОЛ 125МГ. №50 ТАБ. П/П/О /ФАРМАСОФТ/ЗИО ЗДОРОВЬЕ/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</si>
  <si>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</si>
  <si>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</si>
  <si>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</si>
  <si>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</si>
  <si>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АСКОРБИНОВАЯ К-ТА 25МГ. ВИШНЯ №10 ТАБ. КРУТКА САХ. /АСКОПРОМ/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</si>
  <si>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</si>
  <si>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</si>
  <si>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</si>
  <si>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</si>
  <si>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УРСОФАЛЬК 250МГ/5МЛ. 250МЛ. СУСП. Д/ПРИЕМА ВНУТРЬ ФЛ. /ФАЛЬК ФАРМА/ВИФОР/</t>
  </si>
  <si>
    <t>Д-р Фальк Фарма ГмбХ / Dr.FALK PHARMA</t>
  </si>
  <si>
    <t>КЕСТИН 20МГ. №10 ТАБ. П/О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</si>
  <si>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</si>
  <si>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</si>
  <si>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</si>
  <si>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СОРБИФЕР ДУРУЛЕС 320МГ/60МГ. №50 ТАБ. П/О</t>
  </si>
  <si>
    <t>ТРИХОПОЛ 250МГ. №20 ТАБ. /ПОЛЬФАРМА/</t>
  </si>
  <si>
    <t>АЗИТРОМИЦИН 500МГ. №3 КАПС. /ПРОИЗВОДСТВО МЕДИКАМЕНТОВ/ ПроМед/</t>
  </si>
  <si>
    <t>ДЕТРИМАКС 2000 240МГ. №60 ТАБ. П/О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</si>
  <si>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</si>
  <si>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</si>
  <si>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</si>
  <si>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</si>
  <si>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</si>
  <si>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ЦЕФТРИАКСОН 1Г. №1 ПОР. Д/Р-РА Д/В/В,В/М ФЛ. /ПРОМОМЕД/БИОХИМИК/</t>
  </si>
  <si>
    <t>БИОХИМИК</t>
  </si>
  <si>
    <t>БЕТОФТАН 0,5% 5МЛ. ГЛ.КАПЛИ ФЛ./КАП.</t>
  </si>
  <si>
    <t>КАНЕФРОН Н №60 ТАБ. П/О</t>
  </si>
  <si>
    <t>ФУРАМАГ 50МГ. №30 КАПС. /ОЛАЙНФАРМ/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</si>
  <si>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</si>
  <si>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</si>
  <si>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</si>
  <si>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</si>
  <si>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</si>
  <si>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</si>
  <si>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</si>
  <si>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СИНАФЛАН 0,025% 15Г. МАЗЬ Д/НАРУЖ.ПРИМ. ТУБА /МУРОМСКИЙ ЗАВОД/</t>
  </si>
  <si>
    <t>АКРИДЕРМ 0,05% 30Г. №1 МАЗЬ Д/НАРУЖ.ПРИМ. ТУБА /АКРИХИН/</t>
  </si>
  <si>
    <t>АККУ-ЧЕК ТЕСТ-ПОЛОСКИ ПЕРФОРМА №100 (50Х2) [ACCU-CHEK]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</si>
  <si>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</si>
  <si>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</si>
  <si>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</si>
  <si>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</si>
  <si>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</si>
  <si>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</si>
  <si>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НОЛЬПАЗА 20МГ. №28 ТАБ.КШ/РАСТВ. П/О /KRKA/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</si>
  <si>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</si>
  <si>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</si>
  <si>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</si>
  <si>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РЕГИДРОН 18,9Г. №20 ПОР. Д/Р-РА Д/ПРИЕМА ВНУТРЬ ПАК. /ОРИОН/</t>
  </si>
  <si>
    <t>Орион Корпорейшн/Сотекс ФармФирма</t>
  </si>
  <si>
    <t>МИЛДРОНАТ 100МГ/МЛ. 5МЛ. №10 Р-Р Д/В/В,В/М И ПАРАБУЛЬБ. ВВЕД. АМП. /ГРИНДЕКС/</t>
  </si>
  <si>
    <t>САНТОНИКА</t>
  </si>
  <si>
    <t>БОРЖОМИ ВОДА МИНЕР. ГАЗ. 0,5Л. СТЕКЛО</t>
  </si>
  <si>
    <t>ИДС БОРЖОМИ</t>
  </si>
  <si>
    <t>ВАЛОСЕРДИН 25МЛ. КАПЛИ Д/ПРИЕМА ВНУТРЬ ФЛ. /МОСФАРМА/</t>
  </si>
  <si>
    <t>МОСКОВСКАЯ ФАРМ.ФАБРИКА</t>
  </si>
  <si>
    <t>АМЕЛИЯ ВАТА МЕД. ХИРУРГ. Н/СТЕР. 25Г.</t>
  </si>
  <si>
    <t>ГИГРОВАТА ЗАО</t>
  </si>
  <si>
    <t>КАПИЛАР 250МГ. №200 ТАБ.</t>
  </si>
  <si>
    <t>ДИОД МОСКОВСКИЙ З-Д ЭКОПИТАНИЯ</t>
  </si>
  <si>
    <t>СУПРАСТИНЕКС 5МГ. №7 ТАБ. П/П/О</t>
  </si>
  <si>
    <t>РЕЛИФ 5МГ. №10 СУПП. РЕКТ.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</si>
  <si>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</si>
  <si>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</si>
  <si>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</si>
  <si>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</si>
  <si>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АЛЕРАНА ВИТАМИННО-МИНЕРАЛЬНЫЙ КОМПЛЕКС ДЕНЬ-НОЧЬ №60 ТАБ. [ALERANA]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</si>
  <si>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</si>
  <si>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</si>
  <si>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</si>
  <si>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</si>
  <si>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ГЕКСАЛИЗ №30 ТАБ. Д/РАСС.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</si>
  <si>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</si>
  <si>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</si>
  <si>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</si>
  <si>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</si>
  <si>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</si>
  <si>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</si>
  <si>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ПРЕДИЗИН 35МГ. №60 ТАБ.ПРОЛОНГ. П/П/О /ГЕДЕОН РИХТЕР/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</si>
  <si>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</si>
  <si>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</si>
  <si>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</si>
  <si>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</si>
  <si>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</si>
  <si>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</si>
  <si>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</si>
  <si>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</si>
  <si>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</si>
  <si>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</si>
  <si>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</si>
  <si>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СЕНИ ПОДГУЗНИКИ СУПЕР ПЛЮС АИР ЭКСТРА ЛАРЧ Д/ВЗР. Р.XL(4) №30 (130-170СМ.) [SENI]</t>
  </si>
  <si>
    <t>ТЗМО (TZMO S.A.)</t>
  </si>
  <si>
    <t>ТИМОЛОЛ 0,5% 10МЛ. ГЛ.КАПЛИ ФЛ./КАП. /СЛАВЯНСКАЯ АПТЕКА/</t>
  </si>
  <si>
    <t>КОМПЛИВИТ №60 ТАБ. П/О</t>
  </si>
  <si>
    <t>НИМУЛИД 100МГ. №30 ТАБ.</t>
  </si>
  <si>
    <t>Панацея Биотек Лтд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</si>
  <si>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</si>
  <si>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</si>
  <si>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</si>
  <si>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</si>
  <si>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ФЕСТАЛ №100 ДРАЖЕ</t>
  </si>
  <si>
    <t>САНОФИ ЗАО</t>
  </si>
  <si>
    <t>ГИНКОУМ 40МГ. №60 КАПС. /ЭВАЛАР/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</si>
  <si>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</si>
  <si>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</si>
  <si>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</si>
  <si>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</si>
  <si>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</si>
  <si>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</si>
  <si>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МАГНЕЛИС В6 №90 ТАБ. П/О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</si>
  <si>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</si>
  <si>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</si>
  <si>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</si>
  <si>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БИСОПРОЛОЛ 2,5МГ. №30 ТАБ. П/П/О /ВЕРТЕКС/</t>
  </si>
  <si>
    <t>ЛИЗИНОПРИЛ 10МГ. №30 ТАБ. /ВЕРТЕКС/</t>
  </si>
  <si>
    <t>ЛОНГИДАЗА 3000МЕ №10 СУПП. РЕКТ./ВАГИН.</t>
  </si>
  <si>
    <t>ДИФЛЮКАН 150МГ. №1 КАПС. /ПФАЙЗЕР/</t>
  </si>
  <si>
    <t>ФАРЕВА</t>
  </si>
  <si>
    <t>ТАВАНИК 500МГ. №10 ТАБ. П/П/О /САНОФИ-АВЕНТИС/</t>
  </si>
  <si>
    <t>Sanofi - Wintrop LDA</t>
  </si>
  <si>
    <t>О.Б. ТАМПОНЫ ПРОКОМФОРТ МИНИ №16 [OB]</t>
  </si>
  <si>
    <t>ЛЕККЕР-ЙОДА 5% 5МЛ. СПИРТ. Р-Р КАРАНДАШ</t>
  </si>
  <si>
    <t>ДОРЗОПТ ПЛЮС 20+5МГ/МЛ. 5МЛ. ГЛ.КАПЛИ ФЛ./КАП.</t>
  </si>
  <si>
    <t>ЛЕСНОЙ БАЛЬЗАМ ОПОЛАСК. Д/РТА П/КРОВОТОЧИВОСТИ ДЕСЕН КОРА ДУБА+ПИХТА 250МЛ.</t>
  </si>
  <si>
    <t>ЮНИЛЕВЕР РУСЬ ООО</t>
  </si>
  <si>
    <t>БЕТОПТИК С 0,25% 5МЛ. ГЛ.КАПЛИ ФЛ./КАП.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</si>
  <si>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</si>
  <si>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</si>
  <si>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</si>
  <si>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</si>
  <si>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</si>
  <si>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</si>
  <si>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</si>
  <si>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АКТОВЕГИН 40МГ/МЛ. 5МЛ. №5 Р-Р Д/ИН. АМП.</t>
  </si>
  <si>
    <t>ГЕПАРИНОВАЯ 25Г. МАЗЬ Д/НАРУЖ.ПРИМ. ТУБА /НИЖФАРМ/</t>
  </si>
  <si>
    <t>ВАЗЕЛИН 30Г. МАЗЬ Д/НАРУЖ.ПРИМ. ТУБА /МУРОМСКИЙ/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</si>
  <si>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</si>
  <si>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</si>
  <si>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</si>
  <si>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</si>
  <si>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</si>
  <si>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</si>
  <si>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</si>
  <si>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</si>
  <si>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</si>
  <si>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</si>
  <si>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</si>
  <si>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</si>
  <si>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КАЛЕНДУЛЫ НАСТОЙКА 25МЛ. ФЛ. /ГИППОКРАТ/</t>
  </si>
  <si>
    <t>СЛАБИКАП 7,5МГ/МЛ. 10МЛ. КАПЛИ Д/ПРИЕМА ВНУТРЬ ФЛ./КАП. /СИНТЕЗ/</t>
  </si>
  <si>
    <t>ЭНАП 2,5МГ. №20 ТАБ. /KPKA/</t>
  </si>
  <si>
    <t>БЕТАСЕРК 16МГ. №30 ТАБ. /ЭББОТ/</t>
  </si>
  <si>
    <t>ЭББОТ ХЕЛСКЕА ПРОДАКТС Б.В.</t>
  </si>
  <si>
    <t>БРАЛ 500МГ. №20 ТАБ.</t>
  </si>
  <si>
    <t>Микро лабс Лтд (MICRO )</t>
  </si>
  <si>
    <t>АСКОРБИНКА ЛУНТИК ВИТ.С КЛУБНИКА №10 ТАБ. (30Г.) /ФАРМ-ПРО/ТИГОДА-ФАРМ/</t>
  </si>
  <si>
    <t>АЛЬФА ТОКОФЕРОЛА АЦЕТАТ 200МГ. №30 КАПС. (ВИТАМИН Е) /МИНСКИНТЕРКАПС/</t>
  </si>
  <si>
    <t>МИНСКИНТЕРКАПС</t>
  </si>
  <si>
    <t>ДИКЛОФЕНАК 25МГ/МЛ. 3МЛ. №5 Р-Р Д/В/М ВВЕД. АМП. /ХЕМОФАРМ/</t>
  </si>
  <si>
    <t>ПАНАНГИН ФОРТЕ 316МГ+280МГ. №60 ТАБ. П/П/О /ГЕДЕОН РИХТЕР/</t>
  </si>
  <si>
    <t>МЕКСИКОР 100МГ. №60 КАПС. /ЭКОФАРМИНВЕСТ/</t>
  </si>
  <si>
    <t>Мираксбиофарма ЗАО</t>
  </si>
  <si>
    <t>АЦИКЛОВИР-БЕЛУПО 400МГ. №35 ТАБ. П/О /БЕЛУПО/</t>
  </si>
  <si>
    <t>Карта LOYALITY 25Р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</si>
  <si>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</si>
  <si>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</si>
  <si>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</si>
  <si>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ОФТАН-КАТАХРОМ 10МЛ. ГЛ.КАПЛИ ФЛ.</t>
  </si>
  <si>
    <t>SANTEN</t>
  </si>
  <si>
    <t>ПОХУДЕЙ ЧАЙ Д/ЗДОРОВЬЯ ЛЮДЕЙ КЛУБНИКА 2Г. №30 ПАК.</t>
  </si>
  <si>
    <t>ЦЭРЕРА ТД ООО</t>
  </si>
  <si>
    <t>АКВА МАРИС НОРМ ИНТЕНСИВ. ПРОМЫВАНИЕ 150МЛ. НАЗАЛ.СПРЕЙ</t>
  </si>
  <si>
    <t>JADRAN (ЯДРАН)</t>
  </si>
  <si>
    <t>ЭВО ПАНТЕНОЛ ПОМАДА ГИГИЕН. 2,8Г. [EVO] /АВАНТА/</t>
  </si>
  <si>
    <t>ВИЛЬПРАФЕН СОЛЮТАБ 1000МГ. №10 ТАБ. ДИСПЕРГ. /АСТЕЛЛАС/</t>
  </si>
  <si>
    <t>ТИРОЗОЛ 5МГ. №50 ТАБ. П/П/О /МЕРК/</t>
  </si>
  <si>
    <t>Merck KGaA</t>
  </si>
  <si>
    <t>ПЕРЕКИСЬ ВОДОРОДА 3% 1Л. Р-Р ДЕЗ.СР-ВО ФЛ.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</si>
  <si>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</si>
  <si>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</si>
  <si>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</si>
  <si>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ПАНАНГИН 158МГ+140МГ. №50 ТАБ. П/П/О /ГЕДЕОН РИХТЕР/</t>
  </si>
  <si>
    <t>БЕТАЛОК ЗОК 25МГ. №14 ТАБ.ПРОЛОНГ. П/О /АСТРА ЗЕНЕКА/</t>
  </si>
  <si>
    <t>ДИГОКСИН 250МКГ. №50 ТАБ. /ГЕДЕОН РИХТЕР/</t>
  </si>
  <si>
    <t>ЗВЕРОБОЯ ТРАВА 50Г. /КРАСНОГОРСК/</t>
  </si>
  <si>
    <t>ПЕНТОКСИФИЛЛИН-СЗ 400МГ. №20 ТАБ.ПРОЛОНГ. П/О /СЕВЕРНАЯ ЗВЕЗДА/</t>
  </si>
  <si>
    <t>ПЕРИНДОПРИЛ-СЗ 8МГ. №30 ТАБ. /СЕВЕРНАЯ ЗВЕЗДА/</t>
  </si>
  <si>
    <t>ТОНОМЕТР UA-604 П/АВТОМАТ [AND]</t>
  </si>
  <si>
    <t>A &amp; D Company Ltd A&amp;D / ЭЙ ЭНД ДИ КОМПАНИ</t>
  </si>
  <si>
    <t>РИБОКСИН АВЕКСИМА 200МГ. №50 ТАБ. П/П/О</t>
  </si>
  <si>
    <t>ПРАДАКСА 110МГ. №180 КАПС. /БЕРИНГЕР/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</si>
  <si>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</si>
  <si>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</si>
  <si>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</si>
  <si>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</si>
  <si>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СПАЗГАН №20 ТАБ.</t>
  </si>
  <si>
    <t>Вокхард Лимитед/Скопинфарм</t>
  </si>
  <si>
    <t>ДОНА 750МГ. №60 ТАБ. П/О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</si>
  <si>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</si>
  <si>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</si>
  <si>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</si>
  <si>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</si>
  <si>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</si>
  <si>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СУПРАСТИН 2% 1МЛ. №5 Р-Р Д/В/В,В/М АМП. /ЭГИС/</t>
  </si>
  <si>
    <t>ЛЕРКАНИДИПИН-СЗ 10МГ. №30 ТАБ.П/О /СЕВЕРНАЯ ЗВЕЗДА/</t>
  </si>
  <si>
    <t>ТРИПЛИКСАМ 10МГ.+2,5МГ.+10МГ. №30 ТАБ. П/П/О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</si>
  <si>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</si>
  <si>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</si>
  <si>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</si>
  <si>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</si>
  <si>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СЕНИ ТРУСИКИ АКТИВ ВПИТЫВ. НОРМАЛ Р.L(3) №10 (100-135СМ.) [SENI]</t>
  </si>
  <si>
    <t>ДРАПОЛЕН 55Г. КРЕМ Д/НАРУЖ.ПРИМ. ТУБА</t>
  </si>
  <si>
    <t>GLAXOSMITHKLINE</t>
  </si>
  <si>
    <t>ДЕКСАМЕТАЗОН РЕНЕВАЛ 0,1% 10МЛ. №1 ГЛ.КАПЛИ ТЮБ./КАП. /RENEWAL/</t>
  </si>
  <si>
    <t>СТЕЛЛАНИН-ПЭГ 3% 20Г. МАЗЬ Д/НАРУЖ.ПРИМ. ТУБА</t>
  </si>
  <si>
    <t>ЛЕЙКОПЛАСТЫРЬ БАКТЕР. 4Х10 №1 /ВЕРОФАРМ/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</si>
  <si>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</si>
  <si>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</si>
  <si>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</si>
  <si>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</si>
  <si>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ГРАММИДИН НЕО С АНЕСТЕТИКОМ №18 ТАБ. Д/РАСС.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</si>
  <si>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</si>
  <si>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</si>
  <si>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МЕЛАТОНИН 3МГ. №30 ТАБ. П/П/О /ОЗОН/</t>
  </si>
  <si>
    <t>ДОППЕЛЬГЕРЦ АКТИВ ОМЕГА-3 №80 КАПС.</t>
  </si>
  <si>
    <t>КРЕОН 10000 №20 КАПС. КШ/РАСТВ. ФЛ. /ЭББОТТ/</t>
  </si>
  <si>
    <t>ТОРВАКАРД 20МГ. №30 ТАБ. П/П/О /САНОФИ/САНЕКА/</t>
  </si>
  <si>
    <t>ЗОЛОТОЙ ШЕЛК ШАМПУНЬ-УКРЕП. КОРНЕЙ П/ВЫПАД. 400МЛ.</t>
  </si>
  <si>
    <t>Народные промыслы ООО</t>
  </si>
  <si>
    <t>БРОКСИНАК 0,09% 2,5МЛ. №1 ГЛ.КАПЛИ ФЛ.</t>
  </si>
  <si>
    <t>ПОЛИОКСИДОНИЙ 12МГ. №10 ТАБ. /ПЕТРОВАКС/</t>
  </si>
  <si>
    <t>МИРРОЛЛА СУЛЬСЕН ФОРТЕ ШАМПУНЬ 2% КЕТОКОНАЗОЛ 250МЛ. ФЛ.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</si>
  <si>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</si>
  <si>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</si>
  <si>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</si>
  <si>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</si>
  <si>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</si>
  <si>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</si>
  <si>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</si>
  <si>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</si>
  <si>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</si>
  <si>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МЕТРОГИЛ 5МГ/МЛ. 100МЛ. №1 Р-Р Д/ИНФ. ФЛ. /ЮНИК/</t>
  </si>
  <si>
    <t>КАРДИАСК МАГНИЙ 75МГ.+15,2МГ. №100 ТАБ. П/П/О /КАНОНФАРМА/</t>
  </si>
  <si>
    <t>СИОФОР 500 №60 ТАБ. П/П/О /БЕРЛИН ХЕМИ/</t>
  </si>
  <si>
    <t>НЕОБУТИН 200МГ. №30 ТАБ.</t>
  </si>
  <si>
    <t>АЛИУМ ООО</t>
  </si>
  <si>
    <t>НАТУРИНО ЛЕДЕНЦЫ АПЕЛЬСИН+ВИТАМИНЫ 33,5Г./36,4Г. №8</t>
  </si>
  <si>
    <t>SWEET LIFE LTD</t>
  </si>
  <si>
    <t>АКРИДЕРМ ГК 0,05%+0,1%+1% 30Г. №1 КРЕМ Д/НАРУЖ.ПРИМ. ТУБА /АКРИХИН/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</si>
  <si>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</si>
  <si>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</si>
  <si>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</si>
  <si>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</si>
  <si>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</si>
  <si>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РЕГУЛОН 150МКГ+30МКГ. №63 (21X3) ТАБ. П/О /ГЕДЕОН РИХТЕР/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</si>
  <si>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</si>
  <si>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</si>
  <si>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</si>
  <si>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</si>
  <si>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</si>
  <si>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</si>
  <si>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</si>
  <si>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</si>
  <si>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</si>
  <si>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</si>
  <si>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ЮНИДОКС СОЛЮТАБ 100МГ. №20 ТАБ.ДИСПЕРГ. /АСТЕЛЛАС/</t>
  </si>
  <si>
    <t>ЛЕЙКО ПЛАСТЫРЬ МОЗОЛЬНЫЙ №6 [LEIKO]</t>
  </si>
  <si>
    <t>ЦЗЯНСУ НАНФАНГ МЕДИКАЛ СО ЛТД</t>
  </si>
  <si>
    <t>ДАНТИНОРМ БЕБИ 1МЛ. №10 Р-Р Д/ВНУТР. Д/СНЯТ.ВОСПАЛ. ДЕСЕН ПРИ ПРОРЕЗ</t>
  </si>
  <si>
    <t>Laboratoires BOIRON ( БУАРОН )</t>
  </si>
  <si>
    <t>РЕВАЛГИН №20 ТАБ.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</si>
  <si>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</si>
  <si>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</si>
  <si>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</si>
  <si>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</si>
  <si>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</si>
  <si>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</si>
  <si>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</si>
  <si>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</si>
  <si>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ДОКТОР ПЕРЕЦ ЛЕЙКОПЛАСТ. ПЕРЦОВЫЙ 6X10 №1 ПЕРФ. /ВЕРОФАРМ/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</si>
  <si>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</si>
  <si>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</si>
  <si>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</si>
  <si>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</si>
  <si>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</si>
  <si>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</si>
  <si>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НАЗОНЕКС 50МКГ/ДОЗА 18Г. 120ДОЗ №1 НАЗАЛ.СПРЕЙ ФЛ.</t>
  </si>
  <si>
    <t>Шеринг-Плау Лабо Н.В.</t>
  </si>
  <si>
    <t>ТРИМЕДАТ 200МГ. №30 ТАБ.</t>
  </si>
  <si>
    <t>ВЕЗИКАР 5МГ. №30 ТАБ. П/П/О /АСТЕЛЛАС/</t>
  </si>
  <si>
    <t>АСТЕЛЛАС ФАРМА ЮРОП Б.В. / Astellas</t>
  </si>
  <si>
    <t>КАРДИОМАГНИЛ 75МГ.+15,2МГ. №100 ТАБ.</t>
  </si>
  <si>
    <t>ЛАРИПРОНТ №20 ТАБ. Д/РАСС.</t>
  </si>
  <si>
    <t>ОКТОБЕР ФАРМА</t>
  </si>
  <si>
    <t>ОРДИСС 16МГ. №30 ТАБ.</t>
  </si>
  <si>
    <t>НАЙЗ 1% 50Г. №1 ГЕЛЬ Д/НАРУЖ.ПРИМ. ТУБА</t>
  </si>
  <si>
    <t>АКВА ЭЙР МОРЕ 50МЛ. НАЗАЛ.СПРЕЙ ФЛ.</t>
  </si>
  <si>
    <t>ВАЛЬСАКОР 80МГ. №30 ТАБ. П/П/О /KRKA/</t>
  </si>
  <si>
    <t>БЕПАНТЕН ПЛЮС 5% 30Г. №1 КРЕМ Д/НАРУЖ.ПРИМ. ТУБА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</si>
  <si>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</si>
  <si>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</si>
  <si>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</si>
  <si>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</si>
  <si>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</si>
  <si>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</si>
  <si>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</si>
  <si>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</si>
  <si>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</si>
  <si>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</si>
  <si>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</si>
  <si>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</si>
  <si>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</si>
  <si>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РАУНАТИН 2МГ. №50 ТАБ. П/О /ЗДОРОВЬЕ/</t>
  </si>
  <si>
    <t>ЗДОРОВЬЕ ФАРМАЦЕВТИЧЕСКАЯ КОМПАНИЯ</t>
  </si>
  <si>
    <t>ЗДОРОВЬЕ ООО</t>
  </si>
  <si>
    <t>БРУСНИКИ ЛИСТ 1,5Г. №20 ПАК. /КРАСНОГОРСК/</t>
  </si>
  <si>
    <t>ОФЛОМЕЛИД 100Г. МАЗЬ Д/НАРУЖ.ПРИМ. ТУБА /СИНТЕЗ/</t>
  </si>
  <si>
    <t>ЛИНЕКС ФОРТЕ №7 КАПС. /ЛЕК/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</si>
  <si>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</si>
  <si>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</si>
  <si>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</si>
  <si>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</si>
  <si>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ГРИППФЕРОН 10000МЕ/МЛ. 500МЕ/ДОЗА 10МЛ. 200ДОЗ НАЗАЛ.СПРЕЙ ФЛ. /ФИРН М/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</si>
  <si>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</si>
  <si>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</si>
  <si>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</si>
  <si>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</si>
  <si>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</si>
  <si>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</si>
  <si>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</si>
  <si>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</si>
  <si>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</si>
  <si>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</si>
  <si>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МОМАТ РИНО 50МКГ/ДОЗА 60ДОЗ НАЗАЛ.СПРЕЙ ФЛ.</t>
  </si>
  <si>
    <t>Гленмарк Фармасьютикалз Лтд</t>
  </si>
  <si>
    <t>ЛЕВОМИЦЕТИН 1% 25МЛ. №1 СПИРТ. Р-Р Д/НАРУЖ.ПРИМ. ФЛ./КАП. /ТУЛЬСКАЯ ФФ/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</si>
  <si>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</si>
  <si>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</si>
  <si>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</si>
  <si>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</si>
  <si>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СУПРАДИН КИДС РЫБКИ №30 ПАСТИЛКИ ЖЕВ.</t>
  </si>
  <si>
    <t>АМАФАРМ ГМБХ ( AMAPHARM )</t>
  </si>
  <si>
    <t>МИРАМИСТИН 0,01% 150МЛ. №1 Р-Р Д/МЕСТ.ПРИМ. ФЛ. С РАСП.</t>
  </si>
  <si>
    <t>ИНФАМЕД</t>
  </si>
  <si>
    <t>РЕЛИФ ПРО 40МГ.+1МГ. №10 СУПП. РЕКТ.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</si>
  <si>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</si>
  <si>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</si>
  <si>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</si>
  <si>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</si>
  <si>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КАРДИОАКТИВ ТАУРИН 500МГ. №60 ТАБ. /ЭВАЛАР/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</si>
  <si>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</si>
  <si>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</si>
  <si>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</si>
  <si>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НЕБИЛЕТ 5МГ. №14 ТАБ. /МЕНАРИНИ/</t>
  </si>
  <si>
    <t>КАЛЧЕК 5МГ. №30 ТАБ. /ИПКА/</t>
  </si>
  <si>
    <t>МИЛЬГАММА 2МЛ. №25 Р-Р Д/В/М АМП.</t>
  </si>
  <si>
    <t>ЭТОРИАКС 90МГ. №7 ТАБ. П/П/О</t>
  </si>
  <si>
    <t>КАМЕТОН 45Г. АЭРОЗОЛЬ Д/МЕСТ.ПРИМ. БАЛЛОН /ФАРМСТАНДАРТ ЛЕКСРЕДСТВА/</t>
  </si>
  <si>
    <t>УРОЛЕСАН 25МЛ. КАПЛИ Д/ПРИЕМА ВНУТРЬ ФЛ.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</si>
  <si>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</si>
  <si>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</si>
  <si>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</si>
  <si>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</si>
  <si>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</si>
  <si>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ЦИТОФЛАВИН 10МЛ. №5 Р-Р Д/В/В АМП. /ПОЛИСАН/</t>
  </si>
  <si>
    <t>СЛАБИЛЕН 5МГ. №20 ТАБ. П/П/О /ВЕРОФАРМ/</t>
  </si>
  <si>
    <t>ЛЕСПЕФРИЛ 100МЛ. Р-Р Д/ПРИЕМА ВНУТРЬ ФЛ. /ВИФИТЕХ/</t>
  </si>
  <si>
    <t>КО-ДАЛЬНЕВА 5МГ+0,625МГ.+2МГ. №30 ТАБ.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</si>
  <si>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</si>
  <si>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</si>
  <si>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</si>
  <si>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</si>
  <si>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ТРИГРИМ 5МГ. №30 ТАБ.</t>
  </si>
  <si>
    <t>ВИПИДИЯ 25МГ. №28 ТАБ. П/П/О /ТАКЕДА/</t>
  </si>
  <si>
    <t>TAKEDA IRELAND LIMIYED</t>
  </si>
  <si>
    <t>АЛЬФА НОРМИКС 200МГ. №12 ТАБ. П/П/О</t>
  </si>
  <si>
    <t>АЛЬФАСИГМА С.П.А.</t>
  </si>
  <si>
    <t>БИФИФОРМ №30 КАПС. КШ/РАСТВ.</t>
  </si>
  <si>
    <t>РЕНЮ Р-Р Д/ЛИНЗ MULTIPLUS 240МЛ. ФЛ. [RENU]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</si>
  <si>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</si>
  <si>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</si>
  <si>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</si>
  <si>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КОЛЕГЕЛЬ-ДНК-Л ДЕРИНАТ+ЛИДОКАИН 100МЛ. ТУБА (САЛФЕТКА ГИДРОГЕЛЕВ.)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</si>
  <si>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</si>
  <si>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</si>
  <si>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</si>
  <si>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ФИТОЛАКС 500МГ. №40 ТАБ.ЖЕВ. /ЭВАЛАР/</t>
  </si>
  <si>
    <t>СЕНИ ПОДГУЗНИКИ СУПЕР АИР ЭКСТРА ЛАРЧ Д/ВЗР. Р.XL(4) №30 (130-170СМ.) [SENI]</t>
  </si>
  <si>
    <t>TZMO</t>
  </si>
  <si>
    <t>РОЗАРТ 10МГ. №90 ТАБ. П/П/О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</si>
  <si>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</si>
  <si>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</si>
  <si>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</si>
  <si>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</si>
  <si>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</si>
  <si>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</si>
  <si>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МОЧЕПРИЕМНИК ДЕТСКИЙ PD2200 200МЛ. [MERIDIAN]</t>
  </si>
  <si>
    <t>МЕРИДИАН / MERIDIAN</t>
  </si>
  <si>
    <t>ГЕМАТОГЕН РУССКИЙ КЕДРОВЫЙ ОРЕХ 40Г. ПЛИТКА /ФАРМ-ПРО/</t>
  </si>
  <si>
    <t>Названия строк</t>
  </si>
  <si>
    <t>Общий итог</t>
  </si>
  <si>
    <t>DR_Revenue</t>
  </si>
  <si>
    <t>Сумма продаж</t>
  </si>
  <si>
    <t xml:space="preserve">Название </t>
  </si>
  <si>
    <t>Кол-во продаж</t>
  </si>
  <si>
    <t>М. обор</t>
  </si>
  <si>
    <t xml:space="preserve">доля </t>
  </si>
  <si>
    <t>кумулята</t>
  </si>
  <si>
    <t xml:space="preserve">тир </t>
  </si>
  <si>
    <t>A</t>
  </si>
  <si>
    <t>B</t>
  </si>
  <si>
    <t>C</t>
  </si>
  <si>
    <t xml:space="preserve">кумулята </t>
  </si>
  <si>
    <t>ABC</t>
  </si>
  <si>
    <t>VAR</t>
  </si>
  <si>
    <t>var</t>
  </si>
  <si>
    <t>XYZ</t>
  </si>
  <si>
    <t>ABC-XYZ</t>
  </si>
  <si>
    <t>AAAZ</t>
  </si>
  <si>
    <t>AABZ</t>
  </si>
  <si>
    <t>ABAZ</t>
  </si>
  <si>
    <t>ABBZ</t>
  </si>
  <si>
    <t>ACAZ</t>
  </si>
  <si>
    <t>ACBZ</t>
  </si>
  <si>
    <t>ACCZ</t>
  </si>
  <si>
    <t>BAAZ</t>
  </si>
  <si>
    <t>BABZ</t>
  </si>
  <si>
    <t>BBBZ</t>
  </si>
  <si>
    <t>BCBZ</t>
  </si>
  <si>
    <t>BCCZ</t>
  </si>
  <si>
    <t>CAAZ</t>
  </si>
  <si>
    <t>CABZ</t>
  </si>
  <si>
    <t>CACZ</t>
  </si>
  <si>
    <t>CBBZ</t>
  </si>
  <si>
    <t>CBCZ</t>
  </si>
  <si>
    <t>CCBZ</t>
  </si>
  <si>
    <t>CCCZ</t>
  </si>
  <si>
    <t>Количество по полю ABC-XYZ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</si>
</sst>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21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9" fontId="0" fillId="0" borderId="0" xfId="1" applyFont="1"/>
    <xf numFmtId="9" fontId="0" fillId="0" borderId="0" xfId="0" applyNumberFormat="1"/>
    <xf numFmtId="9" fontId="3" fillId="0" borderId="0" xfId="0" applyNumberFormat="1" applyFont="1"/>
    <xf numFmtId="0" fontId="5" fillId="0" borderId="0" xfId="0" applyFont="1"/>
    <xf numFmtId="14" fontId="3" fillId="0" borderId="0" xfId="0" applyNumberFormat="1" applyFont="1"/>
    <xf numFmtId="14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Быковский Кирилл " refreshedDate="46049.987985300926" createdVersion="8" refreshedVersion="8" minRefreshableVersion="3" recordCount="803" xr:uid="{8ECAFF0E-5904-4F43-A570-EA662987FBFA}">
  <cacheSource type="worksheet">
    <worksheetSource ref="A1:Q804" sheet="ABC"/>
  </cacheSource>
  <cacheFields count="17">
    <cacheField name="Название " numFmtId="0">
      <sharedItems count="803">
        <s v="ЛЕЙКОПЛАСТЫРЬ БАКТЕР. 2,5Х7,2 №1 /ВЕРОФАРМ/"/>
        <s v="НАФТИЗИН 0,1% 15МЛ. НАЗАЛ.КАПЛИ ФЛ./КАП. /СЛАВЯНСКАЯ АПТЕКА/"/>
        <s v="ПАКЕТ"/>
        <s v="ВАЛИДОЛ 60МГ. №10 ТАБ. ПОДЪЯЗЫЧ. /ФАРМСТАНДАРТ/"/>
        <s v="БОРНАЯ К-ТА 10Г. ДЕЗ.СР-ВО ПОР. (НДС 20%)"/>
        <s v="ГЕМАТОГЕН РУССКИЙ ДЕТСКИЙ 40Г. ПЛИТКА /ФАРМ-ПРО/"/>
        <s v="КОРВАЛОЛ 25МЛ. КАПЛИ Д/ПРИЕМА ВНУТРЬ ФЛ. И/У /ФАРМСТАНДАРТ ЛЕКСРЕДСТВА/"/>
        <s v="ЛЕЙКОПЛАСТЫРЬ БАКТЕР. 4Х10 №1 /ВЕРОФАРМ/"/>
        <s v="РАУНАТИН 2МГ. №50 ТАБ. П/О /ЗДОРОВЬЕ/"/>
        <s v="МЕНОВАЗИН 40МЛ. №1 СПИРТ. Р-Р Д/НАРУЖ.ПРИМ. ФЛ. /САМАРАМЕДПРОМ/"/>
        <s v="ПЕРЕКИСЬ ВОДОРОДА 3% 100МЛ. №1 Р-Р ДЕЗ.СР-ВО ФЛ. (НДС 20%)"/>
        <s v="ЛЕЙКОПЛАСТЫРЬ БАКТЕР. 6X10 №1 /ВЕРОФАРМ/"/>
        <s v="Карта LOYALITY 0,01Р"/>
        <s v="ТАУФОН 4% 10МЛ. №1 ГЛ.КАПЛИ ФЛ./КАП. /ОТИСИФАРМ/ФАРМСТАНДАРТ/"/>
        <s v="ОМЕПРАЗОЛ 20МГ. №30 КАПС. /ПРОИЗВОДСТВО МЕДИКАМЕНТОВ/"/>
        <s v="КОНТЕЙНЕР Д/СБОРА БИОМАТЕРИАЛА 100МЛ. СТЕР. (БАНКА)"/>
        <s v="ПЕНТАЛГИН №24 ТАБ. П/П/О /ОТИСИФАРМ/"/>
        <s v="УГОЛЬ АКТИВИРОВАННЫЙ 250МГ. №50 ТАБ. /ФАРМСТАНДАРТ ЛЕКСРЕДСТВА/"/>
        <s v="ЦЕФТРИАКСОН 1Г. №1 ПОР. Д/Р-РА Д/В/В,В/М ФЛ. /ПРОМОМЕД/БИОХИМИК/"/>
        <s v="ОМЕЗ 20МГ. №30 КАПС. /Д-Р РЕДДИ/"/>
        <s v="КОНКОР КОР 2,5МГ. №30 ТАБ. П/П/О /МЕРК/"/>
        <s v="ЛОПЕРАМИД-АКРИХИН 2МГ. №20 КАПС. /АКРИХИН/"/>
        <s v="ЦЕФТРИАКСОН 1Г. №1 ПОР. Д/Р-РА Д/В/В,В/М ФЛ. /БИОСИНТЕЗ/"/>
        <s v="АСЕПТИКА САЛФЕТКА СПИРТОВАЯ 60Х100 №20"/>
        <s v="ВАЛЕРИАНЫ НАСТОЙКА 25МЛ. ФЛ. /ГИППОКРАТ/"/>
        <s v="МАСКА МЕД. ТРЕХСЛОЙНАЯ (3-Х) НА РЕЗИНКЕ №5"/>
        <s v="ЭСВИЦИН СР-ВО П/ОБЛЫСЕНИЯ ЛОСЬОН-ТОНИК 250МЛ. ФЛ. /ВИО-ФАРМ/"/>
        <s v="ПАНКРЕАТИН 25ЕД №60 ТАБ.КШ/РАСТВ. П/О БАНКА /БИОСИНТЕЗ/"/>
        <s v="ХЕЛП БИНТ СТЕР. 7МХ14СМ И/У [HELP]"/>
        <s v="ТАУРИН 4% 10МЛ. ГЛ.КАПЛИ ФЛ./КАП. /СЛАВЯНСКАЯ АПТЕКА/"/>
        <s v="ФЕРРОГЕМАТОГЕН 50Г. ПАСТИЛКА ЖЕВ. (ПЛИТКА)"/>
        <s v="ПУСТЫРНИКА НАСТОЙКА 25МЛ. ФЛ. /ГИППОКРАТ/"/>
        <s v="ПУСТЫРНИКА ЭКСТРАКТ 14МГ. №50 ТАБ. /ФАРМСТАНДАРТ/"/>
        <s v="ПАСКАЛЬ ШПРИЦ 3-Х КОМП. 3МЛ. С ИГЛОЙ 22G 0,7Х40ММ. №10 [PASCAL]"/>
        <s v="ТРОКСЕРУТИН ВРАМЕД 2% 40Г. ГЕЛЬ Д/НАРУЖ.ПРИМ. ТУБА /СОФАРМА/"/>
        <s v="КЕТОРОЛ ЭКСПРЕСС 10МГ. №20 ТАБ. ДИСПЕРГ. /Д-Р РЕДДИС/"/>
        <s v="ЦИТРАМОН П №20 ТАБ. /ФАРМСТАНДАРТ/"/>
        <s v="АСПАРКАМ №60 ТАБ. /ФАРМАПОЛ-ВОЛГА/"/>
        <s v="ЭНАЛАПРИЛ 5МГ. №20 ТАБ. /ХЕМОФАРМ/"/>
        <s v="ЦИТРАМОН П №20 ТАБ. /МЕДИСОРБ/"/>
        <s v="СВЯТОЙ ИСТОЧНИК ВОДА ПИТЬЕВАЯ 0,5Л. Н/ГАЗ. ПЭТ"/>
        <s v="АСКОРБИНКА ЛУНТИК ВИТ.С №10 ТАБ. (30Г.) /ФАРМ-ПРО/ТИГОДА-ФАРМ/"/>
        <s v="АФОБАЗОЛ 10МГ. №60 ТАБ."/>
        <s v="ПАСКАЛЬ ШПРИЦ 3-Х КОМП. 5МЛ. С ИГЛОЙ 22G 0,7Х30ММ. №10 [PASCAL]"/>
        <s v="АЦИКЛОВИР-БЕЛУПО 5% 10Г. №1 КРЕМ Д/НАРУЖ.ПРИМ. ТУБА /БЕЛУПО/"/>
        <s v="ГЛИЦИН 100МГ. №100 ТАБ. ПОДЪЯЗЫЧ. /БИОТИКИ/"/>
        <s v="ТЕТРАЦИКЛИНОВАЯ 1% 5Г. ГЛ. МАЗЬ ТУБА /ТАТХИМФАРМ/"/>
        <s v="ЛЮКСПЛАСТ ЛЕЙКОПЛАСТ. БАКТЕР. 19Х72ММ ПЕРФ. ТЕЛЕСН. ПОЛИМЕР. №10 [LUXPLAST]"/>
        <s v="СИНАФЛАН 0,025% 15Г. МАЗЬ Д/НАРУЖ.ПРИМ. ТУБА /МУРОМСКИЙ ЗАВОД/"/>
        <s v="ДОКТОР ПЕРЕЦ ЛЕЙКОПЛАСТ. ПЕРЦОВЫЙ 10X18 №1 ПЕРФ. /ВЕРОФАРМ/"/>
        <s v="ВАЛИДОЛ 60МГ. №10 ТАБ. ПОДЪЯЗЫЧ. /ТАТХИМФАРМПРЕПАРАТЫ/"/>
        <s v="БРИЛЛИАНТОВЫЙ ЗЕЛЕН 1% 25МЛ. №1 СПИРТ. Р-Р Д/НАРУЖ.ПРИМ. ФЛ. /САМАРАМЕДПРОМ/ЖЕНЕЛ/"/>
        <s v="КАЛЕНДУЛЫ НАСТОЙКА 25МЛ. ФЛ. /ГИППОКРАТ/"/>
        <s v="ПЕРЕКИСЬ ВОДОРОДА 3% 200МЛ. Р-Р ФЛ. ПЛАСТ. /ЛЕКАРЬ/"/>
        <s v="ДОКТОР ПЕРЕЦ ЛЕЙКОПЛАСТ. ПЕРЦОВЫЙ 6X10 №1 ПЕРФ. /ВЕРОФАРМ/"/>
        <s v="ДЕТРАЛЕКС 1000МГ. №60 ТАБ. П/П/О"/>
        <s v="МИДОКАЛМ 150МГ. №30 ТАБ. П/П/О /ГЕДЕОН РИХТЕР/"/>
        <s v="АРБИДОЛ МАКСИМУМ 200МГ. №10 КАПС. /ОТИСИФАРМ/ФАРМСТАНДАРТ/"/>
        <s v="КЛОПИДОГРЕЛ-СЗ 75МГ. №28 ТАБ. П/П/О /СЕВЕРНАЯ ЗВЕЗДА/"/>
        <s v="МЕТРОГИЛ ДЕНТА 20Г. №1 ГЕЛЬ СТОМАТ. ТУБА"/>
        <s v="НУРОФЕН ЭКСПРЕСС ФОРТЕ 400МГ. №20 КАПС. /РЕКИТТ БЕНКИЗЕР/"/>
        <s v="МЕЗИМ-ФОРТЕ №80 ТАБ. П/О /БЕРЛИН-ХЕМИ/"/>
        <s v="ИБУКЛИН 400МГ.+325МГ. №10 ТАБ. П/П/О"/>
        <s v="СНУП 0,1% 90МКГ/ДОЗА 15МЛ. НАЗАЛ.СПРЕЙ ФЛ. /ШТАДА/"/>
        <s v="ВОДА 2МЛ. №10 Д/ИН. АМП. /ФАРМАСИНТЕЗ/"/>
        <s v="СТОПСЕПТ ПЛЮС 90% 100МЛ. ДЕЗ.СР-ВО ФЛ."/>
        <s v="ДИКЛОФЕНАК 25МГ/МЛ. 3МЛ. №5 Р-Р Д/В/М ВВЕД. АМП. /ХЕМОФАРМ/"/>
        <s v="ЛЕЙКОПЛАСТЫРЬ 2Х500 ТКАН.ОСНОВА КАТУШКА КАРТОН /ВЕРОФАРМ/"/>
        <s v="СФМ СИСТЕМА Д/ПЕРЕЛИВ. ИНФУЗ. Р-РОВ №1 ПЛАСТ.ИГЛА [SFM]"/>
        <s v="ГЛИЦИН 100МГ. №50 ТАБ. ПОДЪЯЗЫЧ. /БИОТИКИ/"/>
        <s v="СИЛЬВЕР КАПИТАН БАТОНЧИК КОКОС БЕЛ.ГЛАЗ. 50Г."/>
        <s v="ПАРАЦЕТАМОЛ 500МГ. №20 ТАБ. /ФАРМСТАНДАРТ/"/>
        <s v="ЦИТРАМОН П №10 ТАБ. /ФАРМСТАНДАРТ/"/>
        <s v="АЦЕТИЛСАЛИЦИЛОВАЯ К-ТА 500МГ. №20 ТАБ. /ФАРМСТАНДАРТ/"/>
        <s v="АСКОРБИНКА ЛУНТИК ВИТ.С КЛУБНИКА №10 ТАБ. (30Г.) /ФАРМ-ПРО/ТИГОДА-ФАРМ/"/>
        <s v="МЕРИДИАН МОЧЕПРИЕМНИК ДЕТСКИЙ PD2200 200МЛ. [MERIDIAN]"/>
        <s v="АСКОРБИНОВАЯ К-ТА 25МГ. ВИШНЯ №10 ТАБ. КРУТКА САХ. /АСКОПРОМ/"/>
        <s v="ДЮФАЛАК 667МГ/МЛ. 1000МЛ. СИРОП ФЛ. +МЕРН.СТАКАН /ЭББОТТ/СОЛВЕЙ/"/>
        <s v="ИНГАВИРИН 90МГ. №10 КАПС. /ВАЛЕНТА/"/>
        <s v="СТЕЛЛАНИН 3% 20Г. МАЗЬ Д/НАРУЖ.ПРИМ. ТУБА"/>
        <s v="МЕКСИДОЛ 125МГ. №50 ТАБ. П/П/О /ФАРМАСОФТ/ЗИО ЗДОРОВЬЕ/"/>
        <s v="ОФТАН-КАТАХРОМ 10МЛ. ГЛ.КАПЛИ ФЛ."/>
        <s v="ЛЕВОФЛОКСАЦИН 500МГ. №10 ТАБ. П/П/О /ФАРМСТАНДАРТ-ТОМСКХИМФАРМ/"/>
        <s v="ДОНОРМИЛ 15МГ. №30 ТАБ. П/П/О"/>
        <s v="НАЙЗ 100МГ. №30 ТАБ."/>
        <s v="ЭМОКСИПИН 10МГ/МЛ. 5МЛ. №1 ГЛ.КАПЛИ ФЛ. КРЫШ/КАП."/>
        <s v="ДОЛГИТ 5% 100Г. КРЕМ Д/НАРУЖ.ПРИМ. ТУБА /ДОЛОРГИТ/"/>
        <s v="ЛИЗИНОПРИЛ 10МГ. №60 ТАБ. /ВЕРТЕКС/"/>
        <s v="ВЕРОШПИРОН 50МГ. №30 КАПС. /ГЕДЕОН РИХТЕР/"/>
        <s v="ДИАБЕТОН МВ 60МГ. №30 ТАБ. МОДИФ.ВЫСВ. /СЕРВЬЕ/"/>
        <s v="ЛЕВОМЕКОЛЬ 40МГ/Г.+7,5МГ/Г. 40Г. №1 МАЗЬ Д/НАРУЖ.ПРИМ. ТУБА /НИЖФАРМ/"/>
        <s v="ВАЛОКОРДИН 20МЛ. КАПЛИ Д/ПРИЕМА ВНУТРЬ ФЛ./КАП."/>
        <s v="КОЛГЕЙТ ЗУБ.ЩЕТКА МАССАЖЕР МЯГКАЯ [COLGATE]"/>
        <s v="СБОР УРОЛОГИЧЕСКИЙ 2Г. №20 ПАК. (ФИТОНЕФРОЛ) /КРАСНОГОРСК/"/>
        <s v="ДЕЗЛОРАТАДИН-ВЕЛФАРМ 5МГ. №10 ТАБ. П/О"/>
        <s v="БЕТАЛОК ЗОК 25МГ. №14 ТАБ.ПРОЛОНГ. П/О /АСТРА ЗЕНЕКА/"/>
        <s v="ФУРАЦИЛИН АВЕКСИМА 20МГ. №10 ШИП.ТАБ. Д/Р-РА Д/МЕСТ. И НАРУЖ.ПРИМ."/>
        <s v="L-ТИРОКСИН 75МКГ. №100 ТАБ. /БЕРЛИН ХЕМИ/"/>
        <s v="МЕТИЛУРАЦИЛ 10% 25Г. МАЗЬ Д/МЕСТ. И НАРУЖ.ПРИМ. ТУБА /НИЖФАРМ/"/>
        <s v="ПИКАМИЛОН 20МГ. №30 ТАБ. /ФАРМСТАНДАРТ/"/>
        <s v="НУРОФЕН 100МГ/5МЛ. 100МЛ. СУСП. КЛУБНИКА Д/ДЕТЕЙ ФЛ. /РЕКИТТ БЕНКИЗЕР/"/>
        <s v="НО-ШПА 40МГ. №24 ТАБ. /ХИНОИН/"/>
        <s v="РОМАШКИ ЦВЕТКИ 1,5Г. №20 ПАК. /КРАСНОГОРСК/"/>
        <s v="АМОКСИЦИЛЛИН 500МГ. №16 КАПС. /ХЕМОФАРМ/"/>
        <s v="РИНОСТОП 0,1% 15МЛ. НАЗАЛ.СПРЕЙ ФЛ. /ОТИСИФАРМ/ЛЕККО/ФАРМСТАНДАРТ ЛЕКСРЕДСТВА/"/>
        <s v="СИОФОР 500 №60 ТАБ. П/П/О /БЕРЛИН ХЕМИ/"/>
        <s v="БИСОПРОЛОЛ 2,5МГ. №30 ТАБ. П/П/О /ВЕРТЕКС/"/>
        <s v="РИНОНОРМ-ТЕВА 0,1% 140МКГ/ДОЗА 20МЛ. НАЗАЛ.СПРЕЙ ФЛ. /ТЕВА/"/>
        <s v="СОТАГЕКСАЛ 80МГ. №20 ТАБ. /ГЕКСАЛ АГ/"/>
        <s v="ВАЛОСЕРДИН 25МЛ. КАПЛИ Д/ПРИЕМА ВНУТРЬ ФЛ. /МОСФАРМА/"/>
        <s v="АУРА ВАТНЫЕ ДИСКИ №100 [AURA]"/>
        <s v="МЕЗИМ-ФОРТЕ №20 ТАБ. П/О /БЕРЛИН-ХЕМИ/"/>
        <s v="ИНДОМЕТАЦИН-СОФАРМА 25МГ. №30 ТАБ.КШ/РАСТВ. П/О"/>
        <s v="ГЕПАРИНОВАЯ 25Г. МАЗЬ Д/НАРУЖ.ПРИМ. ТУБА /ЗЕЛЕНАЯ ДУБРАВА/"/>
        <s v="САЛИПОД ЛЕЙКОПЛАСТ. МОЗОЛЬНЫЙ 6Х10СМ. /ВЕРОФАРМ/"/>
        <s v="КРЕМ ДЕТСКИЙ РОМАШКА+ВИТ.А+F 75МЛ. /АВАНТА/"/>
        <s v="ЭВО ПАНТЕНОЛ ПОМАДА ГИГИЕН. 2,8Г. [EVO] /АВАНТА/"/>
        <s v="СТАРЫЙ ИСТОЧНИК СЛАВЯНОВСКАЯ ВОДА МИНЕР. ЭЛИТНАЯ 1Л."/>
        <s v="АНАЛЬГИН 500МГ. №20 ТАБ. /ФАРМСТАНДАРТ/"/>
        <s v="САЛФЕТКИ ДВУХСЛ. СТЕР. 45Х29СМ №5"/>
        <s v="БИСАКОДИЛ-НИЖФАРМ 10МГ. №10 СУПП. РЕКТ. /НИЖФАРМ/"/>
        <s v="БИОВИТА ВОДА ПИТЬЕВАЯ СТРУКТУР. 0,6Л. Н/ГАЗ. [BIOVITA]"/>
        <s v="МЕНОВАЗИН 40МЛ. №1 СПИРТ. Р-Р Д/НАРУЖ.ПРИМ. ФЛ. /ТУЛЬСКАЯ ФФ/"/>
        <s v="НИФЕДИПИН 10МГ. №50 ТАБ. П/П/О /ОЗОН/"/>
        <s v="ЦЕФАЗОЛИНА НАТРИЕВАЯ СОЛЬ 1Г. №1 ПОР. Д/Р-РА В/В,В/М ФЛ. /БИОСИНТЕЗ/"/>
        <s v="МЕТРОНИДАЗОЛ 250МГ. №20 ТАБ. /МЕДИСОРБ/"/>
        <s v="ИБУПРОФЕН 200МГ. №50 ТАБ. П/О /БОРИСОВСКИЙ/"/>
        <s v="РИНОСТОП 0,1% 10МЛ. НАЗАЛ.КАПЛИ ФЛ./КАП. /ОТИСИФАРМ/ЛЕККО/ФАРМСТАНДАРТ ЛЕКСРЕДСТВА/"/>
        <s v="РЕТИНОЛА АЦЕТАТ 33000МЕ №30 КАПС. (ВИТАМИН А) /МЕЛИГЕН/"/>
        <s v="МЕТРОГИЛ 5МГ/МЛ. 100МЛ. №1 Р-Р Д/ИНФ. ФЛ. /ЮНИК/"/>
        <s v="РИНОРУС 0,1% 10МЛ. НАЗАЛ.КАПЛИ ФЛ./КАП. И/У /СИНТЕЗ/"/>
        <s v="ЭВЕРС-ЛАЙФ САЛФЕТКА СТЕР. 2-Х СЛ. 16Х14СМ. №10 [EVERS LIFE]"/>
        <s v="САЛИЦИЛОВАЯ К-ТА 2% 40МЛ. №1 СПИРТ. Р-Р Д/НАРУЖ.ПРИМ. ФЛ. /ИВАНОВСКАЯ ФФ/"/>
        <s v="АСКОРБИНОВАЯ К-ТА 25МГ. ЯБЛОКО №10 ТАБ. КРУТКА САХ. /АСКОПРОМ/"/>
        <s v="КОНТЕЙНЕР Д/СБОРА БИОМАТЕРИАЛА 60МЛ. +ШПАТЕЛЬ СТЕР. И/У (БАНКА)"/>
        <s v="ЭЛИКВИС 5МГ. №60 ТАБ. П/П/О /ПФАЙЗЕР/БРИСТОЛ-МАЙЕРС/"/>
        <s v="ИНЪЕКТРАН 100МГ/МЛ. 2МЛ. №10 Р-Р Д/В/М АМП."/>
        <s v="АЗАРГА 10МГ/МЛ.+5МГ/МЛ. 5МЛ. №1 ГЛ.КАПЛИ ФЛ./КАП."/>
        <s v="ВИТАПРОСТ 10МГ. №10 СУПП. РЕКТ. /НИЖФАРМ/"/>
        <s v="ФОСФОГЛИВ ФОРТЕ 65МГ+300МГ. №50 КАПС. /ФАРМСТАНДАРТ/"/>
        <s v="ТРИПЛИКСАМ 5МГ.+1,25МГ.+5МГ. №30 ТАБ. П/П/О"/>
        <s v="НОЛИПРЕЛ А ФОРТЕ 5МГ.+1,25МГ. №30 ТАБ. П/П/О"/>
        <s v="РЕЛИФ ПРО 40МГ.+1МГ. №10 СУПП. РЕКТ."/>
        <s v="КОРНЕРЕГЕЛЬ 5% 10Г. ГЛ. ГЕЛЬ ТУБА"/>
        <s v="ЭКСПРЕСС-ТЕСТ НА А/ТЕЛА COVID-19 LGG/LGM"/>
        <s v="МАГНЕЛИС В6 №120 ТАБ. П/О"/>
        <s v="ПРЕСТАНС 5МГ.+5МГ. №30 ТАБ."/>
        <s v="СОРБИФЕР ДУРУЛЕС 320МГ/60МГ. №50 ТАБ. П/О"/>
        <s v="ЦИСТОН №100 ТАБ."/>
        <s v="ПОЛИДЕКСА С ФЕНИЛЭФРИНОМ 15МЛ. НАЗАЛ.СПРЕЙ ФЛ."/>
        <s v="ГЛЮКОФАЖ ЛОНГ 1000МГ. №60 ТАБ.ПРОЛОНГ. /МЕРК САНТЭ/"/>
        <s v="КАНЕФРОН Н №60 ТАБ. П/О"/>
        <s v="МИКОДЕРИЛ 1% 10МЛ. №1 Р-Р Д/НАРУЖ.ПРИМ. ФЛ./КАП."/>
        <s v="ГРИППФЕРОН 10000МЕ/МЛ. 500МЕ/ДОЗА 10МЛ. 200ДОЗ НАЗАЛ.СПРЕЙ ФЛ. /ФИРН М/"/>
        <s v="ДЕТРИМАКС 2000 240МГ. №60 ТАБ. П/О"/>
        <s v="КЛАРИТРОМИЦИН-ВЕРТЕ 500МГ. №14 ТАБ. П/П/О /ВЕРТЕКС/"/>
        <s v="ГИПОСАРТ 16МГ. №28 ТАБ."/>
        <s v="ДОРИТРИЦИН №10 ТАБ. Д/РАСС."/>
        <s v="МИКРОЛАКС 5МЛ. №4 Р-Р Д/РЕКТ. ВВЕД. МИКРОКЛИЗМА"/>
        <s v="ГЕКСАЛИЗ №30 ТАБ. Д/РАСС."/>
        <s v="АТОРВАСТАТИН-СЗ 20МГ. №60 ТАБ. П/П/О /СЕВЕРНАЯ ЗВЕЗДА/"/>
        <s v="АЦИКЛОВИР-БЕЛУПО 400МГ. №35 ТАБ. П/О /БЕЛУПО/"/>
        <s v="МИЛДРОНАТ 100МГ/МЛ. 5МЛ. №10 Р-Р Д/В/В,В/М И ПАРАБУЛЬБ. ВВЕД. АМП. /ГРИНДЕКС/"/>
        <s v="НОЛЬПАЗА 20МГ. №28 ТАБ.КШ/РАСТВ. П/О /KRKA/"/>
        <s v="КОМБИЛИПЕН 2МЛ. №10 Р-Р Д/В/М АМП."/>
        <s v="ТРИМЕТАЗИДИН-АКОС МВ 35МГ. №60 ТАБ. МОДИФ.ВЫСВ. /БИОКОМ/"/>
        <s v="ЭВКАЛИПТ М №24 ПАСТИЛКИ"/>
        <s v="ОКВИС ПРОТЕКТОР ЭПИТЕЛИЯ РОГОВОЦЫ 0,3% 5МЛ. ФЛ./КАП."/>
        <s v="ЦИПРОЛЕТ А 500МГ.+600МГ. №10 ТАБ. П/О"/>
        <s v="ДОКСИЦИКЛИН СОЛЮШН ТАБЛЕТС 100МГ. №10 ТАБ.ДИСПЕРГ. /АТОЛЛ/ОЗОН/"/>
        <s v="МОКСОНИДИН-СЗ 0,2МГ. №60 ТАБ. П/П/О /СЕВЕРНАЯ ЗВЕЗДА/"/>
        <s v="ГЛИЦЕРИН 2,11Г. №10 СУПП. РЕКТ. /НИЖФАРМ/"/>
        <s v="АТОПИК КРЕМ-СТИК УСПОКАИВАЮЩИЙ Д/ДЕТ. 0+ 4,9МЛ. ПЕНАЛ [ATOPIC]"/>
        <s v="ПЕРИНЕВА 4МГ. №30 ТАБ. /KRKA/"/>
        <s v="БЛЕФАРОЛОСЬОН ЛОСЬОН КОСМЕТ. Д/ВЕК 15МЛ. ФЛ."/>
        <s v="ТОЛПЕРИЗОН 150МГ. №30 ТАБ. П/П/О /МЕДИСОРБ/"/>
        <s v="СПЛАТ ЗУБ.ПАСТА ЛЕЧЕБНЫЕ ТРАВЫ 100МЛ. [SPLAT]"/>
        <s v="БЕТАГИСТИН-СЗ 16МГ. №60 ТАБ. /СЕВЕРНАЯ ЗВЕЗДА/"/>
        <s v="НАНОПЛАСТ ФОРТЕ ПЛАСТЫРЬ ОБЕЗБОЛ. 9Х12СМ. №3"/>
        <s v="ДОНАТ МАГНИЙ ВОДА ГАЗ. 1Л. ПЭТ [DONAT]"/>
        <s v="МЕКСИДОЛ ЗУБ.ПАСТА ДЕНТ АКТИВ 100Г. [MEXIDOL]"/>
        <s v="СИГНИЦЕФ 0,5% 5МЛ. №1 ГЛ.КАПЛИ ФЛ./КАП. /СЕНТИСС/ПРОМЕД/"/>
        <s v="ФУНДИЗОЛ КРЕМ Д/НОГТЕЙ И КОЖИ 30МЛ."/>
        <s v="КАФФЕТИН ЛАЙТ №12 ТАБ."/>
        <s v="КАЛЧЕК 5МГ. №30 ТАБ. /ИПКА/"/>
        <s v="ЭНАЛАПРИЛ ГЕКСАЛ 10МГ. №50 ТАБ. /ГЕКСАЛ АГ/"/>
        <s v="БИСОПРОЛОЛ 2,5МГ. №60 ТАБ. П/О /ВЕРТЕКС/"/>
        <s v="БИСОПРОЛОЛ 5МГ. №60 ТАБ. П/П/О /ВЕРТЕКС/"/>
        <s v="ПЕРЕКИСЬ ВОДОРОДА 3% 1Л. Р-Р ДЕЗ.СР-ВО ФЛ."/>
        <s v="КАПОТЕН 25МГ. №28 ТАБ. /АКРИХИН/"/>
        <s v="НАСОБЕК 50МКГ/ДОЗА 200ДОЗ №1 НАЗАЛ.СПРЕЙ ФЛ. /ТЕВА/"/>
        <s v="АМОКСИЦИЛЛИН САНДОЗ 1000МГ. №12 ТАБ. П/О БЛИСТЕР /САНДОЗ/"/>
        <s v="ПАНАНГИН 158МГ+140МГ. №50 ТАБ. П/П/О /ГЕДЕОН РИХТЕР/"/>
        <s v="РЕВАЛГИН №20 ТАБ."/>
        <s v="СУПРАСТИН 2% 1МЛ. №5 Р-Р Д/В/В,В/М АМП. /ЭГИС/"/>
        <s v="НОЛЬПАЗА 20МГ. №14 ТАБ.КШ/РАСТВ. П/О /KRKA/"/>
        <s v="ФЛУИМУЦИЛ 600МГ. №10 ШИП.ТАБ. /ЗАМБОН/"/>
        <s v="КОРВАЛОЛ №20 ТАБ. /ЮЖФАРМ/"/>
        <s v="ЛЕЙКО ПЛАСТЫРЬ МОЗОЛЬНЫЙ №6 [LEIKO]"/>
        <s v="МЕДИКОМЕД ГИАЛУРОНОВАЯ К-ТА ГЕЛЬ КОСМЕТИЧ. 15МЛ. ФЛ."/>
        <s v="МИГ 400МГ. №20 ТАБ. П/П/О /БЕРЛИН-ХЕМИ/"/>
        <s v="БРАЛ 500МГ. №20 ТАБ."/>
        <s v="КАМЕТОН 45Г. АЭРОЗОЛЬ Д/МЕСТ.ПРИМ. БАЛЛОН /ФАРМСТАНДАРТ ЛЕКСРЕДСТВА/"/>
        <s v="АУРА ВАТНЫЕ ДИСКИ №120 [AURA]"/>
        <s v="КАРБАМАЗЕПИН-АЛСИ 200МГ. №40 ТАБ. /АЛСИ/"/>
        <s v="ЛАПЧАТКА КОРНЕВИЩА 50Г. ПАК. /ЗДОРОВЬЕ/"/>
        <s v="СУПРАСТИН 25МГ. №20 ТАБ. /ЭГИС/"/>
        <s v="ВОЛЬТАРЕН 25МГ/МЛ. 3МЛ. №5 Р-Р Д/В/М АМП. /НОВАРТИС/ГЛАКСО/"/>
        <s v="СТРЕПТОЦИД 10Г. №1 ПОР. Д/НАРУЖ.ПРИМ. БАНКА ДОЗ. /ЛЕКАРЬ/"/>
        <s v="ЛЕКРОЛИН 20МГ/МЛ. 10МЛ. №1 ГЛ.КАПЛИ ФЛ. /САНТЭН/"/>
        <s v="ПАСКАЛЬ ШПРИЦ 3-Х КОМП. 2МЛ. С ИГЛОЙ 23G 0,6Х30ММ. №10 [PASCAL]"/>
        <s v="ЗВЕРОБОЯ ТРАВА 50Г. /КРАСНОГОРСК/"/>
        <s v="L-ТИРОКСИН 50МКГ. №50 ТАБ. /БЕРЛИН ХЕМИ/"/>
        <s v="ВЕРОШПИРОН 25МГ. №20 ТАБ. /ГЕДЕОН РИХТЕР/"/>
        <s v="РИБОКСИН АВЕКСИМА 200МГ. №50 ТАБ. П/П/О"/>
        <s v="БИФИДУМБАКТЕРИН 5ДОЗ №10 ЛИОФ. Д/СУСП. Д/ПРИЕМА ВНУТРЬ И МЕСТ.ПРИМ. ФЛ. /ЭКОПОЛИС/"/>
        <s v="ЛЕЙКОПЛАСТЫРЬ 5Х500 ТКАН.ОСНОВА КАТУШКА КАРТОН /ВЕРОФАРМ/"/>
        <s v="ИНДАПАМИД 2,5МГ. №30 ТАБ. П/О /ХЕМОФАРМ/"/>
        <s v="АЗИТРОМИЦИН 500МГ. №3 КАПС. /ПРОИЗВОДСТВО МЕДИКАМЕНТОВ/ ПроМед/"/>
        <s v="АСПЕРА СУПЕРЧИСТОТЕЛ 3МЛ. ФЛ."/>
        <s v="САЛФЕТКИ 8-И СЛОЙНАЯ СТЕР. 10СМХ10СМ №10"/>
        <s v="ПАСКАЛЬ ШПРИЦ 3-Х КОМП. 20МЛ. С ИГЛОЙ 21G 0,8Х40ММ. №5 [PASCAL]"/>
        <s v="ВАЗЕЛИНОВОЕ МАСЛО Д/ПРИЕМА ВНУТРЬ 100МЛ. №1 ФЛ. /ФЛОРА КАВКАЗА/"/>
        <s v="ЙОДА 5% 25МЛ. №1 СПИРТ. Р-Р Д/НАРУЖ.ПРИМ. ФЛ. /ТУЛЬСКАЯ ФФ/"/>
        <s v="ЛАКОМКА ПОМАДА ГИГИЕН. ЯГОДНЫЙ МИКС 2,8Г. /АВАНТА/"/>
        <s v="ЛЮКСПЛАСТ ЛЕЙКОПЛАСТ. БАКТЕР. 19Х72ММ ТКАН. ЭЛ.ТЕЛЕСН. №10 [LUXPLAST]"/>
        <s v="ВАЛЕРИАНА ЭКСТРАКТ 20МГ. №50 ТАБ. П/О /БОРИСОВСКИЙ/"/>
        <s v="ДИКЛОФЕНАК 100МГ. №20 ТАБ.ПРОЛОНГ. П/О /НИЖФАРМ/ХЕМОФАРМ/"/>
        <s v="МУКАЛТИН 50МГ. №20 ТАБ. /ФАРМСТАНДАРТ/"/>
        <s v="АЦИКЛОВИР-АКРИХИН 200МГ. №20 ТАБ. /АКРИХИН/"/>
        <s v="ПЕРТУССИН-ЭКО 100МЛ. СИРОП ФЛ. /ЭКОЛАБ/"/>
        <s v="ГЛЮКОЗА 40% 10МЛ. №10 Р-Р Д/ИН. АМП. /ДАЛЬХИМФАРМ/"/>
        <s v="БРОМГЕКСИН 8МГ. №50 ТАБ. /МЕДИСОРБ/"/>
        <s v="ЙОДА 5% 10МЛ. СПИРТ. Р-Р ФЛ. /ЯРОСЛАВСКАЯ ФФ/"/>
        <s v="АСКОРБИНОВАЯ К-ТА 100МГ.+877МГ. ГЛЮКОЗА №40 ТАБ. /ФАРМСТАНДАРТ/"/>
        <s v="ПАНКРЕАТИН 30ЕД №60 ТАБ.КШ/РАСТВ. П/О БАНКА /ФАРМПРОЕКТ/"/>
        <s v="ДИАЗОЛИН 100МГ. №10 ДРАЖЕ /ФАРМСТАНДАРТ-УФАВИТА/"/>
        <s v="ЦИАНОКОБАЛАМИН 0,5МГ/МЛ. 1МЛ. №10 Р-Р Д/ИН. АМП. (ВИТАМИН В12) /ДАЛЬХИМФАРМ/"/>
        <s v="ГИДРОПЕРИТ 1,5Г. №8 ТАБ. Д/Р-РА Д/МЕСТ. И НАРУЖ.ПРИМ. /ТАТХИМФАРМПРЕПАРАТЫ/"/>
        <s v="КАПТОПРИЛ 50МГ. №20 ТАБ. /ОЗОН/"/>
        <s v="ТРОМБОПОЛ 75МГ. №30 ТАБ.КШ/РАСТВ. П/О /ПОЛЬФАРМА/"/>
        <s v="ЛИДОКАИН 20МГ/МЛ. 2МЛ. №10 Р-Р Д/ИН. АМП. /ДАЛЬХИМФАРМ/"/>
        <s v="САЛФЕТКИ 8-И СЛОЙНАЯ СТЕР. 5СМХ5СМ №10"/>
        <s v="АТЕНОЛОЛ РЕНЕВАЛ 50МГ. №30 ТАБ. /ОБНОВЛЕНИЕ/"/>
        <s v="АТЕНОЛОЛ РЕНЕВАЛ 100МГ. №30 ТАБ. /ОБНОВЛЕНИЕ/"/>
        <s v="ЛЕВОМИЦЕТИН 1% 25МЛ. №1 СПИРТ. Р-Р Д/НАРУЖ.ПРИМ. ФЛ./КАП. /ТУЛЬСКАЯ ФФ/"/>
        <s v="ФУКОРЦИН 25МЛ. Р-Р Д/НАРУЖ.ПРИМ. ФЛ. /ТУЛЬСКАЯ ФФ/"/>
        <s v="БОЯРЫШНИКА НАСТОЙКА 25МЛ. ФЛ. /ГИППОКРАТ/"/>
        <s v="КАМФОРНЫЙ СПИРТ 10% 40МЛ. №1 Р-Р Д/НАРУЖ.ПРИМ. ФЛ. /ИВАНОВСКАЯ ФФ/"/>
        <s v="ДИКЛОФЕНАК 50МГ. №20 ТАБ.КШ/РАСТВ. П/О /ХЕМОФАРМ/"/>
        <s v="СИЛЬВЕР КАПИТАН БАТОНЧИК КОКОС ШОК.ГЛАЗ. 50Г."/>
        <s v="КАЛИНОВ РОДНИК ВОДА МИНЕР. 0,5Л. Н/ГАЗ."/>
        <s v="ВАЗЕЛИН 30Г. МАЗЬ Д/НАРУЖ.ПРИМ. ТУБА /МУРОМСКИЙ/"/>
        <s v="СЕНСЕ МАСКА МЕД. ТРЕХСЛОЙНАЯ (3-Х) НА РЕЗИНКЕ ГОЛ. №10 [SENSE]"/>
        <s v="ТИАМИНА ХЛОРИД 50МГ/МЛ. 1МЛ. №10 Р-Р Д/В/М ВВЕД. АМП. (ВИТАМИН В1) /СТАТУСФАРМ/ЕРЕВАН.ФФ/"/>
        <s v="ИНДАПАМИД 2,5МГ. №30 ТАБ. П/О /КАНОНФАРМА/"/>
        <s v="ПРЕДНИЗОЛОН 0,5% 15Г. МАЗЬ Д/НАРУЖ.ПРИМ. ТУБА /БИОСИНТЕЗ/"/>
        <s v="ГИДРОКОРТИЗОН 1% 10Г. МАЗЬ Д/НАРУЖ.ПРИМ. ТУБА /НИЖФАРМ/"/>
        <s v="ЛЕЙКОПЛАСТЫРЬ 1Х500 РУЛОН КОНТ.УПАКОВКА/ПАКЕТ /ВЕРОФАРМ/"/>
        <s v="Карта LOYALITY 25Р"/>
        <s v="ПИОНА НАСТОЙКА 25МЛ. И/У ФЛ. /ИВАНОВСКАЯ ФФ/"/>
        <s v="ТИМОЛОЛ 0,5% 10МЛ. ГЛ.КАПЛИ ФЛ./КАП. /СЛАВЯНСКАЯ АПТЕКА/"/>
        <s v="ЭНАМ 2,5МГ. №20 ТАБ. /Д-Р РЕДДИ/"/>
        <s v="ЛЕВОМИЦЕТИН 0,25% 10МЛ. №1 ГЛ.КАПЛИ ФЛ./КАП. /ЛЕККО/"/>
        <s v="ПИПЕТКА ГЛ. ТРАВМОБЕЗ. №1 ФУТ."/>
        <s v="ПЕРЕКИСЬ ВОДОРОДА 3% 100МЛ. №1 Р-Р ДЕЗ.СР-ВО ФЛ. ПЛАСТ. /САМАРАМЕДПРОМ/"/>
        <s v="КОНТЕЙНЕР Д/СБОРА БИОМАТЕРИАЛА 120МЛ. УНИВЕРС. СТЕР. (БАНКА)"/>
        <s v="НИМЕСИЛ 100МГ. 2Г. №30 ГРАН. Д/СУСП. Д/ПРИЕМА ВНУТРЬ ПАК. /ГУИДОТТИ/МЕНАРИНИ/"/>
        <s v="ГЕЛАДРИНК ФОРТЕ ПОР. Д/ПРИЕМА ВНУТРЬ АПЕЛЬСИН 420Г. БАНКА"/>
        <s v="ОМРОН ТОНОМЕТР M2 БАЗИК АВТОМАТ АДАПТЕР /АРТ.HEM-7121-ARU/ [OMRON]"/>
        <s v="ЛИТТЛ ДОКТОР ТОНОМЕТР LD-51U АВТОМАТ НА ПЛЕЧО 22-42СМ. +АДАПТЕР [LITTLE DOCTOR]"/>
        <s v="ВЕССЕЛ ДУЭ Ф 250ЕД №60 КАПС."/>
        <s v="ЛОНГИДАЗА 3000МЕ №10 СУПП. РЕКТ./ВАГИН."/>
        <s v="ТОНОМЕТР UA-604 П/АВТОМАТ [AND]"/>
        <s v="ДОНА 750МГ. №60 ТАБ. П/О"/>
        <s v="ТРАВАТАН 0,004% 2,5МЛ. №3 ГЛ.КАПЛИ ФЛ./КАП."/>
        <s v="ТРИМЕДАТ ФОРТЕ 300МГ. №60 ТАБ.ПРОЛОНГ. П/П/О"/>
        <s v="КОЛЕТЕКС КОЛЕГЕЛЬ-ДНК-Л ДЕРИНАТ+ЛИДОКАИН 100МЛ. ТУБА (САЛФЕТКА ГИДРОГЕЛЕВ.)"/>
        <s v="АРТРАДОЛ 100МГ. №20 ЛИОФ. Д/Р-РА Д/В/М АМП."/>
        <s v="АРКОКСИА 90МГ. №28 ТАБ. П/П/О"/>
        <s v="АЛЬФА НОРМИКС 200МГ. №28 ТАБ. П/П/О"/>
        <s v="КАНЕФРОН Н №120 ТАБ. П/О"/>
        <s v="КОКАРНИТ 187,125МГ. №3 ЛИОФ. Д/Р-РА Д/В/М АМП. +Р-ЛЬ 2МЛ. №3 АМП."/>
        <s v="СТРЕЗАМ 50МГ. №60 КАПС."/>
        <s v="ВИПИДИЯ 25МГ. №28 ТАБ. П/П/О /ТАКЕДА/"/>
        <s v="ФУРАМАГ 50МГ. №30 КАПС. /ОЛАЙНФАРМ/"/>
        <s v="КАЛЬЦЕМИН АДВАНС №60 ТАБ. П/П/О"/>
        <s v="ИРУНИН 100МГ. №14 КАПС. /ВЕРОФАРМ/"/>
        <s v="УРСОФАЛЬК 250МГ/5МЛ. 250МЛ. СУСП. Д/ПРИЕМА ВНУТРЬ ФЛ. /ФАЛЬК ФАРМА/ВИФОР/"/>
        <s v="АКРИДЕРМ ГК 0,05%+0,1%+1% 30Г. №1 КРЕМ Д/НАРУЖ.ПРИМ. ТУБА /АКРИХИН/"/>
        <s v="НАЗОНЕКС 50МКГ/ДОЗА 18Г. 120ДОЗ №1 НАЗАЛ.СПРЕЙ ФЛ."/>
        <s v="СЕНИ ТРУСИКИ АКТИВ ВПИТЫВ. НОРМАЛ Р.L(3) №10 (100-135СМ.) [SENI]"/>
        <s v="ДОРЗОПТ ПЛЮС 20+5МГ/МЛ. 5МЛ. ГЛ.КАПЛИ ФЛ./КАП."/>
        <s v="ТРИПЛИКСАМ 10МГ.+2,5МГ.+10МГ. №30 ТАБ. П/П/О"/>
        <s v="ТЕЛМИСТА 80МГ. №84 ТАБ."/>
        <s v="АЛЬФА НОРМИКС 200МГ. №12 ТАБ. П/П/О"/>
        <s v="РИГЕВИДОН 0,15МГ+0,03МГ. №63 (21Х3) ТАБ. П/О /ГЕДЕОН РИХТЕР/"/>
        <s v="СУПРАКС СОЛЮТАБ 400МГ. №7 ТАБ. ДИСПЕРГ."/>
        <s v="ТРИПЛИКСАМ 5МГ.+2,5МГ.+10МГ. №30 ТАБ. П/П/О"/>
        <s v="ФЕСТАЛ №100 ДРАЖЕ"/>
        <s v="ВАЛЬСАКОР Н 160МГ.+12,5МГ. №90 ТАБ. П/П/О /KRKA/"/>
        <s v="ДОППЕЛЬГЕРЦ АКТИВ ОМЕГА-3 №80 КАПС."/>
        <s v="ДЕТРАЛЕКС 500МГ. №30 ТАБ. П/П/О"/>
        <s v="АТОРИС 20МГ. №90 ТАБ. П/П/О /KRKA/"/>
        <s v="ЛОГЕСТ 75МКГ.+20МКГ. №21 ТАБ. П/О"/>
        <s v="ПОЛИОКСИДОНИЙ 6МГ. №10 СУПП. РЕКТ./ВАГИН. /ПЕТРОВАКС/"/>
        <s v="АЛЕРАНА ВИТАМИННО-МИНЕРАЛЬНЫЙ КОМПЛЕКС ДЕНЬ-НОЧЬ №60 ТАБ. [ALERANA]"/>
        <s v="МИДРИМАКС 5МЛ. №1 ГЛ.КАПЛИ ФЛ./КАП."/>
        <s v="СИЛУЕТ 2МГ.+0,03МГ. №21 ТАБ. П/О /ГЕДЕОН РИХТЕР/"/>
        <s v="АЛЬФАГАН Р 0,15% 5МЛ. ГЛ.КАПЛИ ФЛ./КАП."/>
        <s v="ВОЛЬТАРЕН ЭМУЛЬГЕЛЬ 2% 100Г. ГЕЛЬ Д/НАРУЖ.ПРИМ. ТУБА"/>
        <s v="ПРЕСТАНС 10МГ.+10МГ. №30 ТАБ."/>
        <s v="ЦИТОФЛАВИН №100 ТАБ.КШ/РАСТВ. /ПОЛИСАН/"/>
        <s v="БИЛОБИЛ 40МГ. №60 КАПС. /KRKA/"/>
        <s v="КСАЛАТАН 0,005% 2,5МЛ. №1 ГЛ.КАПЛИ ФЛ./КАП."/>
        <s v="ПОЛИОКСИДОНИЙ 12МГ. №10 ТАБ. /ПЕТРОВАКС/"/>
        <s v="МИЛЬГАММА 2МЛ. №10 Р-Р Д/В/М АМП."/>
        <s v="МАГНЕ В6 ФОРТЕ №40 ТАБ. П/П/О"/>
        <s v="КАПИЛАР 250МГ. №200 ТАБ."/>
        <s v="МОВАЛИС 7,5МГ. №20 ТАБ."/>
        <s v="НЕБИЛЕТ 5МГ. №14 ТАБ. /МЕНАРИНИ/"/>
        <s v="НОЛИПРЕЛ А 2,5МГ.+0,625МГ. №30 ТАБ. П/П/О"/>
        <s v="ОРДИСС 16МГ. №30 ТАБ."/>
        <s v="ДЕПАНТОЛ 100МГ.+16МГ. №10 СУПП. ВАГ. /НИЖФАРМ/"/>
        <s v="ВЕЗИКАР 5МГ. №30 ТАБ. П/П/О /АСТЕЛЛАС/"/>
        <s v="БРОКСИНАК 0,09% 2,5МЛ. №1 ГЛ.КАПЛИ ФЛ."/>
        <s v="РЕМЕНС №36 ТАБ. ПОДЪЯЗЫЧ. ГОМЕОПАТ."/>
        <s v="ПРЕДИЗИН 35МГ. №60 ТАБ.ПРОЛОНГ. П/П/О /ГЕДЕОН РИХТЕР/"/>
        <s v="ДЕРМОВЕЙТ 0,05% 25Г. КРЕМ Д/НАРУЖ.ПРИМ. ТУБА"/>
        <s v="КЕСТИН 20МГ. №10 ТАБ. П/О"/>
        <s v="ПРОСТАПЛАНТ 320МГ. №30 КАПС."/>
        <s v="СИЛДЕНАФИЛ-СЗ 100МГ. №20 ТАБ. П/П/О /СЕВЕРНАЯ ЗВЕЗДА/"/>
        <s v="НОРМОБАКТ-L 3Г. №10 ПОР. Д/-Р-РА Д/ПРИЕМА ВНУТРЬ САШЕ"/>
        <s v="ТРИМЕДАТ 200МГ. №30 ТАБ."/>
        <s v="СУПРАДИН КИДС РЫБКИ №30 ПАСТИЛКИ ЖЕВ."/>
        <s v="ЦИТОФЛАВИН 10МЛ. №5 Р-Р Д/В/В АМП. /ПОЛИСАН/"/>
        <s v="МАКСИЛАК СИНБИОТИК №10 КАПС."/>
        <s v="КО-ВАМЛОСЕТ 5МГ.+160МГ.+12,5МГ. №30 ТАБ. П/П/О"/>
        <s v="ОКТОЛИПЕН 600МГ. №30 ТАБ. П/П/О /ФАРСТАНДАРТ-ЛЕКСРЕДСТВА/"/>
        <s v="АКВАЛОР ЭКСТРА ФОРТЕ 150МЛ. АЛОЭ+РОМАШКА НАЗАЛ.СПРЕЙ"/>
        <s v="БУСКОПАН 10МГ. №20 ТАБ. П/О"/>
        <s v="МАГНЕЛИС В6 №90 ТАБ. П/О"/>
        <s v="БЕТОПТИК С 0,25% 5МЛ. ГЛ.КАПЛИ ФЛ./КАП."/>
        <s v="РЕЛИФ 5МГ. №10 СУПП. РЕКТ."/>
        <s v="ЮНИДОКС СОЛЮТАБ 100МГ. №20 ТАБ.ДИСПЕРГ. /АСТЕЛЛАС/"/>
        <s v="ГИНКОУМ 40МГ. №60 КАПС. /ЭВАЛАР/"/>
        <s v="БЕПАНТЕН ПЛЮС 5% 30Г. №1 КРЕМ Д/НАРУЖ.ПРИМ. ТУБА"/>
        <s v="ДАНТИНОРМ БЕБИ 1МЛ. №10 Р-Р Д/ВНУТР. Д/СНЯТ.ВОСПАЛ. ДЕСЕН ПРИ ПРОРЕЗ"/>
        <s v="АКТОВЕГИН 40МГ/МЛ. 5МЛ. №5 Р-Р Д/ИН. АМП."/>
        <s v="ПРОКТО-ГЛИВЕНОЛ 2% 30Г. КРЕМ РЕКТ. ТУБА"/>
        <s v="МЕЛАТОНИН-СЗ 3МГ. №60 ТАБ. П/П/О"/>
        <s v="ДОППЕЛЬГЕРЦ АКТИВ МАГНИЙ+ВИТ. ГРУППЫ В №30 ТАБ."/>
        <s v="БЕТАСЕРК 16МГ. №30 ТАБ. /ЭББОТ/"/>
        <s v="ВИЛЬПРАФЕН СОЛЮТАБ 1000МГ. №10 ТАБ. ДИСПЕРГ. /АСТЕЛЛАС/"/>
        <s v="СТЕЛЛАНИН-ПЭГ 3% 20Г. МАЗЬ Д/НАРУЖ.ПРИМ. ТУБА"/>
        <s v="МИЛДРОНАТ 500МГ. №30 КАПС. /ГРИНДЕКС/"/>
        <s v="ВОЛЬТАРЕН ЭМУЛЬГЕЛЬ 2% 50Г. ГЕЛЬ Д/НАРУЖ.ПРИМ. ТУБА"/>
        <s v="КАТАЛИН 750МГ. ТАБ. +15МЛ. Р-ЛЬ ГЛ.КАПЛИ"/>
        <s v="БИФИФОРМ №30 КАПС. КШ/РАСТВ."/>
        <s v="ПРОТЕФИКС ОЧИСТИТЕЛЬ АКТИВН. Д/ЗУБ.ПРОТЕЗ. №66 ТАБ. [PROTEFIX]"/>
        <s v="АЛЛАПИНИН 25МГ. №30 ТАБ. /ВИЛАР/"/>
        <s v="КОМБИЛИПЕН ТАБС №60 ТАБ. П/П/О"/>
        <s v="КОНТЕКС ПРЕЗЕРВАТИВ LIGHTS ОСОБО ТОНКИЕ №12 [CONTEX]"/>
        <s v="АМИКСИН 125МГ. №6 ТАБ. П/П/О /ОТИСИФАРМ/ФАРМСТАНДАРТ/"/>
        <s v="ДИВАЗА №100 ТАБ. Д/РАСС."/>
        <s v="ЦЕФИКСИМ ЭКСПРЕСС 400МГ. №7 ТАБ. ДИСПЕРГ."/>
        <s v="ТАВАНИК 500МГ. №10 ТАБ. П/П/О /САНОФИ-АВЕНТИС/"/>
        <s v="КРЕОН 25000 №20 КАПС. КШ/РАСТВ. ФЛ. /ЭББОТТ/"/>
        <s v="ПАНАНГИН ФОРТЕ 316МГ+280МГ. №60 ТАБ. П/П/О /ГЕДЕОН РИХТЕР/"/>
        <s v="ДЮСПАТАЛИН 200МГ. №30 КАПС. РЕТАРД /ЭББОТТ/"/>
        <s v="НЕОБУТИН 200МГ. №30 ТАБ."/>
        <s v="АКВА МАРИС НОРМ ИНТЕНСИВ. ПРОМЫВАНИЕ 150МЛ. НАЗАЛ.СПРЕЙ"/>
        <s v="САТЕЛЛИТ СЕНСОРЫ ПЛЮС ПКГЭ-02.4 №50 ТЕСТ ПОЛОСКИ"/>
        <s v="НЕБИВОЛОЛ-СЗ 5МГ. №56 ТАБ. /СЕВЕРНАЯ ЗВЕЗДА/"/>
        <s v="РАЗО 20МГ. №30 ТАБ.КШ/РАСТВ. П/О"/>
        <s v="ПОСТЕРИЗАН №10 СУПП. РЕКТ."/>
        <s v="НАТАЛЬСИД 250МГ. №10 СУПП. РЕКТ. /НИЖФАРМ/"/>
        <s v="ДЮФАЛАК 667МГ/МЛ. 500МЛ. СИРОП ФЛ. +МЕРН.СТАКАН /ЭББОТТ/СОЛВЕЙ/"/>
        <s v="ТРОКСЕРУТИН ВРАМЕД 300МГ. №50 КАПС. /СОФАРМА/"/>
        <s v="МИДОКАЛМ 50МГ. №30 ТАБ. П/П/О /ГЕДЕОН РИХТЕР/"/>
        <s v="КАЛЬЦИЙ Д3 НИКОМЕД 500МГ.+200МЕ №60 КЛУБНИКА+АРБУЗ ТАБ.ЖЕВ."/>
        <s v="БЕЙБИ КАЛМ Д/МЛАДЕНЦЕВ 15МЛ. КАПЛИ (СИРОП) ФЛ. БЕБИ"/>
        <s v="ДРАПОЛЕН 55Г. КРЕМ Д/НАРУЖ.ПРИМ. ТУБА"/>
        <s v="АНАУРЕТТЕ СПРЕЙ Д/ОЧИЩ. УШНОЙ ПОЛОСТИ 15МЛ."/>
        <s v="АТОПИК ГЕЛЬ Д/КУПАНИЯ С ГОЛОВЫ ДО ПЯТОК Д/ДЕТ. 0+ 200МЛ. ФЛ. [ATOPIC]"/>
        <s v="ТЕЛЗАП 40МГ. №30 ТАБ."/>
        <s v="ФРАУ ТЕСТ НА ОВУЛЯЦИЮ №5 ТЕСТ-ПОЛОСКА [FRAUTEST]"/>
        <s v="ФИТОЛАКС 500МГ. №40 ТАБ.ЖЕВ. /ЭВАЛАР/"/>
        <s v="ЭНТЕРОФУРИЛ 200МГ. №16 КАПС."/>
        <s v="ХОЛИСАЛ 10Г. ГЕЛЬ СТОМАТ. ТУБА"/>
        <s v="ЧУЛОК КРУГЛОВЯЗ. ДО БЕДРА 2 КОМПРЕСС. ОТКРЫТ. МЫСОК Р.1 (48-54) КРЕМ /АРТ.ЧККВ-ЦК/"/>
        <s v="КАРДИОАКТИВ ТАУРИН 500МГ. №60 ТАБ. /ЭВАЛАР/"/>
        <s v="МЕЛАТОНИН 3МГ. №30 ТАБ. П/П/О /ОЗОН/"/>
        <s v="УРОЛЕСАН 25МЛ. КАПЛИ Д/ПРИЕМА ВНУТРЬ ФЛ."/>
        <s v="МИРАМИСТИН 0,01% 150МЛ. №1 Р-Р Д/МЕСТ.ПРИМ. ФЛ. С РАСП."/>
        <s v="ТРИГРИМ 5МГ. №30 ТАБ."/>
        <s v="НЕОТАНИН СПРЕЙ Д/ДЕТ. И ВЗРОС. 100МЛ. ФЛ."/>
        <s v="НИМУЛИД 100МГ. №30 ТАБ."/>
        <s v="ПОЛИСОРБ МП 50Г. №1 ПОР. Д/СУСП. БАНКА"/>
        <s v="ЛИВ-52 №100 ТАБ."/>
        <s v="РЕНЮ Р-Р Д/ЛИНЗ MULTIPLUS 240МЛ. ФЛ. [RENU]"/>
        <s v="АТОПИК КРЕМ Д/ЕЖЕДН. УХОДА Д/ДЕТ. 0+ 100МЛ. ФЛ. [ATOPIC]"/>
        <s v="ЭТОРИАКС 90МГ. №7 ТАБ. П/П/О"/>
        <s v="СПАЗГАН №100 ТАБ."/>
        <s v="ГУТТАСИЛ 7,5МГ/МЛ. 30МЛ. КАПЛИ Д/ПРИЕМА ВНУТРЬ ФЛ."/>
        <s v="ТАНТУМ ВЕРДЕ 0,255МКГ/ДОЗА 30МЛ. 176ДОЗ СПРЕЙ Д/МЕСТ.ПРИМ. ДОЗИР. ФЛ."/>
        <s v="СИЛДЕНАФИЛ-СЗ 100МГ. №10 ТАБ. П/П/О /СЕВЕРНАЯ ЗВЕЗДА/"/>
        <s v="ЛАКТОФИЛЬТРУМ 500МГ. №30 ТАБ."/>
        <s v="ПЕНТОКСИФИЛЛИН-СЗ 400МГ. №20 ТАБ.ПРОЛОНГ. П/О /СЕВЕРНАЯ ЗВЕЗДА/"/>
        <s v="АПИЗАРТРОН 20Г. №1 МАЗЬ Д/НАРУЖ. ПРИМ. ТУБА"/>
        <s v="ФЕНИСТИЛ 0,1% 30Г. ГЕЛЬ Д/НАРУЖ.ПРИМ. ТУБА"/>
        <s v="СТОМАТОФИТ 100МЛ. ЭКСТРАКТ Д/МЕСТ.ПРИМ. ФЛ."/>
        <s v="РЕННИ №24 ТАБ.ЖЕВ. МЯТА Б/САХ."/>
        <s v="ОФЛОМЕЛИД 100Г. МАЗЬ Д/НАРУЖ.ПРИМ. ТУБА /СИНТЕЗ/"/>
        <s v="ФЕСТАЛ №40 ДРАЖЕ"/>
        <s v="ЭСПУМИЗАН 40МГ. №25 КАПС. /БЕРЛИН-ХЕМИ/"/>
        <s v="НЕОТАНИН КРЕМ Д/ДЕТ. И ВЗРОС. 50Г. ТУБА"/>
        <s v="ГРАММИДИН ДЕТСК. 1,5МГ+1МГ. №18 ТАБ. 4+"/>
        <s v="ТОРВАКАРД 20МГ. №30 ТАБ. П/П/О /САНОФИ/САНЕКА/"/>
        <s v="КИЕВГУМА БИНТ МАРТЕНСА 3,5М."/>
        <s v="ЛИНЕКС ФОРТЕ №7 КАПС. /ЛЕК/"/>
        <s v="МОМАТ РИНО 50МКГ/ДОЗА 60ДОЗ НАЗАЛ.СПРЕЙ ФЛ."/>
        <s v="ГЛИЦИН ФОРТЕ 500/580МГ. №60 ТАБ. Д/РАСС. /ЭВАЛАР/"/>
        <s v="БЕТОФТАН 0,5% 5МЛ. ГЛ.КАПЛИ ФЛ./КАП."/>
        <s v="ДОППЕЛЬГЕРЦ АКТИВ ГЛИЦИН+ВИТ.В №30 КАПС."/>
        <s v="ВАЛЬСАКОР 80МГ. №30 ТАБ. П/П/О /KRKA/"/>
        <s v="НАЙЗ АКТИВГЕЛЬ 1% 50Г. №1 ГЕЛЬ Д/НАРУЖ.ПРИМ. ТУБА"/>
        <s v="КО-ДАЛЬНЕВА 5МГ+0,625МГ.+2МГ. №30 ТАБ."/>
        <s v="ПРЕГИНОР 550МГ. №10 КАПС."/>
        <s v="ДЕСИТИН 57Г./50МЛ. КРЕМ ТУБА"/>
        <s v="ПСИЛО-БАЛЬЗАМ 20Г. ГЕЛЬ Д/НАРУЖ.ПРИМ."/>
        <s v="БИКСИТОР 90МГ. №10 ТАБ. П/П/О"/>
        <s v="РОЗУВАСТАТИН-СЗ 20МГ. №30 ТАБ. П/П/О"/>
        <s v="ГРАММИДИН НЕО 3МГ+1МГ. №18 ТАБ. Д/РАСС."/>
        <s v="АМЕЛОТЕКС 1% 50Г. №1 ГЕЛЬ Д/НАРУЖ.ПРИМ. ТУБА"/>
        <s v="РИНОФЛУИМУЦИЛ 10МЛ. СПРЕЙ НАЗАЛ. ФЛ. /ЗАМБОН/"/>
        <s v="ГРАММИДИН НЕО С АНЕСТЕТИКОМ №18 ТАБ. Д/РАСС."/>
        <s v="ОМНИТУС 50МГ. №10 ТАБ. МОДИФ.ВЫСВ. П/П/О"/>
        <s v="АМИНТАКС 35000МЕ+10000МЕ+35000МЕ №10 СУПП. ВАГ."/>
        <s v="ДИМЕКСИД 99% 100МЛ. КОНЦ. Д/Р-РА Д/НАРУЖ.ПРИМ. ФЛ. /ЙОДНЫЕ ТЕХНОЛОГИИ И МАРКЕТИНГ/"/>
        <s v="НУТРИДРИНК СМЕСЬ Д/ЭНТЕР. ПИТАНИЯ КЛУБНИКА 200МЛ."/>
        <s v="НАЙЗ 1% 50Г. №1 ГЕЛЬ Д/НАРУЖ.ПРИМ. ТУБА"/>
        <s v="ПЕНТАЛГИН ЭКСТРА-ГЕЛЬ 5% 50Г. ГЕЛЬ Д/НАРУЖ.ПРИМ. ТУБА"/>
        <s v="КОРЕГА ТАБС БИОФОРМУЛА Д/ЧИСТ. ЗУБ.ПРОТЕЗОВ №30 ТАБ. [COREGA]"/>
        <s v="МИРРОЛЛА СУЛЬСЕН ФОРТЕ ШАМПУНЬ 2% КЕТОКОНАЗОЛ 250МЛ. ФЛ."/>
        <s v="ОРВИРЕМ 2МГ/МЛ. 100МЛ. СИРОП Д/ДЕТЕЙ"/>
        <s v="РИНЗАСИП С ВИТ.С ЛИМОН 5Г. №10 ПОР. Д/Р-РА Д/ПРИЕМА ВНУТРЬ ПАК."/>
        <s v="ПАНТОКРИН 50МЛ. ЭКСТРАКТ Д/ПРИЕМА ВНУТРЬ ФЛ. /ФАРМСТАНДАРТ/"/>
        <s v="МИКОСТОП СПРЕЙ Д/НОГ И Д/ОБУВИ ПРОФИЛАКТИКА ГРИБКА 150МЛ. ФЛ."/>
        <s v="ТЕРБИНАФИН 1% 30Г. КРЕМ Д/НАРУЖ.ПРИМ. ТУБА /ВЕРТЕ/"/>
        <s v="МЕКСИКОР 100МГ. №60 КАПС. /ЭКОФАРМИНВЕСТ/"/>
        <s v="ГЕВИСКОН МЯТА №24 ТАБ.ЖЕВ."/>
        <s v="АЛМАГЕЛЬ А 170МЛ. №1 СУСП. Д/ПРИЕМА ВНУТРЬ ФЛ. /БАЛКАН ФАРМА-ТРОЯН/"/>
        <s v="ЮНИДОКС СОЛЮТАБ 100МГ. №10 ТАБ.ДИСПЕРГ. /АСТЕЛЛАС/"/>
        <s v="АТОРИС 20МГ. №30 ТАБ. П/П/О /KRKA/"/>
        <s v="БИКСИТОР 60МГ. №10 ТАБ. П/П/О"/>
        <s v="ДЕ-НОЛ 120МГ. №32 ТАБ. П/П/О /АСТЕЛЛАС/"/>
        <s v="СТОПАНГИН-ТЕВА 0,2% 30МЛ. СПРЕЙ Д/МЕСТ.ПРИМ. ФЛ."/>
        <s v="ГИПОСАРТ 8МГ. №28 ТАБ."/>
        <s v="СУПРАСТИНЕКС 5МГ. №7 ТАБ. П/П/О"/>
        <s v="ЛЕРКАНИДИПИН-СЗ 10МГ. №30 ТАБ.П/О /СЕВЕРНАЯ ЗВЕЗДА/"/>
        <s v="ЛОЗАРТАН-КАНОН 100МГ. №60 ТАБ. П/О /КАНОНФАРМА/"/>
        <s v="СТРЕПСИЛС ВИТ. С АПЕЛЬСИН №24 ТАБ. Д/РАСС."/>
        <s v="АЙДИ ПРОТЕКТ ПЕЛЕНКИ ОДНОР. ВПИТ. 60Х90 №10 [ID]"/>
        <s v="АТОРВАСТАТИН-СЗ 40МГ. №30 ТАБ. П/П/О /СЕВЕРНАЯ ЗВЕЗДА/"/>
        <s v="ДИКЛОФЕНАК-АКОС 5% 100Г. ГЕЛЬ Д/НАРУЖ.ПРИМ. ТУБА /СИНТЕЗ/"/>
        <s v="ДЮФАЛАК 667МГ/МЛ. 200МЛ. СИРОП ФЛ. +МЕРН.СТАКАН /ЭББОТТ/СОЛВЕЙ/"/>
        <s v="ФЛАМИН 50МГ. №30 ТАБ. /ВИФИТЕХ/"/>
        <s v="БАЛЬЗАМ КАРАВАЕВА ВИТАОН 30МЛ. Д/ПОЛОСТИ РТА ФЛ."/>
        <s v="ТАВЕГИЛ 1МГ. №20 ТАБ."/>
        <s v="БЕТАДИН 10% 120МЛ. №1 Р-Р Д/МЕСТ. И НАРУЖ.ПРИМ. ФЛ. /ЭГИС/"/>
        <s v="СИРДАЛУД 4МГ. №30 ТАБ. /НОВАРТИС/"/>
        <s v="КРЕОН 10000 №20 КАПС. КШ/РАСТВ. ФЛ. /ЭББОТТ/"/>
        <s v="МОТИЛЕГАЗ ФОРТЕ 120МГ. №20 КАПС."/>
        <s v="ТЕНОРИК 100МГ.+25МГ. №28 ТАБ. П/П/О"/>
        <s v="ГЕКСОРАЛ ТАБС КЛАССИК №16 АПЕЛЬСИН ТАБ. Д/РАСС."/>
        <s v="КЛАРИТРОМИЦИН 500МГ. №14 ТАБ. П/П/О /РЕПЛЕКФАРМ/БЕРЕЗОВСКИЙ/"/>
        <s v="КОНКОР 10МГ. №30 ТАБ. П/П/О /МЕРК/"/>
        <s v="НЕОТРАВИСИЛ МЯТА №24 ПАСТИЛКИ [NEOTRAVISIL]"/>
        <s v="ФУРАДОНИН 100МГ. №20 ТАБ. /ОЛАЙНФАРМ/"/>
        <s v="АЛЛЕРВЭЙ 5МГ. №10 ТАБ. П/О"/>
        <s v="АСЕПТА ПАРОДОНТАЛ ЗУБ.ПАСТА АКТИВ ПРОФИЛ. 75МЛ."/>
        <s v="ЦИНК+ ВИТ.С 270МГ. №50 ТАБ. /ЭВАЛАР/"/>
        <s v="ЛАРИПРОНТ №20 ТАБ. Д/РАСС."/>
        <s v="АТОРВАСТАТИН-СЗ 10МГ. №60 ТАБ. П/П/О /СЕВЕРНАЯ ЗВЕЗДА/"/>
        <s v="МАКСИКОЛД РИНО МАЛИНА 15Г. №10 ПОР. Д/Р-РА Д/ПРИЕМА ВНУТРЬ ПАК."/>
        <s v="ОПТИ ФРИ КАПЛИ Д/ГЛАЗ УВЛАЖН. 15МЛ. [OPTI-FREE]"/>
        <s v="РЕГЕЦИН 15Г. ГЕЛЬ П/УГРЕВОЙ СЫПИ"/>
        <s v="КАРДИОМАГНИЛ 75МГ.+15,2МГ. №100 ТАБ."/>
        <s v="НУРОФЕН ЭКСПРЕСС 200МГ. №16 КАПС. /РЕКИТТ БЕНКИЗЕР/"/>
        <s v="РУТАЦИД 500МГ. №20 ТАБ.ЖЕВ. /KRKA/"/>
        <s v="СЛАБИЛЕН 5МГ. №20 ТАБ. П/П/О /ВЕРОФАРМ/"/>
        <s v="КСИМЕЛИН ЭКСТРА 84МКГ/ДОЗА+70МКГ/ДОЗА 10МЛ. №1 НАЗАЛ.СПРЕЙ ДОЗИР. ФЛ."/>
        <s v="БЕТАЛОК ЗОК 50МГ. №30 ТАБ.ПРОЛОНГ. П/О /АСТРА ЗЕНЕКА/"/>
        <s v="СТРЕПСИЛС МЕНТОЛ+ЭВКАЛИПТ №24 ТАБ. Д/РАСС."/>
        <s v="ПИНОСОЛ 10МЛ. НАЗАЛ.КАПЛИ ФЛ./КАП."/>
        <s v="О.Б. ТАМПОНЫ ПРОКОМФОРТ МИНИ №16 [OB]"/>
        <s v="СИЛДЕНАФИЛ-СЗ 25МГ. №20 ТАБ. П/П/О /СЕВЕРНАЯ ЗВЕЗДА/"/>
        <s v="ЗОЛОТОЙ ШЕЛК ШАМПУНЬ-УКРЕП. КОРНЕЙ П/ВЫПАД. 400МЛ."/>
        <s v="РЕНГАЛИН №20 ТАБ. Д/РАСС."/>
        <s v="КАГОЦЕЛ 12МГ. №10 ТАБ. /НИАРМЕДИК ПЛЮС/"/>
        <s v="НАЗИВИН СЕНСИТИВ 22,5МКГ/ДОЗА 10МЛ. №1 6+ НАЗАЛ.СПРЕЙ ФЛ."/>
        <s v="РОКС ЗУБ.ЩЕТКА МЕДИКАЛ ЭКСТРА МЯГКАЯ [ROCS]"/>
        <s v="АМОКСИКЛАВ 250МГ.+62,5МГ/5МЛ. 25Г. 100МЛ. ПОР. Д/СУСП. Д/ПРИЕМА ВНУТРЬ ФЛ. +ПИПЕТ.ДОЗИР. /ЛЕК/"/>
        <s v="ТОРАСЕМИД-СЗ 5МГ. №60 ТАБ. /СЕВЕРНАЯ ЗВЕЗДА/"/>
        <s v="ДИКЛОФЕНАК-АКОС 5% 50Г. ГЕЛЬ Д/НАРУЖ.ПРИМ. ТУБА /СИНТЕЗ/"/>
        <s v="КЕТОПРОФЕН-АКОС 5% 50Г. ГЕЛЬ Д/НАРУЖ.ПРИМ. ТУБА /СИНТЕЗ/"/>
        <s v="ПЕРИНДОПРИЛ-СЗ 8МГ. №30 ТАБ. /СЕВЕРНАЯ ЗВЕЗДА/"/>
        <s v="АТОРВАСТАТИН-СЗ 20МГ. №30 ТАБ. П/П/О /СЕВЕРНАЯ ЗВЕЗДА/"/>
        <s v="ВИТАМИН Д3 ХОЛЕКАЛЬЦИФЕРОЛ 2000МЕ 570МГ. №30 КАПС. /РЕАЛКАПС/"/>
        <s v="ГАСТАЛ №12 ТАБ. Д/РАСС."/>
        <s v="НЕМОЗОЛ 400МГ. №1 ТАБ. П/П/О"/>
        <s v="ГЕКСОРАЛ ТАБС КЛАССИК №16 ЛИМОН ТАБ. Д/РАСС."/>
        <s v="ДИАКАРБ 250МГ. №30 ТАБ. /АКРИХИН/"/>
        <s v="ЭМОКСИ-ОПТИК 10МГ/МЛ. 5МЛ. №1 ГЛ.КАПЛИ /СИНТЕЗ/"/>
        <s v="МЕЛОКСИКАМ-ТЕВА 15МГ. №10 ТАБ."/>
        <s v="ЗИННАТ 250МГ. №10 ТАБ. П/П/О /ГЛАКСО/"/>
        <s v="ПРОТАРГОЛ-ЛОР 200МГ. №1 ТАБ. Д/Р-РА Д/МЕСТ.ПРИМ. ФЛ."/>
        <s v="КОЛДАКТ ФЛЮ ПЛЮС №10 КАПС.ПРОЛОНГ"/>
        <s v="ЦЕТРИН 10МГ. №30 ТАБ. П/П/О /Д-Р РЕДДИ/"/>
        <s v="НЕКСИУМ 20МГ. №28 ТАБ. П/О /АСТРА ЗЕНЕКА/"/>
        <s v="НО-ШПА 40МГ. №64 ТАБ. ФЛ. ДОЗАТОР /ХИНОИН/"/>
        <s v="ГЕКСОРАЛ ТАБС №20 ТАБ. Д/РАСС."/>
        <s v="КЕТОНАЛ 50МГ/МЛ. 2МЛ. №10 Р-Р Д/В/В,В/М АМП. /ЛЕК/"/>
        <s v="КОМПЛИВИТ №60 ТАБ. П/О"/>
        <s v="КОТЕКС ПРОКЛАДКИ УЛЬТРА СУПЕР СОФТ №8 [KOTEX]"/>
        <s v="ТЕНОРИК 50МГ.+12,5МГ. №28 ТАБ. П/П/О"/>
        <s v="ИМОДИУМ ЭКСПРЕСС 2МГ. №10 ТАБ.ЛИОФ. /ЯНССЕН/"/>
        <s v="КОДЕЛАК НЕО 1,5МГ/МЛ. 100МЛ. №1 СИРОП ФЛ."/>
        <s v="НАЙЗ 100МГ. №20 ТАБ."/>
        <s v="МОЕ СОЛНЫШКО САЛФЕТКИ ВЛАЖН. ПАНТЕНОЛ №70"/>
        <s v="МОЕ СОЛНЫШКО ГЕЛЬ-КРЕМ Д/КУПАНИЯ АБРИКОСОВЫЙ ОСТРОВ 400МЛ."/>
        <s v="ЛЕСПЕФРИЛ 100МЛ. Р-Р Д/ПРИЕМА ВНУТРЬ ФЛ. /ВИФИТЕХ/"/>
        <s v="Д.ТАЙСС АНГИ СЕПТ ЛИМОН №24 ТАБ. Д/РАСС."/>
        <s v="ГЛИЦИН ФОРТЕ 300/600МГ. №60 ТАБ. Д/РАСС. /ЭВАЛАР/"/>
        <s v="ОЛВЭЙЗ ПРОКЛАДКИ УЛЬТРА НОРМАЛ №10 [ALWAYS]"/>
        <s v="СПЛАТ ЗУБ.ПАСТА БИОКАЛЬЦИЙ 100МЛ. [SPLAT]"/>
        <s v="ЛИПРИМАР 10МГ. №30 ТАБ. П/П/О /ГЕДЕКЕ/ПФАЙЗЕР/"/>
        <s v="Д.ТАЙСС АНГИ СЕПТ МЕД+ЛИПА №24 ТАБ. Д/РАСС."/>
        <s v="ЙОДОМАРИН 200 №100 ТАБ. /БЕРЛИН ХЕМИ/"/>
        <s v="ДИКЛОФЕНАК 1% 40Г. ГЕЛЬ Д/НАРУЖ.ПРИМ. ТУБА /ХЕМОФАРМ/"/>
        <s v="ЦИТРОДЖЕКС(ВИТАМИН С 900) 3,8Г. №20 ТАБ.БЫСТРОРАСТВ."/>
        <s v="ВАЛЕМИДИН 25МЛ. КАПЛИ Д/ПРИЕМА ВНУТРЬ ФЛ."/>
        <s v="ИНГАЛИПТ-ВИАЛАЙН ГОТОВОЕ ПОЛОСКАНИЕ 200МЛ. Р-Р ФЛ."/>
        <s v="НЕО-АНГИН №24 ТАБ. Д/РАСС. САХ."/>
        <s v="АДЖИСЕПТ МЕНТОЛ+ЭВКАЛИПТ №24 ТАБ. Д/РАСС."/>
        <s v="КОМПЛИВИТ КАЛЬЦИЙ Д3 500МГ.+200МЕ АПЕЛЬСИН №30 ТАБ.ЖЕВ."/>
        <s v="НАЗИВИН 0,05% 10МЛ. №1 6+ НАЗАЛ.КАПЛИ ФЛ./КАП."/>
        <s v="ХАРТМАНН ПЕХА-ХАФТ БИНТ САМОФИКС. КОГЕЗИВ. 4МХ6СМ. БЕЛ. /АРТ.9324841/9324842/ [HARTMANN PEHA-HAFT]"/>
        <s v="АДЖИСЕПТ МЕД+ЛИМОН №24 ТАБ. Д/РАСС."/>
        <s v="РАСТОРОПША №100 ТАБ."/>
        <s v="ЛЕСНОЙ БАЛЬЗАМ ОПОЛАСК. Д/РТА П/КРОВОТОЧИВОСТИ ДЕСЕН КОРА ДУБА+ПИХТА 250МЛ."/>
        <s v="КОНКОР 5МГ. №30 ТАБ. П/П/О /МЕРК/"/>
        <s v="СЛАБИКАП 7,5МГ/МЛ. 10МЛ. КАПЛИ Д/ПРИЕМА ВНУТРЬ ФЛ./КАП. /СИНТЕЗ/"/>
        <s v="ВИФЕРОН 40000МЕ 12Г. МАЗЬ Д/МЕСТ. И НАРУЖ.ПРИМ. ТУБА /ФЕРОН/"/>
        <s v="ФЛОРЕСАН РЕПЕЙНИК МАСКА-КОМПРЕСС ГОРЯЧАЯ 450Г. Ф-86 [FLORESAN]"/>
        <s v="ДОКТОР МОМ №20 ПАСТИЛКИ АПЕЛЬСИН"/>
        <s v="НОРМОДИПИН 5МГ. №30 ТАБ. /ГЕДЕОН РИХТЕР/"/>
        <s v="СИЛДЕНАФИЛ-СЗ 50МГ. №4 ТАБ. П/П/О /СЕВЕРНАЯ ЗВЕЗДА/"/>
        <s v="АКВАДЕТРИМ 15000МЕ/МЛ. 10МЛ. КАПЛИ Д/ПРИЕМА ВНУТРЬ ФЛ./КАП. (ВИТАМИН Д3 ВОДН.Р-Р) /МЕДАНА/"/>
        <s v="МОЕ СОЛНЫШКО ГЕЛЬ Д/ПОДМЫВ. МЛАДЕНЦЕВ ГИПОАЛЛЕРГ. 400МЛ."/>
        <s v="ХАРТМАНН ПЕХА-ХАФТ БИНТ САМОФИКС. КОГЕЗИВ. 4МХ4СМ. БЕЛ. /АРТ.932483/ [HARTMANN PEHA-HAFT]"/>
        <s v="СПАЗГАН №20 ТАБ."/>
        <s v="ДИАДЕРМ КРЕМ-ТАЛЬК Д/ТЕЛА П/ОПРЕЛОСТЕЙ 75МЛ. /АВАНТА/"/>
        <s v="БУТАДИОН 5% 20Г. МАЗЬ Д/НАРУЖ.ПРИМ. ТУБА /ОЗОН/"/>
        <s v="СМЕКТА ВАНИЛЬ 3Г. №20 ПОР. Д/СУСП. Д/ПРИЕМА ВНУТРЬ ПАК. /ИПСЕН/"/>
        <s v="ДЕКСАМЕТАЗОН 0,1% 10МЛ. ГЛ.КАПЛИ ФЛ. /РОМФАРМ/"/>
        <s v="L-ТИРОКСИН 150МКГ. №100 ТАБ. /БЕРЛИН ХЕМИ/"/>
        <s v="ЗВЕЗДОЧКА ФЛЮ ЛИМОН 15Г. №5 ПОР. Д/Р-РА Д/ПРИЕМА ВНУТРЬ ПАК."/>
        <s v="ТИРОЗОЛ 5МГ. №50 ТАБ. П/П/О /МЕРК/"/>
        <s v="ФРЕНЧИ УМНАЯ ЭМАЛЬ ВОССТ. ПОВР. НОГТЕЙ 15/11МЛ. /АРТ.12069/"/>
        <s v="СИЛИМАР 100МГ. №30 ТАБ."/>
        <s v="БРОМГЕКСИН 8 БЕРЛИН-ХЕМИ 8МГ. №25 ТАБ. П/О /БЕРЛИН ХЕМИ/"/>
        <s v="ДИФЛЮКАН 150МГ. №1 КАПС. /ПФАЙЗЕР/"/>
        <s v="АМЛОДИПИН 10МГ. №60 ТАБ. /ВЕРТЕКС/"/>
        <s v="НУРОФЕН 200МГ. №20 ТАБ. П/О /РЕКИТТ БЕНКИЗЕР/"/>
        <s v="АНТИ-ЭЙДЖ ВИТАМИН Д3 500МЕ 10МЛ. №1 МАСЛ. Р-Р Д/ПРИЕМА ВНУТРЬ ФЛ./КАП. /ЭВАЛАР/ [ANTI-AGE]"/>
        <s v="МИРРОЛЛА ШАМПУНЬ ЛУКОВЫЙ + КРАСНЫЙ ПЕРЕЦ 150МЛ. [MIRROLLA]"/>
        <s v="МИЛУРИТ 100МГ. №50 ТАБ. /ЭГИС/"/>
        <s v="ЦЕТРИН 10МГ. №20 ТАБ. П/П/О /Д-Р РЕДДИ/"/>
        <s v="АУГМЕНТИН 200МГ.+28,5МГ/5МЛ. 7,7Г. 70МЛ. ПОР. Д/СУСП. Д/ПРИЕМА ВНУТРЬ ФЛ. /ГЛАКСО/"/>
        <s v="ТИЗАЛУД 2МГ. №30 ТАБ. /ВЕРОФАРМ/"/>
        <s v="ФУРАЗОЛИДОН РЕНЕВАЛ 50МГ. №20 ТАБ. И/У /ОБНОВЛЕНИЕ/"/>
        <s v="АКРИДЕРМ 0,05% 30Г. №1 КРЕМ Д/НАРУЖ.ПРИМ. ТУБА /АКРИХИН/"/>
        <s v="ЭВЕРС-ЛАЙФ МАРЛЯ 5М. №1 [EVERS LIFE]"/>
        <s v="СОТАГЕКСАЛ 160МГ. №20 ТАБ. /ГЕКСАЛ АГ/"/>
        <s v="ТЕМПАЛГИН №20 ТАБ. П/П/О"/>
        <s v="АНГЕЛ ПОВЯЗКА ПЛАСТЫРНОГО ТИПА БАКТЕР. 9Х10СМ. №10 [ANGEL]"/>
        <s v="ЛАПЧАТКА КОРНЕВИЩА 2,5Г. №20 ПАК. /КРАСНОГОРСК/"/>
        <s v="ВЕНТОЛИН 100МКГ/ДОЗА 200ДОЗ №1 АЭРОЗОЛЬ Д/ИНГ. /ГЛАКСО/"/>
        <s v="НУРОФЕН 12+ 200МГ. №12 ТАБ. П/О /РЕКИТТ БЕНКИЗЕР/"/>
        <s v="L-ТИРОКСИН 100МКГ. №100 ТАБ. /БЕРЛИН ХЕМИ/"/>
        <s v="КАРДИАСК МАГНИЙ 75МГ.+15,2МГ. №100 ТАБ. П/П/О /КАНОНФАРМА/"/>
        <s v="ДЕКСАМЕТАЗОН РЕНЕВАЛ 0,1% 10МЛ. №1 ГЛ.КАПЛИ ТЮБ./КАП. /RENEWAL/"/>
        <s v="САНОРИН 0,1% 10МЛ. №1 С МАСЛОМ ЭВКАЛИПТА НАЗАЛ.КАПЛИ ФЛ."/>
        <s v="ФУРАЗОЛИДОН АВЕКСИМА 50МГ. №20 ТАБ. /ИРБИТСКИЙ/"/>
        <s v="АМЛОДИПИН-ТЕВА 5МГ. №30 ТАБ. /ТЕВА/"/>
        <s v="АЛЬФА ТОКОФЕРОЛА АЦЕТАТ 200МГ. №30 КАПС. (ВИТАМИН Е) /МИНСКИНТЕРКАПС/"/>
        <s v="АКУЛИЙ ЖИР ГЕЛЬ-БАЛЬЗАМ Д/ТЕЛА ОКОПНИК+САБЕЛЬНИК 125МЛ."/>
        <s v="КАЛЕНДУЛА №10 СУПП.РЕКТ. ГОМЕОПАТ. /МОСФАРМА/"/>
        <s v="ПОХУДЕЙ ЧАЙ Д/ЗДОРОВЬЯ ЛЮДЕЙ КЛУБНИКА 2Г. №30 ПАК."/>
        <s v="ФЛЮКОСТАТ 150МГ. №1 КАПС. /ОТИСИФАРМ/"/>
        <s v="ЗУЛА ЛЕДЕНЦЫ МУЛЬТИВИТАМИН +ВИТ.С 60Г. Б/САХ. ПАК. [SULA]"/>
        <s v="ЗУЛА ЛЕДЕНЦЫ ЭВКАЛИПТ +ВИТ.С 60Г. Б/САХ. ПАК. [SULA]"/>
        <s v="ВИТАМИР ЯНТАРНАЯ КИСЛОТА ФОРТЕ 620МГ. №30 ТАБ. /КВАДРАТ-С/"/>
        <s v="БОРЖОМИ ВОДА МИНЕР. ГАЗ. 0,5Л. СТЕКЛО"/>
        <s v="ГЕПАРИНОВАЯ 25Г. МАЗЬ Д/НАРУЖ.ПРИМ. ТУБА /НИЖФАРМ/"/>
        <s v="ГИДРОКОРТИЗОН 0,5% 3Г. ГЛ. МАЗЬ ТУБА /ВАЛЕАНТ/ ЕЛЬФА/"/>
        <s v="КЕТОРОЛ 30МГ/МЛ. 1МЛ. №10 Р-Р Д/ИН. АМП. /Д-Р РЕДДИС/"/>
        <s v="БРУСНИКИ ЛИСТ 1,5Г. №20 ПАК. /КРАСНОГОРСК/"/>
        <s v="НАТУРА МЕДИКА ГЕЛЬ-БАЛЬЗАМ КОНСКИЙ КАШТАН+ТРОКСЕРУТИН Д/НОГ 85МЛ. [NATURA MEDICA]"/>
        <s v="АЦЦ-ЛОНГ 600МГ. №10 ШИП.ТАБ. /САНДОЗ/"/>
        <s v="ИБУКЛИН 100МГ.+125МГ. №20 ТАБ. Д/ДЕТЕЙ (ЮНИОР)"/>
        <s v="ПРОПОСОЛ 25Г. СПРЕЙ Д/МЕСТ.ПРИМ. БАЛЛОН /АЛТАЙВИТАМИНЫ/"/>
        <s v="ЭГИЛОК 50МГ. №60 ТАБ. /ЭГИС/"/>
        <s v="КАРДИКЕТ 20МГ. №50 ТАБ.ПРОЛОНГ. /ЮСБ ФАРМА/ЭЙСИКА/"/>
        <s v="АКРИДЕРМ 0,05% 30Г. №1 МАЗЬ Д/НАРУЖ.ПРИМ. ТУБА /АКРИХИН/"/>
        <s v="ЛИЗИНОПРИЛ 10МГ. №30 ТАБ. /ВЕРТЕКС/"/>
        <s v="ТОБРОПТ 0,3% 5МЛ. №1 ГЛ.КАПЛИ ФЛ./КАП. /РОМФАРМ/"/>
        <s v="ШИПОВНИКА ПЛОДЫ 2Г. №20 ПАК. /КРАСНОГОРСК/"/>
        <s v="БИОИНВЕНТИКА СИРОП МАЛИНА НА ФРУКТОЗЕ 250МЛ. №1 ФЛ."/>
        <s v="КЛОТРИМАЗОЛ 1% 20Г. КРЕМ Д/НАРУЖ.ПРИМ. ТУБА /ХИПЕРИОН/РУМЫНИЯ/"/>
        <s v="911-ГЕЛЬ-БАЛЬЗАМ Д/СУСТАВОВ РАЗОГР. ОКОПНИК+МУРАВ.К-ТА 100МЛ."/>
        <s v="АТАРАКС 25МГ. №25 ТАБ. П/П/О /ЮСБ ФАРМА/"/>
        <s v="КАЛЬЦИЯ ГЛЮКОНАТ 10% 5МЛ. №10 Р-Р Д/В/В,В/М ВВЕД. АМП. /АТОЛЛ/ОЗОН/"/>
        <s v="СТАТИН 1Г. №5 ПОР. ПАК. (Д/ОСТАНОВКИ КРОВОТЕЧЕНИЙ)"/>
        <s v="ТОРГ ЛАЙНС БАНКИ МАССАЖ А/ЦЕЛЛЮЛИТ. №1 ТЮЛЬПАН"/>
        <s v="ЦЕРУКАЛ 10МГ. №50 ТАБ. /АВД ФАРМА/ТЕВА/"/>
        <s v="ФУРАГИН 50МГ. №30 ТАБ. /СЕВЕРНАЯ ЗВЕЗДА/"/>
        <s v="911-ВЕНОЛГОН ГЕЛЬ Д/НОГ ПРИ ТЯЖЕСТИ,БОЛИ,ОТЕКАХ 100МЛ. ТУБА"/>
        <s v="ИНДАПАМИД МВ ШТАДА 1,5МГ. №30 ТАБ.ПРОЛОНГ. П/О /НИЖФАРМ/"/>
        <s v="САНИТЕЛЬ СПРЕЙ Д/РУК А/СЕПТИЧ. ВИТ.Е+АЛОЭ 20МЛ. [SANITELLE]"/>
        <s v="АМЛОДИПИН 5МГ. №60 ТАБ. /ВЕРТЕКС/"/>
        <s v="АНТИПОЛИЦАЙ №4 КАРАМЕЛЬ ЛЕДЕНЦОВАЯ Б/САХ."/>
        <s v="ИНДОМЕТАЦИН-АЛЬТФАРМ 100МГ. №10 СУПП. РЕКТ."/>
        <s v="ДРАЖЕ ВЕЧЕРНЕЕ №100 ВАЛЕРИАНА+ХМЕЛЬ+МЯТА /ПАРАФАРМ/"/>
        <s v="КЛИРВИН КРЕМ (ПЯТНА,ШРАМЫ) 25Г."/>
        <s v="НУРОФЕН ФОРТЕ 400МГ. №12 ТАБ. П/О /РЕКИТТ БЕНКИЗЕР/"/>
        <s v="ЛЕККЕР-ЙОДА 5% 5МЛ. СПИРТ. Р-Р КАРАНДАШ"/>
        <s v="АНАЛЬГИН 500МГ/МЛ. 2МЛ. №10 Р-Р Д/В/В,В/М АМП. /НОВОСИБХИМФАРМ/"/>
        <s v="ИНДАП 2,5МГ. №30 КАПС. /ПРО.МЕД.ЦС/"/>
        <s v="БИОЛИТ БАДЯГА ФОРТЕ ГЕЛЬ 75МЛ."/>
        <s v="ЛЕДЕНЦЫ СИЛА ЧЕТЫРЕХ ТРАВ ЛАКРИЧНЫЕ 50Г."/>
        <s v="ФЛУКОНАЗОЛ 150МГ. №4 КАПС. /ВЕРТЕКС/"/>
        <s v="ТАГИСТА 16МГ. №30 ТАБ. /НИЖФАРМ/"/>
        <s v="911-ГЕЛЬ-БАЛЬЗАМ Д/НОГ КОНСКИЙ КАШТАН 100МЛ. ТУБА"/>
        <s v="ЛЕККЕР-БЗ БРИЛЛИАНТОВЫЙ ЗЕЛЕНЫЙ 1% 5МЛ. СПИРТ. Р-Р ФЛОМАСТЕР"/>
        <s v="МОЕ СОЛНЫШКО ПЕНКА Д/КУПАНИЯ БАЮ-БАЮШКИ ЛАВАНДА+РОЗ.МАСЛО 200МЛ."/>
        <s v="ЛОРИСТА 25МГ. №30 ТАБ. П/П/О /KRKA/"/>
        <s v="ЦЕТИРИЗИН 10МГ. №20 ТАБ. П/П/О /ОЗОН/"/>
        <s v="АМОКСИЦИЛЛИН 250МГ/5МЛ. 40Г. №1 ГРАН. Д/СУСП. Д/ПРИЕМА ВНУТРЬ ФЛ. /ХЕМОФАРМ/"/>
        <s v="ВИНПОЦЕТИН ФОРТЕ КАНОН 10МГ. №30 ТАБ. /КАНОНФАРМА/"/>
        <s v="ГУБКА ГЕМОСТАТ. КОЛЛАГЕН. С СЕРЕБРОМ 50Х50Х7ММ №10 /ЗЕЛЕНАЯ ДУБРАВА/"/>
        <s v="ЭВО КРЕМ Д/НОГ МОЧЕВИНА 50МЛ. ТУБА [EVO] /АВАНТА/"/>
        <s v="АСКОРБИНОВАЯ К-ТА 2,5Г. №10 ПОР. /МЕЛИГЕН/ (БАД)"/>
        <s v="КОРВАЛОЛ ФИТО 50МЛ. КАПЛИ Д/ПРИЕМА ВНУТРЬ ФЛ. И/У"/>
        <s v="РИМАНТАДИН АВЕКСИМА 50МГ. №20 ТАБ. (РЕМАНТАДИН)"/>
        <s v="РИНОРУС 0,1% 20МЛ. НАЗАЛ.СПРЕЙ ФЛ. +НАСАДКА РАСПЫЛИТЕЛЬ /СИНТЕЗ/"/>
        <s v="ЛИЗИНОПРИЛ 5МГ. №30 ТАБ. /ВЕРТЕКС/"/>
        <s v="МУКАЛТИН РЕНЕВАЛ 50МГ. №20 ТАБ. /ОБНОВЛЕНИЕ/"/>
        <s v="ТИЗИН КЛАССИК 0,1% 10МЛ. НАЗАЛ.СПРЕЙ ФЛ. /ДЖОНСОН/"/>
        <s v="ТЕТРАЦИКЛИН-ЛЕКТ 100МГ. №20 ТАБ. П/О /ТЮМЕНСКИЙ/"/>
        <s v="АЛЬФАПЛАСТИК ТРУБКА РЕКТАЛЬНАЯ ГАЗООТВОДНАЯ Д/НОВОРОЖД. №16"/>
        <s v="БИСЕПТОЛ 480МГ. №28 ТАБ. /АДАМЕД ФАРМА/"/>
        <s v="МОЕ СОЛНЫШКО МЫЛО ЖИДКОЕ МАСЛО АВОКАДО 300МЛ. ДОЗАТОР"/>
        <s v="ЭВИТА ВАТНЫЕ ДИСКИ №100 [E'VITA]"/>
        <s v="ИБУПРОФЕН-ВЕРТЕ 5% 50Г. ГЕЛЬ Д/НАРУЖ.ПРИМ. ТУБА /ВЕРТЕКС/"/>
        <s v="УКРОПА ПАХУЧЕГО ПЛОДЫ 50Г. /КРАСНОГОРСК/"/>
        <s v="БИНТЛИ-Т БИНТ ЛИПКИЙ ПРОНИЦАЕМЫЙ 10СМХ2М."/>
        <s v="ЛОРАТАДИН 10МГ. №30 ТАБ. /ОЗОН/"/>
        <s v="МЕТФОРМИН-ТЕВА 500МГ. №60 ТАБ. П/П/О /ТЕВА/"/>
        <s v="ЛОРАТАДИН 10МГ. №30 ТАБ. /ВЕРТЕКС/"/>
        <s v="НАТУРИНО ЛЕДЕНЦЫ АПЕЛЬСИН+ВИТАМИНЫ 33,5Г./36,4Г. №8"/>
        <s v="ФИТОКОСМЕТИК КРЕМ-ХНА ИНДИЙСКАЯ НАТУР. 3.3 ГОРЬК.ШОКОЛАД 50МЛ."/>
        <s v="АКВА ЭЙР МОРЕ 50МЛ. НАЗАЛ.СПРЕЙ ФЛ."/>
        <s v="ЭРИНИТ 10МГ. №50 ТАБ. /ФАРМАПОЛ-ВОЛГА/"/>
        <s v="МИРРОЛЛА РЕПЕЙНОЕ МАСЛО 100МЛ. ВИТ.А+ВИТ.Е [MIRROLLA]"/>
        <s v="ОМЕПРАЗОЛ-ТЕВА 20МГ. №28 КАПС. КШ/РАСТВ. /ТЕВА/"/>
        <s v="СУСТАМЕД ЖАБИЙ КАМЕНЬ БИО-БАЛЬЗАМ АКТИВИР. Д/ТЕЛА МАСЛО РЫЖИКА 50МЛ. ТУБА"/>
        <s v="ТРИХОПОЛ 250МГ. №20 ТАБ. /ПОЛЬФАРМА/"/>
        <s v="ДЕКАРИС 150МГ. №1 ТАБ. /ГЕДЕОН РИХТЕР/"/>
        <s v="НИМЕСУЛИД 100МГ. №20 ТАБ. /РЕПЛЕКФАРМ/БЕРЕЗОВСКИЙ/"/>
        <s v="ЭРИТРОМИЦИНОВАЯ 10000ЕД/Г. 10Г. ГЛ. МАЗЬ ТУБА /ТАТХИМФАРМ/"/>
        <s v="МАСЛО ОБЛЕПИХОВОЕ ГОРНОАЛТАЙСКОЕ 100МЛ. ФЛ. И/У /АЛТАЙСКИЙ БУКЕТ/"/>
        <s v="ЛЕЙКОПЛАСТЫРЬ 4Х500 ТКАН.ОСНОВА КАТУШКА КАРТОН /ВЕРОФАРМ/"/>
        <s v="ОМЕПРАЗОЛ-ТЕВА 10МГ. №28 КАПС. КШ/РАСТВ. /ТЕВА/"/>
        <s v="РОТОКАН 50МЛ. ЭКСТРАКТ Д/ПРИЕМА ВНУТРЬ И МЕСТ.ПРИМ. ФЛ. /ВИФИТЕХ/"/>
        <s v="ГИОКСИЗОН 10Г. 10МГ.+30МГ/Г. МАЗЬ Д/МЕСТ. И НАРУЖ.ПРИМ. ТУБА /МУРОМСКИЙ/"/>
        <s v="НАТУРИНО ЛЕДЕНЦЫ КЛУБНИКА+ВИТАМИНЫ 33,5Г./36,4Г. №8"/>
        <s v="ПЛАТИФИЛЛИНА Г/Т 2МГ/МЛ. 1МЛ. №10 Р-Р Д/П/К АМП. /ДАЛЬХИМФАРМ/"/>
        <s v="ЗВЕЗДОЧКА НОЗ 0,1% 15МЛ. НАЗАЛ.СПРЕЙ ФЛ. +РАСП."/>
        <s v="ДЕКАРИС 50МГ. №2 ТАБ. /ГЕДЕОН РИХТЕР/"/>
        <s v="АЛЛОХОЛ №50 ТАБ. П/О /ФАРМСТАНДАРТ/"/>
        <s v="БАДЯГА 5Г. ПОР. Д/СУСП. Д/НАРУЖ.ПРИМ. ПАК. /ЗДОРОВЬЕ/"/>
        <s v="ЕССЕНТУКИ ВОДА МИНЕР. №17 0,45Л. ГАЗ. СТЕКЛО"/>
        <s v="ПАНКРЕАТИН 25ЕД №60 ТАБ.КШ/РАСТВ. П/О /АВЕКСИМА/"/>
        <s v="ФУРАЦИЛИН 20МГ. №20 ТАБ. Д/Р-РА Д/МЕСТ. И НАРУЖ.ПРИМ. /АВЕКСИМА/"/>
        <s v="БИНТ СТЕР. 10МХ16СМ И/У"/>
        <s v="КЕТОРОЛАК 10МГ. №28 ТАБ. П/П/О /ОБНОВЛЕНИЕ/"/>
        <s v="СУСТАМЕД ЖАБИЙ КАМЕНЬ ГЕЛЬ Д/НОГ Д/ВЕН ГЛЮКОЗАМИН+ТРОКСЕРУТИН 30Г."/>
        <s v="ВАЛИДОЛ 50МГ. №40 КАПС. ПОДЪЯЗЫЧ. /ЛЮМИ/"/>
        <s v="ПИРАЦЕТАМ 200МГ. №60 ТАБ. П/П/О /ОБНОВЛЕНИЕ/"/>
        <s v="АМОСИН 500МГ. №10 ТАБ. /ПОЛЛО/"/>
        <s v="ФУРАДОНИН 50МГ. №20 ТАБ. И/У /БОРИСОВСКИЙ/"/>
        <s v="NF ВАТА ХИРУРГ. СТЕР. 100Г. /НЬЮФАРМ/"/>
        <s v="ЭНАЛАПРИЛ 10МГ. №20 ТАБ. /ХЕМОФАРМ/"/>
        <s v="АУРА ВАТНЫЕ ДИСКИ №80 [AURA]"/>
        <s v="ПРОПОЛИСА НАСТОЙКА 25МЛ. ФЛ. И/У /ВИФИТЕХ/"/>
        <s v="САЛФЕТКИ СТЕР. 10X10СМ №10"/>
        <s v="ВЕРАПАМИЛ 80МГ. №30 ТАБ. П/О /АЛКАЛОИД/"/>
        <s v="ОКСИТОЦИН 5МЕ/МЛ. 1МЛ. №5 Р-Р Д/ИН. АМП. /ГЕДЕОН РИХТЕР/"/>
        <s v="НАРЗАН ВОДА МИНЕР. 1Л. ГАЗ. ПЭТ."/>
        <s v="АМИТРИПТИЛИН 25МГ. №50 ТАБ. /ОЗОН/"/>
        <s v="ВИТАЛОР ЛЕДЕНЦ.КАРАМЕЛЬ АНИС+ВИТ.С 60Г."/>
        <s v="КСИЛЕН 0,1% 20МЛ. №1 НАЗАЛ.КАПЛИ ФЛ./КАП. /ВЕРОФАРМ/"/>
        <s v="МИРРОЛЛА РЫБИЙ ЖИР ВИТАМИНЫ А+Д+Е 370МГ. №100 КАПС."/>
        <s v="ПОЛИНАДИМ 0,1%+0,025% 10МЛ. ГЛ.КАПЛИ ФЛ. /СИНТЕЗ/"/>
        <s v="ЛОПЕДИУМ 2МГ. №10 ТАБ. /САЛЮТАС/"/>
        <s v="БИОКОНТУР РЫБИЙ ЖИР 330МГ. №100 КАПС. (РЫБНЫЙ)"/>
        <s v="ДИКЛОФЕНАК 100МГ. №10 СУПП. РЕКТ. /ДАЛЬХИМФАРМ/"/>
        <s v="ЛОРИСТА 12,5МГ. №30 ТАБ. П/П/О /KRKA/"/>
        <s v="МОЕ СОЛНЫШКО БАЛЬЗАМ Д/ГУБ ВАНИЛЬ 2,8Г. СТИК"/>
        <s v="РАСТОРОПШИ ШРОТ 100Г. ПОР."/>
        <s v="ДИГОКСИН 250МКГ. №50 ТАБ. /ГЕДЕОН РИХТЕР/"/>
        <s v="ПРИСЫПКА ДЕТСКАЯ ЧЕРЕДА 40Г. /САМАРАМЕДПРОМ/"/>
        <s v="МЕТОПРОЛОЛ-ТЕВА 100МГ. №30 ТАБ. /ТЕВА/"/>
        <s v="ЦИПРОЛЕТ 3МГ/МЛ. 5МЛ. №1 ГЛ.КАПЛИ ФЛ./КАП. /Д-Р РЕДДИ/"/>
        <s v="АЕВИТ 200МГ. №20 КАПС. (БАД) /МЕЛИГЕН/"/>
        <s v="СУЛЬФАЦИЛ-НАТРИЯ АЛЬБУЦИД 20% 10МЛ. №1 ГЛ.КАПЛИ ФЛ./КАП. /ЛЕККО/"/>
        <s v="ТРОКСЕРУТИН 2% 40Г. ГЕЛЬ Д/НАРУЖ.ПРИМ. ТУБА /ЗЕЛЕНАЯ ДУБРАВА/"/>
        <s v="АНДИПАЛ №20 ТАБ. /ФАРМСТАНДАРТ-ЛЕКСРЕДСТВА/"/>
        <s v="ЛОРАГЕКСАЛ 10МГ. №10 ТАБ. /ГЕКСАЛ АГ/"/>
        <s v="ОКУПРЕС-Е 0,5% 5МЛ. ГЛ.КАПЛИ ФЛ./КАП. /КАДИЛА/"/>
        <s v="СЕМЕЙНЫЙ ЗУБ.ПОРОШОК МОРСК.МИНЕР. 140СМ.КУБ/60Г. БАНКА /АВАНТА/"/>
        <s v="ВОДА 2МЛ. №10 Д/ИН. АМП. /НОВОСИБХИМФАРМ/"/>
        <s v="СИЛЬВЕР КАПИТАН БАТОНЧИК ТРЮФЕЛЬ+ОРЕХ ШОК.ГЛАЗ. 50Г."/>
        <s v="АМБРОКСОЛ-АЛСИ 30МГ. №30 ТАБ. /АЛСИ/"/>
        <s v="ПАСТА САЛИЦИЛОВО-ЦИНКОВАЯ 25Г. БАНКА /ТУЛЬСКАЯ ФФ/"/>
        <s v="СИЛЬВЕР КАПИТАН БАТОНЧИК КОКОС КАКАО БЕЛ.ГЛАЗ. 50Г."/>
        <s v="АМЕЛИЯ ВАТА МЕД. ХИРУРГ. Н/СТЕР. 25Г."/>
        <s v="БОБС ЛЕДЕНЦЫ Д/ГОРЛА 35Г. ЭКСТРА МЕНТОЛ №10"/>
        <s v="КЕТОРОЛАК 10МГ. №14 ТАБ. П/П/О /ОБНОВЛЕНИЕ/"/>
        <s v="БОБС ЛЕДЕНЦЫ ОТ КАШЛЯ МЯТА+ЭВКАЛИПТ 35Г.(№10)"/>
        <s v="ЭНАМ 5МГ. №20 ТАБ. /Д-Р РЕДДИ/"/>
        <s v="АСКОРБИНОВАЯ К-ТА 50МГ/МЛ. 2МЛ. №10 Р-Р Д/В/В,В/М АМП. /ДАЛЬХИМФАРМ/"/>
        <s v="БОБС ЛЕДЕНЦЫ ОТ КАШЛЯ МЕД+ЛИМОН 35Г.(№10)"/>
        <s v="ЛИДОКАИН 20МГ/МЛ. 2МЛ. №10 Р-Р Д/ИН. АМП. /СЛАВЯНСКАЯ АПТЕКА/"/>
        <s v="ФУРОСЕМИД 40МГ. №50 ТАБ. /ОЗОН ООО/"/>
        <s v="ГЕМАТОГЕН РУССКИЙ КЕДРОВЫЙ ОРЕХ 40Г. ПЛИТКА /ФАРМ-ПРО/"/>
        <s v="ДИМЕДРОЛ 10МГ/МЛ. 1МЛ. №10 Р-Р Д/В/В,В/М АМП. /ВЕЛФАРМ/"/>
        <s v="КСИЛЕН 0,05% 10МЛ. №1 НАЗАЛ.КАПЛИ ФЛ./КАП. /ВЕРОФАРМ/"/>
        <s v="ХЕЛП БИНТ СТЕР. 5МХ10СМ И/У [HELP]"/>
        <s v="АУРА САЛФЕТКИ ВЛАЖН. А/БАКТЕР. №15 [AURA]"/>
        <s v="ХЛОРГЕКСИДИН 0,05% 200МЛ. №1 Р-Р Д/МЕСТ. И НАРУЖ.ПРИМ. ФЛ. ПЭТ. /ЛЕКАРЬ/"/>
        <s v="ГОРЧИЧНИКИ-ПАКЕТ №20"/>
        <s v="БИСАКОДИЛ-ХЕМОФАРМ 5МГ. №30 ТАБ.КШ/РАСТВ. П/О /ХЕМОФАРМ/"/>
        <s v="САЛИЦИЛОВАЯ 2% 25Г. МАЗЬ /ТУЛЬСКАЯ ФФ/"/>
        <s v="АММИАК 100МГ/МЛ. 100МЛ. №1 Р-Р Д/НАРУЖ./ИНГ. ФЛ. /САМАРСКАЯ ФФ/"/>
        <s v="АЦЕКАРДОЛ 100МГ. №30 ТАБ.КШ/РАСТВ. П/П/О /СИНТЕЗ/"/>
        <s v="ЭНАП 2,5МГ. №20 ТАБ. /KPKA/"/>
        <s v="САЛФЕТКИ ДВУХСЛ. СТЕР. 16Х14СМ №10 И/У"/>
        <s v="БРИЛЛИАНТОВЫЙ ЗЕЛЕН 1% 10МЛ. №1 СПИРТ. Р-Р Д/НАРУЖ.ПРИМ. ФЛ. /САМАРАМЕДПРОМ/"/>
        <s v="ХЛОРГЕКСИДИН 0,05% 100МЛ. №1 Р-Р Д/МЕСТ. И НАРУЖ.ПРИМ. ФЛ. ПЭТ. /ТУЛЬСКАЯ ФФ/"/>
        <s v="БАХИЛЫ №10 (5ПАР)"/>
        <s v="ТЕРАФЛЮ ЭКСТРА ЛИМОН ОТ ГРИППА И ПРОСТУДЫ 15Г. №10 ПОР. Д/Р-РА Д/ПРИЕМА ВНУТРЬ ПАК."/>
        <s v="МАСКА МЕД. ЛАТИО ДЕТСКАЯ ТРЕХСЛОЙНАЯ (3-Х) РИСУНОК №50 И/У [LATIO]"/>
        <s v="АЭРТАЛ 100МГ. №60 ТАБ. П/П/О"/>
        <s v="НАТРИЯ ХЛОРИД 0,9% 100МЛ. №28 Р-Р Д/ИНФ. /ЭСКОМ/"/>
        <s v="АККУ-ЧЕК ТЕСТ-ПОЛОСКИ ПЕРФОРМА №100 (50Х2) [ACCU-CHEK]"/>
        <s v="МИЛЬГАММА КОМПОЗИТУМ 100МГ+100МГ. №60 ТАБ. П/О"/>
        <s v="ПУЛЬМИКОРТ 0,25МГ/МЛ. 2МЛ. №20 СУСП. Д/ИНГ. КОНТ. /АСТРА ЗЕНЕКА/"/>
        <s v="КСАЛАТАН 0,005% 2,5МЛ. №3 ГЛ.КАПЛИ ФЛ./КАП."/>
        <s v="РОЗАРТ 10МГ. №90 ТАБ. П/П/О"/>
        <s v="ПРАДАКСА 110МГ. №180 КАПС. /БЕРИНГЕР/"/>
        <s v="СЕНИ ПОДГУЗНИКИ СУПЕР ПЛЮС АИР ЭКСТРА ЛАРЧ Д/ВЗР. Р.XL(4) №30 (130-170СМ.) [SENI]"/>
        <s v="СЕНИ ПОДГУЗНИКИ СУПЕР АИР ЭКСТРА ЛАРЧ Д/ВЗР. Р.XL(4) №30 (130-170СМ.) [SENI]"/>
        <s v="РЕГУЛОН 150МКГ+30МКГ. №63 (21X3) ТАБ. П/О /ГЕДЕОН РИХТЕР/"/>
        <s v="НОВИНЕТ 150МКГ+20МКГ. №63 (21X3) ТАБ. П/О /ГЕДЕОН РИХТЕР/"/>
        <s v="ЦЕЛЕБРЕКС 200МГ. №30 КАПС."/>
        <s v="ФОСФАЛЮГЕЛЬ 16Г. №20 ГЕЛЬ Д/ПРИЕМА ВНУТРЬ ПАК."/>
        <s v="СЕНАДЕ 13,5МГ. №500 ТАБ. /ЦИПЛА/"/>
        <s v="ХАРТМАНН КОСМОПОР Е ПОВЯЗКА 20СМХ10СМ №25 П/ОПЕР. САМОКЛ. СТЕР. /АРТ.9010220/900876/ [HARTMANN COSMO"/>
        <s v="ТЕРЕЗА МЕД ПОДГУЗНИКИ Д/ВЗР. ЭКСТРА Р.3 L №28 [TEREZA]"/>
        <s v="МИЛЬГАММА 2МЛ. №25 Р-Р Д/В/М АМП."/>
        <s v="АКТОВЕГИН 40МГ/МЛ. 2МЛ. №25 Р-Р Д/ИН. АМП."/>
        <s v="ХАРТМАНН БРАНОЛИНД H ПОВЯЗКА СТЕР. 7,5Х10СМ. №30 ПЕРУАН.БАЛЬЗАМ /АРТ.4923432/ [BRANOLIND]"/>
        <s v="СПАЗМАЛГОН №50 ТАБ."/>
        <s v="НО-ШПА 20МГ/МЛ. 2МЛ. №25 Р-Р Д/В/В,В/М АМП. /ХИНОИН/"/>
        <s v="ФИЛЬТРУМ-СТИ 400МГ. №50 ТАБ."/>
        <s v="ДЕКСАМЕТАЗОН-ФЕРЕЙН 4МГ/МЛ. 1МЛ. №25 Р-Р Д/В/В,В/М АМП. /ФЕРЕЙН/"/>
        <s v="МИКРОЛАКС 5МЛ. №12 Р-Р Д/РЕКТ. ВВЕД. МИКРОКЛИЗМА"/>
        <s v="КСАРЕЛТО 10МГ. №98 ТАБ. П/П/О /БАЙЕР/"/>
        <s v="СФМ ШПРИЦ 2МЛ. 3-Х КОМП. 0,63Х32ММ 23G №100 [SFM]"/>
        <s v="ХАРТМАНН КОСМОПОР Е ПОВЯЗКА 10СМХ6СМ №25 П/ОПЕР. САМОКЛ. СТЕР. /АРТ.901009/ [HARTMANN COSMOPOR]"/>
        <s v="СФМ ШПРИЦ 5МЛ. 3-Х КОМП. 0,7Х40ММ 22G №100 [SFM]"/>
        <s v="БАРАЛГИН М 500МГ. №100 ТАБ."/>
        <s v="РЕГИДРОН 18,9Г. №20 ПОР. Д/Р-РА Д/ПРИЕМА ВНУТРЬ ПАК. /ОРИОН/"/>
        <s v="ДИОКСИДИН 5МГ/МЛ. 10МЛ. №10 Р-Р Д/ИНФ. И НАРУЖ.ПРИМ. АМП. /ВАЛЕНТА/НОВОСИБХИМФАРМ/ФЕРМЕНТ/ГРОТЕКС/"/>
        <s v="ГЛЮКОЗА 5% 200МЛ. №28 Р-Р Д/ИНФ. БУТ. /МОСФАРМ/"/>
        <s v="ХАРТМАНН БРАНОЛИНД H ПОВЯЗКА СТЕР. 10Х20СМ. №30 ПЕРУАН.БАЛЬЗАМ /АРТ.4923462/ [BRANOLIND]"/>
        <s v="СФМ ШПРИЦ 10МЛ. 3-Х КОМП. 0,8Х40ММ 21G №100 [SFM]"/>
        <s v="СФМ ШПРИЦ 3МЛ. 3-Х КОМП. 0,6Х30ММ 23G №100 [SFM]"/>
        <s v="ХАРТМАНН КОСМОПОР Е ПОВЯЗКА 7,2Х5СМ №50 П/ОПЕР. САМОКЛ. СТЕР. /АРТ.9008705/ [HARTMANN COSMOPOR]"/>
      </sharedItems>
    </cacheField>
    <cacheField name="Кол-во продаж" numFmtId="0">
      <sharedItems containsSemiMixedTypes="0" containsString="0" containsNumber="1" minValue="0.04" maxValue="68"/>
    </cacheField>
    <cacheField name="доля " numFmtId="9">
      <sharedItems containsSemiMixedTypes="0" containsString="0" containsNumber="1" minValue="0" maxValue="0.04"/>
    </cacheField>
    <cacheField name="кумулята" numFmtId="9">
      <sharedItems containsSemiMixedTypes="0" containsString="0" containsNumber="1" minValue="0.04" maxValue="1"/>
    </cacheField>
    <cacheField name="тир " numFmtId="0">
      <sharedItems/>
    </cacheField>
    <cacheField name="Сумма продаж" numFmtId="0">
      <sharedItems containsSemiMixedTypes="0" containsString="0" containsNumber="1" minValue="0.11999999999999998" maxValue="11948"/>
    </cacheField>
    <cacheField name="доля 2" numFmtId="9">
      <sharedItems containsSemiMixedTypes="0" containsString="0" containsNumber="1" minValue="3.2600533329752954E-7" maxValue="3.2459264351990695E-2"/>
    </cacheField>
    <cacheField name="кумулята " numFmtId="9">
      <sharedItems containsSemiMixedTypes="0" containsString="0" containsNumber="1" minValue="3.2459264351990695E-2" maxValue="1.0000000000000013"/>
    </cacheField>
    <cacheField name="тир 2" numFmtId="0">
      <sharedItems/>
    </cacheField>
    <cacheField name="М. обор" numFmtId="0">
      <sharedItems containsSemiMixedTypes="0" containsString="0" containsNumber="1" minValue="0.24" maxValue="408"/>
    </cacheField>
    <cacheField name="доля 3" numFmtId="9">
      <sharedItems containsSemiMixedTypes="0" containsString="0" containsNumber="1" minValue="2.4862310159599593E-5" maxValue="4.2265927271319309E-2"/>
    </cacheField>
    <cacheField name="кумулята 2" numFmtId="9">
      <sharedItems containsSemiMixedTypes="0" containsString="0" containsNumber="1" minValue="4.2265927271319309E-2" maxValue="0.99999999999998956"/>
    </cacheField>
    <cacheField name="тир 3" numFmtId="0">
      <sharedItems/>
    </cacheField>
    <cacheField name="ABC" numFmtId="0">
      <sharedItems/>
    </cacheField>
    <cacheField name="var" numFmtId="9">
      <sharedItems containsSemiMixedTypes="0" containsString="0" containsNumber="1" minValue="0.37267799624996489" maxValue="2.2360679774997898"/>
    </cacheField>
    <cacheField name="XYZ" numFmtId="0">
      <sharedItems/>
    </cacheField>
    <cacheField name="ABC-XYZ" numFmtId="0">
      <sharedItems count="19">
        <s v="ABAZ"/>
        <s v="ACAZ"/>
        <s v="AAAZ"/>
        <s v="BAAZ"/>
        <s v="CAAZ"/>
        <s v="AABZ"/>
        <s v="CABZ"/>
        <s v="BABZ"/>
        <s v="ABBZ"/>
        <s v="CBBZ"/>
        <s v="BBBZ"/>
        <s v="CCBZ"/>
        <s v="BCBZ"/>
        <s v="ACBZ"/>
        <s v="ACCZ"/>
        <s v="BCCZ"/>
        <s v="CCCZ"/>
        <s v="CACZ"/>
        <s v="CBC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3">
  <r>
    <x v="0"/>
    <n v="68"/>
    <n v="0.04"/>
    <n v="0.04"/>
    <s v="A"/>
    <n v="272"/>
    <n v="7.3894542214106708E-4"/>
    <n v="0.85968269655762797"/>
    <s v="B"/>
    <n v="408"/>
    <n v="4.2265927271319309E-2"/>
    <n v="4.2265927271319309E-2"/>
    <s v="A"/>
    <s v="ABA"/>
    <n v="0.89693827541040638"/>
    <s v="Z"/>
    <x v="0"/>
  </r>
  <r>
    <x v="1"/>
    <n v="35"/>
    <n v="0.02"/>
    <n v="0.06"/>
    <s v="A"/>
    <n v="280"/>
    <n v="7.6067911102756908E-4"/>
    <n v="0.84995415403272434"/>
    <s v="B"/>
    <n v="210"/>
    <n v="2.1754521389649645E-2"/>
    <n v="6.4020448660968954E-2"/>
    <s v="A"/>
    <s v="ABA"/>
    <n v="0.69985421222376509"/>
    <s v="Z"/>
    <x v="0"/>
  </r>
  <r>
    <x v="2"/>
    <n v="26"/>
    <n v="0.02"/>
    <n v="0.08"/>
    <s v="A"/>
    <n v="52"/>
    <n v="1.4126897776226284E-4"/>
    <n v="0.99458992475464192"/>
    <s v="C"/>
    <n v="156"/>
    <n v="1.6160501603739736E-2"/>
    <n v="8.0180950264708686E-2"/>
    <s v="A"/>
    <s v="ACA"/>
    <n v="0.61418151625658901"/>
    <s v="Z"/>
    <x v="1"/>
  </r>
  <r>
    <x v="3"/>
    <n v="25"/>
    <n v="0.02"/>
    <n v="0.1"/>
    <s v="A"/>
    <n v="892"/>
    <n v="2.4233063108449701E-3"/>
    <n v="0.46855501113472875"/>
    <s v="A"/>
    <n v="150"/>
    <n v="1.5538943849749746E-2"/>
    <n v="9.5719894114458429E-2"/>
    <s v="A"/>
    <s v="AAA"/>
    <n v="0.70710678118654757"/>
    <s v="Z"/>
    <x v="2"/>
  </r>
  <r>
    <x v="4"/>
    <n v="22"/>
    <n v="0.01"/>
    <n v="0.11"/>
    <s v="A"/>
    <n v="308"/>
    <n v="8.3674702213032599E-4"/>
    <n v="0.8235959979920634"/>
    <s v="B"/>
    <n v="132"/>
    <n v="1.3674270587779777E-2"/>
    <n v="0.1093941647022382"/>
    <s v="A"/>
    <s v="ABA"/>
    <n v="2.2360679774997894"/>
    <s v="Z"/>
    <x v="0"/>
  </r>
  <r>
    <x v="5"/>
    <n v="17"/>
    <n v="0.01"/>
    <n v="0.12"/>
    <s v="A"/>
    <n v="289"/>
    <n v="7.8512951102488384E-4"/>
    <n v="0.84067658558929848"/>
    <s v="B"/>
    <n v="102"/>
    <n v="1.0566481817829827E-2"/>
    <n v="0.11996064652006802"/>
    <s v="A"/>
    <s v="ABA"/>
    <n v="0.44605149670891486"/>
    <s v="Z"/>
    <x v="0"/>
  </r>
  <r>
    <x v="6"/>
    <n v="14"/>
    <n v="0.01"/>
    <n v="0.13"/>
    <s v="A"/>
    <n v="364"/>
    <n v="9.888828443358397E-4"/>
    <n v="0.78322078080538682"/>
    <s v="A"/>
    <n v="84"/>
    <n v="8.7018085558598583E-3"/>
    <n v="0.12866245507592788"/>
    <s v="A"/>
    <s v="AAA"/>
    <n v="0.85266688473666585"/>
    <s v="Z"/>
    <x v="2"/>
  </r>
  <r>
    <x v="7"/>
    <n v="14"/>
    <n v="0.01"/>
    <n v="0.14000000000000001"/>
    <s v="A"/>
    <n v="126"/>
    <n v="3.4230559996240609E-4"/>
    <n v="0.95432209915817534"/>
    <s v="C"/>
    <n v="84"/>
    <n v="8.7018085558598583E-3"/>
    <n v="0.13736426363178775"/>
    <s v="A"/>
    <s v="ACA"/>
    <n v="1.5649215928719031"/>
    <s v="Z"/>
    <x v="1"/>
  </r>
  <r>
    <x v="8"/>
    <n v="13"/>
    <n v="0.01"/>
    <n v="0.17"/>
    <s v="A"/>
    <n v="1673"/>
    <n v="4.5450576883897253E-3"/>
    <n v="0.24991442061341484"/>
    <s v="A"/>
    <n v="78"/>
    <n v="8.080250801869868E-3"/>
    <n v="0.14544451443365761"/>
    <s v="A"/>
    <s v="AAA"/>
    <n v="2.2360679774997894"/>
    <s v="Z"/>
    <x v="2"/>
  </r>
  <r>
    <x v="9"/>
    <n v="13"/>
    <n v="0.01"/>
    <n v="0.15"/>
    <s v="A"/>
    <n v="468"/>
    <n v="1.2714207998603655E-3"/>
    <n v="0.69434649900741996"/>
    <s v="A"/>
    <n v="78"/>
    <n v="8.080250801869868E-3"/>
    <n v="0.15352476523552747"/>
    <s v="A"/>
    <s v="AAA"/>
    <n v="1.0029542161850229"/>
    <s v="Z"/>
    <x v="2"/>
  </r>
  <r>
    <x v="10"/>
    <n v="13"/>
    <n v="0.01"/>
    <n v="0.16"/>
    <s v="A"/>
    <n v="221"/>
    <n v="6.0039315548961701E-4"/>
    <n v="0.89687121161132133"/>
    <s v="B"/>
    <n v="78"/>
    <n v="8.080250801869868E-3"/>
    <n v="0.16160501603739733"/>
    <s v="A"/>
    <s v="ABA"/>
    <n v="0.88545111024779533"/>
    <s v="Z"/>
    <x v="0"/>
  </r>
  <r>
    <x v="11"/>
    <n v="13"/>
    <n v="0.01"/>
    <n v="0.15"/>
    <s v="A"/>
    <n v="104"/>
    <n v="2.8253795552452568E-4"/>
    <n v="0.96752164759672554"/>
    <s v="C"/>
    <n v="78"/>
    <n v="8.080250801869868E-3"/>
    <n v="0.16968526683926718"/>
    <s v="A"/>
    <s v="ACA"/>
    <n v="1.6676525683599077"/>
    <s v="Z"/>
    <x v="1"/>
  </r>
  <r>
    <x v="12"/>
    <n v="12"/>
    <n v="0.01"/>
    <n v="0.18"/>
    <s v="A"/>
    <n v="0.11999999999999998"/>
    <n v="3.2600533329752954E-7"/>
    <n v="1.0000000000000013"/>
    <s v="C"/>
    <n v="72"/>
    <n v="7.4586930478798786E-3"/>
    <n v="0.17714395988714707"/>
    <s v="A"/>
    <s v="ACA"/>
    <n v="0.37267799624996489"/>
    <s v="Z"/>
    <x v="1"/>
  </r>
  <r>
    <x v="13"/>
    <n v="11"/>
    <n v="0.01"/>
    <n v="0.2"/>
    <s v="A"/>
    <n v="1372"/>
    <n v="3.7273276440350886E-3"/>
    <n v="0.31915248108978844"/>
    <s v="A"/>
    <n v="66"/>
    <n v="6.8371352938898884E-3"/>
    <n v="0.18398109518103695"/>
    <s v="A"/>
    <s v="AAA"/>
    <n v="0.67419986246324204"/>
    <s v="Z"/>
    <x v="2"/>
  </r>
  <r>
    <x v="14"/>
    <n v="11"/>
    <n v="0.01"/>
    <n v="0.19"/>
    <s v="A"/>
    <n v="338"/>
    <n v="9.182483554547084E-4"/>
    <n v="0.80612455716731579"/>
    <s v="B"/>
    <n v="66"/>
    <n v="6.8371352938898884E-3"/>
    <n v="0.19081823047492683"/>
    <s v="A"/>
    <s v="ABA"/>
    <n v="1.4868570212541929"/>
    <s v="Z"/>
    <x v="0"/>
  </r>
  <r>
    <x v="15"/>
    <n v="11"/>
    <n v="0.01"/>
    <n v="0.18"/>
    <s v="A"/>
    <n v="144"/>
    <n v="3.9120639995703554E-4"/>
    <n v="0.94263067855857008"/>
    <s v="B"/>
    <n v="66"/>
    <n v="6.8371352938898884E-3"/>
    <n v="0.1976553657688167"/>
    <s v="A"/>
    <s v="ABA"/>
    <n v="1.036523113726489"/>
    <s v="Z"/>
    <x v="0"/>
  </r>
  <r>
    <x v="16"/>
    <n v="10"/>
    <n v="0.01"/>
    <n v="0.2"/>
    <s v="A"/>
    <n v="2200"/>
    <n v="5.9767644437880426E-3"/>
    <n v="0.17501469528830743"/>
    <s v="A"/>
    <n v="60"/>
    <n v="6.2155775398998981E-3"/>
    <n v="0.20387094330871661"/>
    <s v="A"/>
    <s v="AAA"/>
    <n v="0.61237243569579447"/>
    <s v="Z"/>
    <x v="2"/>
  </r>
  <r>
    <x v="17"/>
    <n v="10"/>
    <n v="0.01"/>
    <n v="0.21"/>
    <s v="A"/>
    <n v="600"/>
    <n v="1.630026666487648E-3"/>
    <n v="0.61182665780693279"/>
    <s v="A"/>
    <n v="60"/>
    <n v="6.2155775398998981E-3"/>
    <n v="0.21008652084861651"/>
    <s v="A"/>
    <s v="AAA"/>
    <n v="0.61237243569579447"/>
    <s v="Z"/>
    <x v="2"/>
  </r>
  <r>
    <x v="18"/>
    <n v="10"/>
    <n v="0.01"/>
    <n v="0.22"/>
    <s v="A"/>
    <n v="370"/>
    <n v="1.0051831110007162E-3"/>
    <n v="0.77624447215398129"/>
    <s v="A"/>
    <n v="60"/>
    <n v="6.2155775398998981E-3"/>
    <n v="0.21630209838851641"/>
    <s v="A"/>
    <s v="AAA"/>
    <n v="2.2360679774997898"/>
    <s v="Z"/>
    <x v="2"/>
  </r>
  <r>
    <x v="19"/>
    <n v="9"/>
    <n v="0.01"/>
    <n v="0.23"/>
    <s v="A"/>
    <n v="1579"/>
    <n v="4.289686843973327E-3"/>
    <n v="0.25852367812358046"/>
    <s v="A"/>
    <n v="54"/>
    <n v="5.5940197859099088E-3"/>
    <n v="0.22189611817442631"/>
    <s v="A"/>
    <s v="AAA"/>
    <n v="0.99380798999990649"/>
    <s v="Z"/>
    <x v="2"/>
  </r>
  <r>
    <x v="20"/>
    <n v="9"/>
    <n v="0.01"/>
    <n v="0.22"/>
    <s v="A"/>
    <n v="1412"/>
    <n v="3.8359960884675982E-3"/>
    <n v="0.31542515344575334"/>
    <s v="A"/>
    <n v="54"/>
    <n v="5.5940197859099088E-3"/>
    <n v="0.22749013796033621"/>
    <s v="A"/>
    <s v="AAA"/>
    <n v="0.99380798999990649"/>
    <s v="Z"/>
    <x v="2"/>
  </r>
  <r>
    <x v="21"/>
    <n v="9"/>
    <n v="0.01"/>
    <n v="0.23"/>
    <s v="A"/>
    <n v="477"/>
    <n v="1.2958711998576802E-3"/>
    <n v="0.68537591891951632"/>
    <s v="A"/>
    <n v="54"/>
    <n v="5.5940197859099088E-3"/>
    <n v="0.23308415774624611"/>
    <s v="A"/>
    <s v="AAA"/>
    <n v="0.72435582280029431"/>
    <s v="Z"/>
    <x v="2"/>
  </r>
  <r>
    <x v="22"/>
    <n v="9"/>
    <n v="0.01"/>
    <n v="0.24"/>
    <s v="A"/>
    <n v="342"/>
    <n v="9.291151998979594E-4"/>
    <n v="0.80151815614204402"/>
    <s v="B"/>
    <n v="54"/>
    <n v="5.5940197859099088E-3"/>
    <n v="0.23867817753215601"/>
    <s v="A"/>
    <s v="ABA"/>
    <n v="2.2360679774997894"/>
    <s v="Z"/>
    <x v="0"/>
  </r>
  <r>
    <x v="23"/>
    <n v="8"/>
    <n v="0"/>
    <n v="0.24"/>
    <s v="A"/>
    <n v="464"/>
    <n v="1.2605539554171145E-3"/>
    <n v="0.69941859865130729"/>
    <s v="A"/>
    <n v="48"/>
    <n v="4.9724620319199185E-3"/>
    <n v="0.24365063956407593"/>
    <s v="A"/>
    <s v="AAA"/>
    <n v="1.2960275845829823"/>
    <s v="Z"/>
    <x v="2"/>
  </r>
  <r>
    <x v="24"/>
    <n v="8"/>
    <n v="0"/>
    <n v="0.25"/>
    <s v="A"/>
    <n v="292"/>
    <n v="7.9327964435732209E-4"/>
    <n v="0.83751976727853417"/>
    <s v="B"/>
    <n v="48"/>
    <n v="4.9724620319199185E-3"/>
    <n v="0.24862310159599585"/>
    <s v="A"/>
    <s v="ABA"/>
    <n v="0.71260964068696109"/>
    <s v="Z"/>
    <x v="0"/>
  </r>
  <r>
    <x v="25"/>
    <n v="8"/>
    <n v="0"/>
    <n v="0.25"/>
    <s v="A"/>
    <n v="240"/>
    <n v="6.5201066659505917E-4"/>
    <n v="0.88430370601270147"/>
    <s v="B"/>
    <n v="48"/>
    <n v="4.9724620319199185E-3"/>
    <n v="0.25359556362791574"/>
    <s v="A"/>
    <s v="ABA"/>
    <n v="1.5687375497513916"/>
    <s v="Z"/>
    <x v="0"/>
  </r>
  <r>
    <x v="26"/>
    <n v="7"/>
    <n v="0"/>
    <n v="0.28000000000000003"/>
    <s v="A"/>
    <n v="1540"/>
    <n v="4.1837351106516303E-3"/>
    <n v="0.26697264967820811"/>
    <s v="A"/>
    <n v="42"/>
    <n v="4.3509042779299291E-3"/>
    <n v="0.25794646790584569"/>
    <s v="A"/>
    <s v="AAA"/>
    <n v="0.63887656499993983"/>
    <s v="Z"/>
    <x v="2"/>
  </r>
  <r>
    <x v="27"/>
    <n v="7"/>
    <n v="0"/>
    <n v="0.26"/>
    <s v="A"/>
    <n v="350"/>
    <n v="9.508488887844613E-4"/>
    <n v="0.79586196360933181"/>
    <s v="A"/>
    <n v="42"/>
    <n v="4.3509042779299291E-3"/>
    <n v="0.26229737218377563"/>
    <s v="A"/>
    <s v="AAA"/>
    <n v="1.8626292586293283"/>
    <s v="Z"/>
    <x v="2"/>
  </r>
  <r>
    <x v="28"/>
    <n v="7"/>
    <n v="0"/>
    <n v="0.28000000000000003"/>
    <s v="A"/>
    <n v="350"/>
    <n v="9.508488887844613E-4"/>
    <n v="0.79681281249811631"/>
    <s v="A"/>
    <n v="42"/>
    <n v="4.3509042779299291E-3"/>
    <n v="0.26664827646170558"/>
    <s v="A"/>
    <s v="AAA"/>
    <n v="0.95831484749990992"/>
    <s v="Z"/>
    <x v="2"/>
  </r>
  <r>
    <x v="29"/>
    <n v="7"/>
    <n v="0"/>
    <n v="0.27"/>
    <s v="A"/>
    <n v="297"/>
    <n v="8.0686319991138573E-4"/>
    <n v="0.83512300323524191"/>
    <s v="B"/>
    <n v="42"/>
    <n v="4.3509042779299291E-3"/>
    <n v="0.27099918073963553"/>
    <s v="A"/>
    <s v="ABA"/>
    <n v="1.3923991921155663"/>
    <s v="Z"/>
    <x v="0"/>
  </r>
  <r>
    <x v="30"/>
    <n v="7"/>
    <n v="0"/>
    <n v="0.27"/>
    <s v="A"/>
    <n v="210"/>
    <n v="5.7050933327067676E-4"/>
    <n v="0.90564347178813553"/>
    <s v="B"/>
    <n v="42"/>
    <n v="4.3509042779299291E-3"/>
    <n v="0.27535008501756547"/>
    <s v="A"/>
    <s v="ABA"/>
    <n v="0.81441101792795567"/>
    <s v="Z"/>
    <x v="0"/>
  </r>
  <r>
    <x v="31"/>
    <n v="7"/>
    <n v="0"/>
    <n v="0.26"/>
    <s v="A"/>
    <n v="175"/>
    <n v="4.7542444439223065E-4"/>
    <n v="0.92449880526278361"/>
    <s v="B"/>
    <n v="42"/>
    <n v="4.3509042779299291E-3"/>
    <n v="0.27970098929549542"/>
    <s v="A"/>
    <s v="ABA"/>
    <n v="0.63887656499993983"/>
    <s v="Z"/>
    <x v="0"/>
  </r>
  <r>
    <x v="32"/>
    <n v="6"/>
    <n v="0"/>
    <n v="0.3"/>
    <s v="A"/>
    <n v="740"/>
    <n v="2.0103662220014324E-3"/>
    <n v="0.51448508750822253"/>
    <s v="A"/>
    <n v="36"/>
    <n v="3.7293465239399393E-3"/>
    <n v="0.28343033581943533"/>
    <s v="A"/>
    <s v="AAA"/>
    <n v="1.0865337342004415"/>
    <s v="Z"/>
    <x v="2"/>
  </r>
  <r>
    <x v="33"/>
    <n v="6"/>
    <n v="0"/>
    <n v="0.28999999999999998"/>
    <s v="A"/>
    <n v="537"/>
    <n v="1.458873866506445E-3"/>
    <n v="0.64141435851479456"/>
    <s v="A"/>
    <n v="36"/>
    <n v="3.7293465239399393E-3"/>
    <n v="0.28715968234337524"/>
    <s v="A"/>
    <s v="AAA"/>
    <n v="1.0865337342004415"/>
    <s v="Z"/>
    <x v="2"/>
  </r>
  <r>
    <x v="34"/>
    <n v="6"/>
    <n v="0"/>
    <n v="0.31"/>
    <s v="A"/>
    <n v="447"/>
    <n v="1.2143698665332977E-3"/>
    <n v="0.7116818326055161"/>
    <s v="A"/>
    <n v="36"/>
    <n v="3.7293465239399393E-3"/>
    <n v="0.29088902886731516"/>
    <s v="A"/>
    <s v="AAA"/>
    <n v="1.0865337342004415"/>
    <s v="Z"/>
    <x v="2"/>
  </r>
  <r>
    <x v="35"/>
    <n v="6"/>
    <n v="0"/>
    <n v="0.28999999999999998"/>
    <s v="A"/>
    <n v="438"/>
    <n v="1.189919466535983E-3"/>
    <n v="0.72129627322668244"/>
    <s v="A"/>
    <n v="36"/>
    <n v="3.7293465239399393E-3"/>
    <n v="0.29461837539125507"/>
    <s v="A"/>
    <s v="AAA"/>
    <n v="0.69721668877839638"/>
    <s v="Z"/>
    <x v="2"/>
  </r>
  <r>
    <x v="36"/>
    <n v="6"/>
    <n v="0"/>
    <n v="0.31"/>
    <s v="A"/>
    <n v="396"/>
    <n v="1.0758175998818477E-3"/>
    <n v="0.75979750308912097"/>
    <s v="A"/>
    <n v="36"/>
    <n v="3.7293465239399393E-3"/>
    <n v="0.29834772191519499"/>
    <s v="A"/>
    <s v="AAA"/>
    <n v="1.4907119849998598"/>
    <s v="Z"/>
    <x v="2"/>
  </r>
  <r>
    <x v="37"/>
    <n v="6"/>
    <n v="0"/>
    <n v="0.28999999999999998"/>
    <s v="A"/>
    <n v="333"/>
    <n v="9.0466479990064465E-4"/>
    <n v="0.80976766676691547"/>
    <s v="B"/>
    <n v="36"/>
    <n v="3.7293465239399393E-3"/>
    <n v="0.3020770684391349"/>
    <s v="A"/>
    <s v="ABA"/>
    <n v="1.0865337342004415"/>
    <s v="Z"/>
    <x v="0"/>
  </r>
  <r>
    <x v="38"/>
    <n v="6"/>
    <n v="0"/>
    <n v="0.32"/>
    <s v="A"/>
    <n v="238"/>
    <n v="6.4657724437343367E-4"/>
    <n v="0.88755560921234433"/>
    <s v="B"/>
    <n v="36"/>
    <n v="3.7293465239399393E-3"/>
    <n v="0.30580641496307481"/>
    <s v="A"/>
    <s v="ABA"/>
    <n v="1.4907119849998598"/>
    <s v="Z"/>
    <x v="0"/>
  </r>
  <r>
    <x v="39"/>
    <n v="6"/>
    <n v="0"/>
    <n v="0.31"/>
    <s v="A"/>
    <n v="234"/>
    <n v="6.3571039993018277E-4"/>
    <n v="0.88947089054546735"/>
    <s v="B"/>
    <n v="36"/>
    <n v="3.7293465239399393E-3"/>
    <n v="0.30953576148701473"/>
    <s v="A"/>
    <s v="ABA"/>
    <n v="0.69721668877839638"/>
    <s v="Z"/>
    <x v="0"/>
  </r>
  <r>
    <x v="40"/>
    <n v="6"/>
    <n v="0"/>
    <n v="0.3"/>
    <s v="A"/>
    <n v="222"/>
    <n v="6.0310986660042976E-4"/>
    <n v="0.89506459872263089"/>
    <s v="B"/>
    <n v="36"/>
    <n v="3.7293465239399393E-3"/>
    <n v="0.31326510801095464"/>
    <s v="A"/>
    <s v="ABA"/>
    <n v="1.0865337342004415"/>
    <s v="Z"/>
    <x v="0"/>
  </r>
  <r>
    <x v="41"/>
    <n v="6"/>
    <n v="0"/>
    <n v="0.28000000000000003"/>
    <s v="A"/>
    <n v="96"/>
    <n v="2.6080426663802368E-4"/>
    <n v="0.97515832252922052"/>
    <s v="C"/>
    <n v="36"/>
    <n v="3.7293465239399393E-3"/>
    <n v="0.31699445453489455"/>
    <s v="A"/>
    <s v="ACA"/>
    <n v="0.37267799624996489"/>
    <s v="Z"/>
    <x v="1"/>
  </r>
  <r>
    <x v="42"/>
    <n v="5"/>
    <n v="0"/>
    <n v="0.32"/>
    <s v="A"/>
    <n v="2335.31"/>
    <n v="6.3443626241921156E-3"/>
    <n v="0.15685348151252423"/>
    <s v="A"/>
    <n v="30"/>
    <n v="3.1077887699499491E-3"/>
    <n v="0.32010224330484449"/>
    <s v="A"/>
    <s v="AAA"/>
    <n v="0.70710678118654757"/>
    <s v="Z"/>
    <x v="2"/>
  </r>
  <r>
    <x v="43"/>
    <n v="5"/>
    <n v="0"/>
    <n v="0.35"/>
    <s v="A"/>
    <n v="537"/>
    <n v="1.458873866506445E-3"/>
    <n v="0.64287323238130101"/>
    <s v="A"/>
    <n v="30"/>
    <n v="3.1077887699499491E-3"/>
    <n v="0.32321003207479443"/>
    <s v="A"/>
    <s v="AAA"/>
    <n v="1"/>
    <s v="Z"/>
    <x v="2"/>
  </r>
  <r>
    <x v="44"/>
    <n v="5"/>
    <n v="0"/>
    <n v="0.32"/>
    <s v="A"/>
    <n v="372"/>
    <n v="1.0106165332223417E-3"/>
    <n v="0.77221015615442434"/>
    <s v="A"/>
    <n v="30"/>
    <n v="3.1077887699499491E-3"/>
    <n v="0.32631782084474437"/>
    <s v="A"/>
    <s v="AAA"/>
    <n v="1"/>
    <s v="Z"/>
    <x v="2"/>
  </r>
  <r>
    <x v="45"/>
    <n v="5"/>
    <n v="0"/>
    <n v="0.33"/>
    <s v="A"/>
    <n v="350"/>
    <n v="9.508488887844613E-4"/>
    <n v="0.7977636613869008"/>
    <s v="A"/>
    <n v="30"/>
    <n v="3.1077887699499491E-3"/>
    <n v="0.3294256096146943"/>
    <s v="A"/>
    <s v="AAA"/>
    <n v="0.70710678118654757"/>
    <s v="Z"/>
    <x v="2"/>
  </r>
  <r>
    <x v="46"/>
    <n v="5"/>
    <n v="0"/>
    <n v="0.36"/>
    <s v="A"/>
    <n v="343"/>
    <n v="9.3183191100877215E-4"/>
    <n v="0.80058904094214611"/>
    <s v="B"/>
    <n v="30"/>
    <n v="3.1077887699499491E-3"/>
    <n v="0.33253339838464424"/>
    <s v="A"/>
    <s v="ABA"/>
    <n v="1"/>
    <s v="Z"/>
    <x v="0"/>
  </r>
  <r>
    <x v="47"/>
    <n v="5"/>
    <n v="0"/>
    <n v="0.34"/>
    <s v="A"/>
    <n v="305"/>
    <n v="8.2859688879788774E-4"/>
    <n v="0.82942334332475676"/>
    <s v="B"/>
    <n v="30"/>
    <n v="3.1077887699499491E-3"/>
    <n v="0.33564118715459418"/>
    <s v="A"/>
    <s v="ABA"/>
    <n v="1.4142135623730951"/>
    <s v="Z"/>
    <x v="0"/>
  </r>
  <r>
    <x v="48"/>
    <n v="5"/>
    <n v="0"/>
    <n v="0.35"/>
    <s v="A"/>
    <n v="265"/>
    <n v="7.1992844436537782E-4"/>
    <n v="0.86919933557880502"/>
    <s v="B"/>
    <n v="30"/>
    <n v="3.1077887699499491E-3"/>
    <n v="0.33874897592454412"/>
    <s v="A"/>
    <s v="ABA"/>
    <n v="1.4142135623730951"/>
    <s v="Z"/>
    <x v="0"/>
  </r>
  <r>
    <x v="49"/>
    <n v="5"/>
    <n v="0"/>
    <n v="0.34"/>
    <s v="A"/>
    <n v="245"/>
    <n v="6.6559422214912292E-4"/>
    <n v="0.8823205069018083"/>
    <s v="B"/>
    <n v="30"/>
    <n v="3.1077887699499491E-3"/>
    <n v="0.34185676469449405"/>
    <s v="A"/>
    <s v="ABA"/>
    <n v="1.4142135623730951"/>
    <s v="Z"/>
    <x v="0"/>
  </r>
  <r>
    <x v="50"/>
    <n v="5"/>
    <n v="0"/>
    <n v="0.33"/>
    <s v="A"/>
    <n v="230"/>
    <n v="6.2484355548693177E-4"/>
    <n v="0.89262227543401018"/>
    <s v="B"/>
    <n v="30"/>
    <n v="3.1077887699499491E-3"/>
    <n v="0.34496455346444399"/>
    <s v="A"/>
    <s v="ABA"/>
    <n v="2.2360679774997898"/>
    <s v="Z"/>
    <x v="0"/>
  </r>
  <r>
    <x v="51"/>
    <n v="5"/>
    <n v="0"/>
    <n v="0.33"/>
    <s v="A"/>
    <n v="129"/>
    <n v="3.5045573329484434E-4"/>
    <n v="0.95154692442425781"/>
    <s v="C"/>
    <n v="30"/>
    <n v="3.1077887699499491E-3"/>
    <n v="0.34807234223439393"/>
    <s v="A"/>
    <s v="ACA"/>
    <n v="1"/>
    <s v="Z"/>
    <x v="1"/>
  </r>
  <r>
    <x v="52"/>
    <n v="5"/>
    <n v="0"/>
    <n v="0.34"/>
    <s v="A"/>
    <n v="125"/>
    <n v="3.3958888885159334E-4"/>
    <n v="0.95534629924695169"/>
    <s v="C"/>
    <n v="30"/>
    <n v="3.1077887699499491E-3"/>
    <n v="0.35118013100434387"/>
    <s v="A"/>
    <s v="ACA"/>
    <n v="1.4142135623730951"/>
    <s v="Z"/>
    <x v="1"/>
  </r>
  <r>
    <x v="53"/>
    <n v="5"/>
    <n v="0"/>
    <n v="0.35"/>
    <s v="A"/>
    <n v="120"/>
    <n v="3.2600533329752958E-4"/>
    <n v="0.95900027569099455"/>
    <s v="C"/>
    <n v="30"/>
    <n v="3.1077887699499491E-3"/>
    <n v="0.3542879197742938"/>
    <s v="A"/>
    <s v="ACA"/>
    <n v="2.2360679774997898"/>
    <s v="Z"/>
    <x v="1"/>
  </r>
  <r>
    <x v="54"/>
    <n v="5"/>
    <n v="0"/>
    <n v="0.34"/>
    <s v="A"/>
    <n v="78"/>
    <n v="2.1190346664339425E-4"/>
    <n v="0.98454779230330025"/>
    <s v="C"/>
    <n v="30"/>
    <n v="3.1077887699499491E-3"/>
    <n v="0.35739570854424374"/>
    <s v="A"/>
    <s v="ACA"/>
    <n v="2.2360679774997898"/>
    <s v="Z"/>
    <x v="1"/>
  </r>
  <r>
    <x v="55"/>
    <n v="4"/>
    <n v="0"/>
    <n v="0.37"/>
    <s v="A"/>
    <n v="11948"/>
    <n v="3.2459264351990695E-2"/>
    <n v="3.2459264351990695E-2"/>
    <s v="A"/>
    <n v="24"/>
    <n v="2.4862310159599593E-3"/>
    <n v="0.3598819395602037"/>
    <s v="A"/>
    <s v="AAA"/>
    <n v="1.6298006013006621"/>
    <s v="Z"/>
    <x v="2"/>
  </r>
  <r>
    <x v="56"/>
    <n v="4"/>
    <n v="0"/>
    <n v="0.39"/>
    <s v="A"/>
    <n v="2350"/>
    <n v="6.384271110409955E-3"/>
    <n v="0.15050911888833213"/>
    <s v="A"/>
    <n v="24"/>
    <n v="2.4862310159599593E-3"/>
    <n v="0.36236817057616366"/>
    <s v="A"/>
    <s v="AAA"/>
    <n v="1.0458250331675945"/>
    <s v="Z"/>
    <x v="2"/>
  </r>
  <r>
    <x v="57"/>
    <n v="4"/>
    <n v="0"/>
    <n v="0.36"/>
    <s v="A"/>
    <n v="2158"/>
    <n v="5.8626625771339078E-3"/>
    <n v="0.18087735786544135"/>
    <s v="A"/>
    <n v="24"/>
    <n v="2.4862310159599593E-3"/>
    <n v="0.36485440159212362"/>
    <s v="A"/>
    <s v="AAA"/>
    <n v="1.0458250331675945"/>
    <s v="Z"/>
    <x v="2"/>
  </r>
  <r>
    <x v="58"/>
    <n v="4"/>
    <n v="0"/>
    <n v="0.38"/>
    <s v="A"/>
    <n v="1850"/>
    <n v="5.025915555003581E-3"/>
    <n v="0.20228775812975661"/>
    <s v="A"/>
    <n v="24"/>
    <n v="2.4862310159599593E-3"/>
    <n v="0.36734063260808358"/>
    <s v="A"/>
    <s v="AAA"/>
    <n v="0.55901699437494734"/>
    <s v="Z"/>
    <x v="2"/>
  </r>
  <r>
    <x v="59"/>
    <n v="4"/>
    <n v="0"/>
    <n v="0.39"/>
    <s v="A"/>
    <n v="1534"/>
    <n v="4.1674348439867531E-3"/>
    <n v="0.2795034407830318"/>
    <s v="A"/>
    <n v="24"/>
    <n v="2.4862310159599593E-3"/>
    <n v="0.36982686362404354"/>
    <s v="A"/>
    <s v="AAA"/>
    <n v="1.0458250331675945"/>
    <s v="Z"/>
    <x v="2"/>
  </r>
  <r>
    <x v="60"/>
    <n v="4"/>
    <n v="0"/>
    <n v="0.4"/>
    <s v="A"/>
    <n v="1507"/>
    <n v="4.094083643994809E-3"/>
    <n v="0.29189028509278253"/>
    <s v="A"/>
    <n v="24"/>
    <n v="2.4862310159599593E-3"/>
    <n v="0.37231309464000351"/>
    <s v="A"/>
    <s v="AAA"/>
    <n v="1.0458250331675945"/>
    <s v="Z"/>
    <x v="2"/>
  </r>
  <r>
    <x v="61"/>
    <n v="4"/>
    <n v="0"/>
    <n v="0.39"/>
    <s v="A"/>
    <n v="1206"/>
    <n v="3.2763535996401727E-3"/>
    <n v="0.36113110117406699"/>
    <s v="A"/>
    <n v="24"/>
    <n v="2.4862310159599593E-3"/>
    <n v="0.37479932565596347"/>
    <s v="A"/>
    <s v="AAA"/>
    <n v="1.0458250331675945"/>
    <s v="Z"/>
    <x v="2"/>
  </r>
  <r>
    <x v="62"/>
    <n v="4"/>
    <n v="0"/>
    <n v="0.38"/>
    <s v="A"/>
    <n v="720"/>
    <n v="1.9560319997851778E-3"/>
    <n v="0.5263163643958122"/>
    <s v="A"/>
    <n v="24"/>
    <n v="2.4862310159599593E-3"/>
    <n v="0.37728555667192343"/>
    <s v="A"/>
    <s v="AAA"/>
    <n v="0.55901699437494734"/>
    <s v="Z"/>
    <x v="2"/>
  </r>
  <r>
    <x v="63"/>
    <n v="4"/>
    <n v="0"/>
    <n v="0.4"/>
    <s v="A"/>
    <n v="488"/>
    <n v="1.3257550220766203E-3"/>
    <n v="0.680129949764537"/>
    <s v="A"/>
    <n v="24"/>
    <n v="2.4862310159599593E-3"/>
    <n v="0.37977178768788339"/>
    <s v="A"/>
    <s v="AAA"/>
    <n v="1.3693063937629151"/>
    <s v="Z"/>
    <x v="2"/>
  </r>
  <r>
    <x v="64"/>
    <n v="4"/>
    <n v="0"/>
    <n v="0.37"/>
    <s v="A"/>
    <n v="264"/>
    <n v="7.1721173325456518E-4"/>
    <n v="0.86991654731205958"/>
    <s v="B"/>
    <n v="24"/>
    <n v="2.4862310159599593E-3"/>
    <n v="0.38225801870384335"/>
    <s v="A"/>
    <s v="ABA"/>
    <n v="2.2360679774997894"/>
    <s v="Z"/>
    <x v="0"/>
  </r>
  <r>
    <x v="65"/>
    <n v="4"/>
    <n v="0"/>
    <n v="0.41"/>
    <s v="A"/>
    <n v="232"/>
    <n v="6.3027697770855727E-4"/>
    <n v="0.89136987161192549"/>
    <s v="B"/>
    <n v="24"/>
    <n v="2.4862310159599593E-3"/>
    <n v="0.38474424971980331"/>
    <s v="A"/>
    <s v="ABA"/>
    <n v="1.0458250331675945"/>
    <s v="Z"/>
    <x v="0"/>
  </r>
  <r>
    <x v="66"/>
    <n v="4"/>
    <n v="0"/>
    <n v="0.38"/>
    <s v="A"/>
    <n v="204"/>
    <n v="5.5420906660580036E-4"/>
    <n v="0.91071013800980116"/>
    <s v="B"/>
    <n v="24"/>
    <n v="2.4862310159599593E-3"/>
    <n v="0.38723048073576327"/>
    <s v="A"/>
    <s v="ABA"/>
    <n v="1.3693063937629151"/>
    <s v="Z"/>
    <x v="0"/>
  </r>
  <r>
    <x v="67"/>
    <n v="4"/>
    <n v="0"/>
    <n v="0.38"/>
    <s v="A"/>
    <n v="192"/>
    <n v="5.2160853327604736E-4"/>
    <n v="0.91501069169821792"/>
    <s v="B"/>
    <n v="24"/>
    <n v="2.4862310159599593E-3"/>
    <n v="0.38971671175172323"/>
    <s v="A"/>
    <s v="ABA"/>
    <n v="0.55901699437494734"/>
    <s v="Z"/>
    <x v="0"/>
  </r>
  <r>
    <x v="68"/>
    <n v="4"/>
    <n v="0"/>
    <n v="0.41"/>
    <s v="A"/>
    <n v="188"/>
    <n v="5.1074168883279635E-4"/>
    <n v="0.91811589249787706"/>
    <s v="B"/>
    <n v="24"/>
    <n v="2.4862310159599593E-3"/>
    <n v="0.39220294276768319"/>
    <s v="A"/>
    <s v="ABA"/>
    <n v="1.6298006013006621"/>
    <s v="Z"/>
    <x v="0"/>
  </r>
  <r>
    <x v="69"/>
    <n v="4"/>
    <n v="0"/>
    <n v="0.37"/>
    <s v="A"/>
    <n v="133"/>
    <n v="3.6132257773809529E-4"/>
    <n v="0.94904211678008832"/>
    <s v="B"/>
    <n v="24"/>
    <n v="2.4862310159599593E-3"/>
    <n v="0.39468917378364315"/>
    <s v="A"/>
    <s v="ABA"/>
    <n v="1.0458250331675945"/>
    <s v="Z"/>
    <x v="0"/>
  </r>
  <r>
    <x v="70"/>
    <n v="4"/>
    <n v="0"/>
    <n v="0.4"/>
    <s v="A"/>
    <n v="132"/>
    <n v="3.5860586662728259E-4"/>
    <n v="0.95048469037993"/>
    <s v="C"/>
    <n v="24"/>
    <n v="2.4862310159599593E-3"/>
    <n v="0.39717540479960312"/>
    <s v="A"/>
    <s v="ACA"/>
    <n v="1.0458250331675945"/>
    <s v="Z"/>
    <x v="1"/>
  </r>
  <r>
    <x v="71"/>
    <n v="4"/>
    <n v="0"/>
    <n v="0.4"/>
    <s v="A"/>
    <n v="100"/>
    <n v="2.7167111108127468E-4"/>
    <n v="0.97167821559626921"/>
    <s v="C"/>
    <n v="24"/>
    <n v="2.4862310159599593E-3"/>
    <n v="0.39966163581556308"/>
    <s v="A"/>
    <s v="ACA"/>
    <n v="1.0458250331675945"/>
    <s v="Z"/>
    <x v="1"/>
  </r>
  <r>
    <x v="72"/>
    <n v="4"/>
    <n v="0"/>
    <n v="0.41"/>
    <s v="A"/>
    <n v="100"/>
    <n v="2.7167111108127468E-4"/>
    <n v="0.9719498867073505"/>
    <s v="C"/>
    <n v="24"/>
    <n v="2.4862310159599593E-3"/>
    <n v="0.40214786683152304"/>
    <s v="A"/>
    <s v="ACA"/>
    <n v="1.6298006013006621"/>
    <s v="Z"/>
    <x v="1"/>
  </r>
  <r>
    <x v="73"/>
    <n v="4"/>
    <n v="0"/>
    <n v="0.37"/>
    <s v="A"/>
    <n v="76"/>
    <n v="2.0647004442176875E-4"/>
    <n v="0.98580834625871727"/>
    <s v="C"/>
    <n v="24"/>
    <n v="2.4862310159599593E-3"/>
    <n v="0.404634097847483"/>
    <s v="A"/>
    <s v="ACA"/>
    <n v="0.55901699437494734"/>
    <s v="Z"/>
    <x v="1"/>
  </r>
  <r>
    <x v="74"/>
    <n v="4"/>
    <n v="0"/>
    <n v="0.36"/>
    <s v="A"/>
    <n v="64"/>
    <n v="1.7386951109201579E-4"/>
    <n v="0.99179945493717048"/>
    <s v="C"/>
    <n v="24"/>
    <n v="2.4862310159599593E-3"/>
    <n v="0.40712032886344296"/>
    <s v="A"/>
    <s v="ACA"/>
    <n v="1.6298006013006621"/>
    <s v="Z"/>
    <x v="1"/>
  </r>
  <r>
    <x v="75"/>
    <n v="4"/>
    <n v="0"/>
    <n v="0.39"/>
    <s v="A"/>
    <n v="48"/>
    <n v="1.3040213331901184E-4"/>
    <n v="0.99581438492526131"/>
    <s v="C"/>
    <n v="24"/>
    <n v="2.4862310159599593E-3"/>
    <n v="0.40960655987940292"/>
    <s v="A"/>
    <s v="ACA"/>
    <n v="2.2360679774997894"/>
    <s v="Z"/>
    <x v="1"/>
  </r>
  <r>
    <x v="76"/>
    <n v="4"/>
    <n v="0"/>
    <n v="0.36"/>
    <s v="A"/>
    <n v="44"/>
    <n v="1.1953528887576085E-4"/>
    <n v="0.99655876376962393"/>
    <s v="C"/>
    <n v="24"/>
    <n v="2.4862310159599593E-3"/>
    <n v="0.41209279089536288"/>
    <s v="A"/>
    <s v="ACA"/>
    <n v="1.0458250331675945"/>
    <s v="Z"/>
    <x v="1"/>
  </r>
  <r>
    <x v="77"/>
    <n v="3"/>
    <n v="0"/>
    <n v="0.44"/>
    <s v="A"/>
    <n v="2703.89"/>
    <n v="7.3456880054154775E-3"/>
    <n v="0.11608295569211301"/>
    <s v="A"/>
    <n v="18"/>
    <n v="1.8646732619699697E-3"/>
    <n v="0.41395746415733287"/>
    <s v="A"/>
    <s v="AAA"/>
    <n v="2.2360679774997898"/>
    <s v="Z"/>
    <x v="2"/>
  </r>
  <r>
    <x v="78"/>
    <n v="3"/>
    <n v="0"/>
    <n v="0.45"/>
    <s v="A"/>
    <n v="2217"/>
    <n v="6.0229485326718591E-3"/>
    <n v="0.1690379308445194"/>
    <s v="A"/>
    <n v="18"/>
    <n v="1.8646732619699697E-3"/>
    <n v="0.41582213741930285"/>
    <s v="A"/>
    <s v="AAA"/>
    <n v="0.91287092917527679"/>
    <s v="Z"/>
    <x v="2"/>
  </r>
  <r>
    <x v="79"/>
    <n v="3"/>
    <n v="0"/>
    <n v="0.51"/>
    <s v="A"/>
    <n v="1590"/>
    <n v="4.3195706661922672E-3"/>
    <n v="0.25423399127960711"/>
    <s v="A"/>
    <n v="18"/>
    <n v="1.8646732619699697E-3"/>
    <n v="0.41768681068127284"/>
    <s v="A"/>
    <s v="AAA"/>
    <n v="0.91287092917527679"/>
    <s v="Z"/>
    <x v="2"/>
  </r>
  <r>
    <x v="80"/>
    <n v="3"/>
    <n v="0"/>
    <n v="0.46"/>
    <s v="A"/>
    <n v="1468"/>
    <n v="3.9881319106731122E-3"/>
    <n v="0.29587841700345563"/>
    <s v="A"/>
    <n v="18"/>
    <n v="1.8646732619699697E-3"/>
    <n v="0.41955148394324282"/>
    <s v="A"/>
    <s v="AAA"/>
    <n v="1.4907119849998598"/>
    <s v="Z"/>
    <x v="2"/>
  </r>
  <r>
    <x v="81"/>
    <n v="3"/>
    <n v="0"/>
    <n v="0.48"/>
    <s v="A"/>
    <n v="1451"/>
    <n v="3.9419478217892958E-3"/>
    <n v="0.303794913180364"/>
    <s v="A"/>
    <n v="18"/>
    <n v="1.8646732619699697E-3"/>
    <n v="0.4214161572052128"/>
    <s v="A"/>
    <s v="AAA"/>
    <n v="1.4907119849998598"/>
    <s v="Z"/>
    <x v="2"/>
  </r>
  <r>
    <x v="82"/>
    <n v="3"/>
    <n v="0"/>
    <n v="0.46"/>
    <s v="A"/>
    <n v="1362"/>
    <n v="3.7001605329269609E-3"/>
    <n v="0.32285264162271543"/>
    <s v="A"/>
    <n v="18"/>
    <n v="1.8646732619699697E-3"/>
    <n v="0.42328083046718279"/>
    <s v="A"/>
    <s v="AAA"/>
    <n v="1.4907119849998598"/>
    <s v="Z"/>
    <x v="2"/>
  </r>
  <r>
    <x v="83"/>
    <n v="3"/>
    <n v="0"/>
    <n v="0.44"/>
    <s v="A"/>
    <n v="1254"/>
    <n v="3.4067557329591843E-3"/>
    <n v="0.35454307673034607"/>
    <s v="A"/>
    <n v="18"/>
    <n v="1.8646732619699697E-3"/>
    <n v="0.42514550372915277"/>
    <s v="A"/>
    <s v="AAA"/>
    <n v="0.91287092917527679"/>
    <s v="Z"/>
    <x v="2"/>
  </r>
  <r>
    <x v="84"/>
    <n v="3"/>
    <n v="0"/>
    <n v="0.47"/>
    <s v="A"/>
    <n v="996"/>
    <n v="2.7058442663694957E-3"/>
    <n v="0.43548177007169431"/>
    <s v="A"/>
    <n v="18"/>
    <n v="1.8646732619699697E-3"/>
    <n v="0.42701017699112276"/>
    <s v="A"/>
    <s v="AAA"/>
    <n v="0.91287092917527679"/>
    <s v="Z"/>
    <x v="2"/>
  </r>
  <r>
    <x v="85"/>
    <n v="3"/>
    <n v="0"/>
    <n v="0.52"/>
    <s v="A"/>
    <n v="870"/>
    <n v="2.3635386664070898E-3"/>
    <n v="0.47332691420087136"/>
    <s v="A"/>
    <n v="18"/>
    <n v="1.8646732619699697E-3"/>
    <n v="0.42887485025309274"/>
    <s v="A"/>
    <s v="AAA"/>
    <n v="1.4907119849998598"/>
    <s v="Z"/>
    <x v="2"/>
  </r>
  <r>
    <x v="86"/>
    <n v="3"/>
    <n v="0"/>
    <n v="0.44"/>
    <s v="A"/>
    <n v="717"/>
    <n v="1.9478818664527395E-3"/>
    <n v="0.53411875874502412"/>
    <s v="A"/>
    <n v="18"/>
    <n v="1.8646732619699697E-3"/>
    <n v="0.43073952351506273"/>
    <s v="A"/>
    <s v="AAA"/>
    <n v="0.91287092917527679"/>
    <s v="Z"/>
    <x v="2"/>
  </r>
  <r>
    <x v="87"/>
    <n v="3"/>
    <n v="0"/>
    <n v="0.46"/>
    <s v="A"/>
    <n v="706"/>
    <n v="1.9179980442337991E-3"/>
    <n v="0.53992437038883101"/>
    <s v="A"/>
    <n v="18"/>
    <n v="1.8646732619699697E-3"/>
    <n v="0.43260419677703271"/>
    <s v="A"/>
    <s v="AAA"/>
    <n v="1.4907119849998598"/>
    <s v="Z"/>
    <x v="2"/>
  </r>
  <r>
    <x v="88"/>
    <n v="3"/>
    <n v="0"/>
    <n v="0.43"/>
    <s v="A"/>
    <n v="645"/>
    <n v="1.7522786664742216E-3"/>
    <n v="0.57802262145508998"/>
    <s v="A"/>
    <n v="18"/>
    <n v="1.8646732619699697E-3"/>
    <n v="0.4344688700390027"/>
    <s v="A"/>
    <s v="AAA"/>
    <n v="1.4907119849998598"/>
    <s v="Z"/>
    <x v="2"/>
  </r>
  <r>
    <x v="89"/>
    <n v="3"/>
    <n v="0"/>
    <n v="0.44"/>
    <s v="A"/>
    <n v="624"/>
    <n v="1.695227733147154E-3"/>
    <n v="0.59688202998635209"/>
    <s v="A"/>
    <n v="18"/>
    <n v="1.8646732619699697E-3"/>
    <n v="0.43633354330097268"/>
    <s v="A"/>
    <s v="AAA"/>
    <n v="1.4907119849998598"/>
    <s v="Z"/>
    <x v="2"/>
  </r>
  <r>
    <x v="90"/>
    <n v="3"/>
    <n v="0"/>
    <n v="0.46"/>
    <s v="A"/>
    <n v="621"/>
    <n v="1.6870775998147156E-3"/>
    <n v="0.60026433531931389"/>
    <s v="A"/>
    <n v="18"/>
    <n v="1.8646732619699697E-3"/>
    <n v="0.43819821656294267"/>
    <s v="A"/>
    <s v="AAA"/>
    <n v="1.4907119849998598"/>
    <s v="Z"/>
    <x v="2"/>
  </r>
  <r>
    <x v="91"/>
    <n v="3"/>
    <n v="0"/>
    <n v="0.43"/>
    <s v="A"/>
    <n v="585"/>
    <n v="1.5892759998254568E-3"/>
    <n v="0.62465496767219064"/>
    <s v="A"/>
    <n v="18"/>
    <n v="1.8646732619699697E-3"/>
    <n v="0.44006288982491265"/>
    <s v="A"/>
    <s v="AAA"/>
    <n v="1.4907119849998598"/>
    <s v="Z"/>
    <x v="2"/>
  </r>
  <r>
    <x v="92"/>
    <n v="3"/>
    <n v="0"/>
    <n v="0.45"/>
    <s v="A"/>
    <n v="522"/>
    <n v="1.4181231998442539E-3"/>
    <n v="0.65001158484725285"/>
    <s v="A"/>
    <n v="18"/>
    <n v="1.8646732619699697E-3"/>
    <n v="0.44192756308688264"/>
    <s v="A"/>
    <s v="AAA"/>
    <n v="2.2360679774997898"/>
    <s v="Z"/>
    <x v="2"/>
  </r>
  <r>
    <x v="93"/>
    <n v="3"/>
    <n v="0"/>
    <n v="0.5"/>
    <s v="A"/>
    <n v="498"/>
    <n v="1.3529221331847478E-3"/>
    <n v="0.67344955714304844"/>
    <s v="A"/>
    <n v="18"/>
    <n v="1.8646732619699697E-3"/>
    <n v="0.44379223634885262"/>
    <s v="A"/>
    <s v="AAA"/>
    <n v="2.2360679774997898"/>
    <s v="Z"/>
    <x v="2"/>
  </r>
  <r>
    <x v="94"/>
    <n v="3"/>
    <n v="0"/>
    <n v="0.44"/>
    <s v="A"/>
    <n v="474"/>
    <n v="1.2877210665252418E-3"/>
    <n v="0.68795407776367756"/>
    <s v="A"/>
    <n v="18"/>
    <n v="1.8646732619699697E-3"/>
    <n v="0.4456569096108226"/>
    <s v="A"/>
    <s v="AAA"/>
    <n v="0.91287092917527679"/>
    <s v="Z"/>
    <x v="2"/>
  </r>
  <r>
    <x v="95"/>
    <n v="3"/>
    <n v="0"/>
    <n v="0.42"/>
    <s v="A"/>
    <n v="444"/>
    <n v="1.2062197332008595E-3"/>
    <n v="0.71652301180498446"/>
    <s v="A"/>
    <n v="18"/>
    <n v="1.8646732619699697E-3"/>
    <n v="0.44752158287279259"/>
    <s v="A"/>
    <s v="AAA"/>
    <n v="1.4907119849998598"/>
    <s v="Z"/>
    <x v="2"/>
  </r>
  <r>
    <x v="96"/>
    <n v="3"/>
    <n v="0"/>
    <n v="0.51"/>
    <s v="A"/>
    <n v="435"/>
    <n v="1.1817693332035449E-3"/>
    <n v="0.72485244807073634"/>
    <s v="A"/>
    <n v="18"/>
    <n v="1.8646732619699697E-3"/>
    <n v="0.44938625613476257"/>
    <s v="A"/>
    <s v="AAA"/>
    <n v="0.91287092917527679"/>
    <s v="Z"/>
    <x v="2"/>
  </r>
  <r>
    <x v="97"/>
    <n v="3"/>
    <n v="0"/>
    <n v="0.52"/>
    <s v="A"/>
    <n v="432"/>
    <n v="1.1736191998711065E-3"/>
    <n v="0.72602606727060748"/>
    <s v="A"/>
    <n v="18"/>
    <n v="1.8646732619699697E-3"/>
    <n v="0.45125092939673256"/>
    <s v="A"/>
    <s v="AAA"/>
    <n v="1.4907119849998598"/>
    <s v="Z"/>
    <x v="2"/>
  </r>
  <r>
    <x v="98"/>
    <n v="3"/>
    <n v="0"/>
    <n v="0.47"/>
    <s v="A"/>
    <n v="417"/>
    <n v="1.1328685332089154E-3"/>
    <n v="0.74332336691315237"/>
    <s v="A"/>
    <n v="18"/>
    <n v="1.8646732619699697E-3"/>
    <n v="0.45311560265870254"/>
    <s v="A"/>
    <s v="AAA"/>
    <n v="0.91287092917527679"/>
    <s v="Z"/>
    <x v="2"/>
  </r>
  <r>
    <x v="99"/>
    <n v="3"/>
    <n v="0"/>
    <n v="0.48"/>
    <s v="A"/>
    <n v="378"/>
    <n v="1.0269167998872182E-3"/>
    <n v="0.76506520593298688"/>
    <s v="A"/>
    <n v="18"/>
    <n v="1.8646732619699697E-3"/>
    <n v="0.45498027592067253"/>
    <s v="A"/>
    <s v="AAA"/>
    <n v="1.4907119849998598"/>
    <s v="Z"/>
    <x v="2"/>
  </r>
  <r>
    <x v="100"/>
    <n v="3"/>
    <n v="0"/>
    <n v="0.48"/>
    <s v="A"/>
    <n v="365.15999999999997"/>
    <n v="9.9203422922438246E-4"/>
    <n v="0.78223189796105097"/>
    <s v="A"/>
    <n v="18"/>
    <n v="1.8646732619699697E-3"/>
    <n v="0.45684494918264251"/>
    <s v="A"/>
    <s v="AAA"/>
    <n v="1.4907119849998598"/>
    <s v="Z"/>
    <x v="2"/>
  </r>
  <r>
    <x v="101"/>
    <n v="3"/>
    <n v="0"/>
    <n v="0.48"/>
    <s v="A"/>
    <n v="363"/>
    <n v="9.8616613322502706E-4"/>
    <n v="0.78519582978294766"/>
    <s v="A"/>
    <n v="18"/>
    <n v="1.8646732619699697E-3"/>
    <n v="0.4587096224446125"/>
    <s v="A"/>
    <s v="AAA"/>
    <n v="1.4907119849998598"/>
    <s v="Z"/>
    <x v="2"/>
  </r>
  <r>
    <x v="102"/>
    <n v="3"/>
    <n v="0"/>
    <n v="0.49"/>
    <s v="A"/>
    <n v="309"/>
    <n v="8.3946373324113874E-4"/>
    <n v="0.8219197872366919"/>
    <s v="B"/>
    <n v="18"/>
    <n v="1.8646732619699697E-3"/>
    <n v="0.46057429570658248"/>
    <s v="A"/>
    <s v="ABA"/>
    <n v="1.4907119849998598"/>
    <s v="Z"/>
    <x v="0"/>
  </r>
  <r>
    <x v="103"/>
    <n v="3"/>
    <n v="0"/>
    <n v="0.41"/>
    <s v="A"/>
    <n v="303"/>
    <n v="8.2316346657626224E-4"/>
    <n v="0.83024650679133305"/>
    <s v="B"/>
    <n v="18"/>
    <n v="1.8646732619699697E-3"/>
    <n v="0.46243896896855247"/>
    <s v="A"/>
    <s v="ABA"/>
    <n v="1.4907119849998598"/>
    <s v="Z"/>
    <x v="0"/>
  </r>
  <r>
    <x v="104"/>
    <n v="3"/>
    <n v="0"/>
    <n v="0.49"/>
    <s v="A"/>
    <n v="300"/>
    <n v="8.1501333324382399E-4"/>
    <n v="0.83188196688004235"/>
    <s v="B"/>
    <n v="18"/>
    <n v="1.8646732619699697E-3"/>
    <n v="0.46430364223052245"/>
    <s v="A"/>
    <s v="ABA"/>
    <n v="0.91287092917527679"/>
    <s v="Z"/>
    <x v="0"/>
  </r>
  <r>
    <x v="105"/>
    <n v="3"/>
    <n v="0"/>
    <n v="0.5"/>
    <s v="A"/>
    <n v="295.23"/>
    <n v="8.0205462124524726E-4"/>
    <n v="0.83592505785648719"/>
    <s v="B"/>
    <n v="18"/>
    <n v="1.8646732619699697E-3"/>
    <n v="0.46616831549249244"/>
    <s v="A"/>
    <s v="ABA"/>
    <n v="2.2360679774997898"/>
    <s v="Z"/>
    <x v="0"/>
  </r>
  <r>
    <x v="106"/>
    <n v="3"/>
    <n v="0"/>
    <n v="0.43"/>
    <s v="A"/>
    <n v="291"/>
    <n v="7.9056293324650934E-4"/>
    <n v="0.83910360985613797"/>
    <s v="B"/>
    <n v="18"/>
    <n v="1.8646732619699697E-3"/>
    <n v="0.46803298875446242"/>
    <s v="A"/>
    <s v="ABA"/>
    <n v="1.4907119849998598"/>
    <s v="Z"/>
    <x v="0"/>
  </r>
  <r>
    <x v="107"/>
    <n v="3"/>
    <n v="0"/>
    <n v="0.49"/>
    <s v="A"/>
    <n v="288"/>
    <n v="7.8241279991407109E-4"/>
    <n v="0.84145899838921256"/>
    <s v="B"/>
    <n v="18"/>
    <n v="1.8646732619699697E-3"/>
    <n v="0.4698976620164324"/>
    <s v="A"/>
    <s v="ABA"/>
    <n v="1.4907119849998598"/>
    <s v="Z"/>
    <x v="0"/>
  </r>
  <r>
    <x v="108"/>
    <n v="3"/>
    <n v="0"/>
    <n v="0.51"/>
    <s v="A"/>
    <n v="270"/>
    <n v="7.3351199991944158E-4"/>
    <n v="0.86263032811285978"/>
    <s v="B"/>
    <n v="18"/>
    <n v="1.8646732619699697E-3"/>
    <n v="0.47176233527840239"/>
    <s v="A"/>
    <s v="ABA"/>
    <n v="0.91287092917527679"/>
    <s v="Z"/>
    <x v="0"/>
  </r>
  <r>
    <x v="109"/>
    <n v="3"/>
    <n v="0"/>
    <n v="0.43"/>
    <s v="A"/>
    <n v="264"/>
    <n v="7.1721173325456518E-4"/>
    <n v="0.87063375904531415"/>
    <s v="B"/>
    <n v="18"/>
    <n v="1.8646732619699697E-3"/>
    <n v="0.47362700854037237"/>
    <s v="A"/>
    <s v="ABA"/>
    <n v="1.4907119849998598"/>
    <s v="Z"/>
    <x v="0"/>
  </r>
  <r>
    <x v="110"/>
    <n v="3"/>
    <n v="0"/>
    <n v="0.42"/>
    <s v="A"/>
    <n v="252"/>
    <n v="6.8461119992481217E-4"/>
    <n v="0.87827532405780817"/>
    <s v="B"/>
    <n v="18"/>
    <n v="1.8646732619699697E-3"/>
    <n v="0.47549168180234236"/>
    <s v="A"/>
    <s v="ABA"/>
    <n v="2.2360679774997898"/>
    <s v="Z"/>
    <x v="0"/>
  </r>
  <r>
    <x v="111"/>
    <n v="3"/>
    <n v="0"/>
    <n v="0.46"/>
    <s v="A"/>
    <n v="234"/>
    <n v="6.3571039993018277E-4"/>
    <n v="0.89010660094539751"/>
    <s v="B"/>
    <n v="18"/>
    <n v="1.8646732619699697E-3"/>
    <n v="0.47735635506431234"/>
    <s v="A"/>
    <s v="ABA"/>
    <n v="0.91287092917527679"/>
    <s v="Z"/>
    <x v="0"/>
  </r>
  <r>
    <x v="112"/>
    <n v="3"/>
    <n v="0"/>
    <n v="0.45"/>
    <s v="A"/>
    <n v="219"/>
    <n v="5.9495973326799151E-4"/>
    <n v="0.89806656450007893"/>
    <s v="B"/>
    <n v="18"/>
    <n v="1.8646732619699697E-3"/>
    <n v="0.47922102832628233"/>
    <s v="A"/>
    <s v="ABA"/>
    <n v="1.4907119849998598"/>
    <s v="Z"/>
    <x v="0"/>
  </r>
  <r>
    <x v="113"/>
    <n v="3"/>
    <n v="0"/>
    <n v="0.43"/>
    <s v="A"/>
    <n v="213"/>
    <n v="5.7865946660311501E-4"/>
    <n v="0.90334513418838802"/>
    <s v="B"/>
    <n v="18"/>
    <n v="1.8646732619699697E-3"/>
    <n v="0.48108570158825231"/>
    <s v="A"/>
    <s v="ABA"/>
    <n v="2.2360679774997898"/>
    <s v="Z"/>
    <x v="0"/>
  </r>
  <r>
    <x v="114"/>
    <n v="3"/>
    <n v="0"/>
    <n v="0.5"/>
    <s v="A"/>
    <n v="210"/>
    <n v="5.7050933327067676E-4"/>
    <n v="0.90621398112140616"/>
    <s v="B"/>
    <n v="18"/>
    <n v="1.8646732619699697E-3"/>
    <n v="0.4829503748502223"/>
    <s v="A"/>
    <s v="ABA"/>
    <n v="1.4907119849998598"/>
    <s v="Z"/>
    <x v="0"/>
  </r>
  <r>
    <x v="115"/>
    <n v="3"/>
    <n v="0"/>
    <n v="0.45"/>
    <s v="A"/>
    <n v="186"/>
    <n v="5.0530826661117085E-4"/>
    <n v="0.91913194245332108"/>
    <s v="B"/>
    <n v="18"/>
    <n v="1.8646732619699697E-3"/>
    <n v="0.48481504811219228"/>
    <s v="A"/>
    <s v="ABA"/>
    <n v="1.4907119849998598"/>
    <s v="Z"/>
    <x v="0"/>
  </r>
  <r>
    <x v="116"/>
    <n v="3"/>
    <n v="0"/>
    <n v="0.52"/>
    <s v="A"/>
    <n v="177"/>
    <n v="4.8085786661385615E-4"/>
    <n v="0.92258759899632681"/>
    <s v="B"/>
    <n v="18"/>
    <n v="1.8646732619699697E-3"/>
    <n v="0.48667972137416227"/>
    <s v="A"/>
    <s v="ABA"/>
    <n v="1.4907119849998598"/>
    <s v="Z"/>
    <x v="0"/>
  </r>
  <r>
    <x v="117"/>
    <n v="3"/>
    <n v="0"/>
    <n v="0.51"/>
    <s v="A"/>
    <n v="174"/>
    <n v="4.7270773328141795E-4"/>
    <n v="0.92544693744045725"/>
    <s v="B"/>
    <n v="18"/>
    <n v="1.8646732619699697E-3"/>
    <n v="0.48854439463613225"/>
    <s v="A"/>
    <s v="ABA"/>
    <n v="1.4907119849998598"/>
    <s v="Z"/>
    <x v="0"/>
  </r>
  <r>
    <x v="118"/>
    <n v="3"/>
    <n v="0"/>
    <n v="0.42"/>
    <s v="A"/>
    <n v="173"/>
    <n v="4.699910221706052E-4"/>
    <n v="0.92591692846262785"/>
    <s v="B"/>
    <n v="18"/>
    <n v="1.8646732619699697E-3"/>
    <n v="0.49040906789810224"/>
    <s v="A"/>
    <s v="ABA"/>
    <n v="2.2360679774997898"/>
    <s v="Z"/>
    <x v="0"/>
  </r>
  <r>
    <x v="119"/>
    <n v="3"/>
    <n v="0"/>
    <n v="0.5"/>
    <s v="A"/>
    <n v="173"/>
    <n v="4.699910221706052E-4"/>
    <n v="0.92638691948479845"/>
    <s v="B"/>
    <n v="18"/>
    <n v="1.8646732619699697E-3"/>
    <n v="0.49227374116007222"/>
    <s v="A"/>
    <s v="ABA"/>
    <n v="2.2360679774997898"/>
    <s v="Z"/>
    <x v="0"/>
  </r>
  <r>
    <x v="120"/>
    <n v="3"/>
    <n v="0"/>
    <n v="0.43"/>
    <s v="A"/>
    <n v="132"/>
    <n v="3.5860586662728259E-4"/>
    <n v="0.95084329624655728"/>
    <s v="C"/>
    <n v="18"/>
    <n v="1.8646732619699697E-3"/>
    <n v="0.4941384144220422"/>
    <s v="A"/>
    <s v="ACA"/>
    <n v="2.2360679774997898"/>
    <s v="Z"/>
    <x v="1"/>
  </r>
  <r>
    <x v="121"/>
    <n v="3"/>
    <n v="0"/>
    <n v="0.42"/>
    <s v="A"/>
    <n v="129"/>
    <n v="3.5045573329484434E-4"/>
    <n v="0.95189738015755265"/>
    <s v="C"/>
    <n v="18"/>
    <n v="1.8646732619699697E-3"/>
    <n v="0.49600308768401219"/>
    <s v="A"/>
    <s v="ACA"/>
    <n v="1.4907119849998598"/>
    <s v="Z"/>
    <x v="1"/>
  </r>
  <r>
    <x v="122"/>
    <n v="3"/>
    <n v="0"/>
    <n v="0.47"/>
    <s v="A"/>
    <n v="126"/>
    <n v="3.4230559996240609E-4"/>
    <n v="0.95466440475813774"/>
    <s v="C"/>
    <n v="18"/>
    <n v="1.8646732619699697E-3"/>
    <n v="0.49786776094598217"/>
    <s v="A"/>
    <s v="ACA"/>
    <n v="1.4907119849998598"/>
    <s v="Z"/>
    <x v="1"/>
  </r>
  <r>
    <x v="123"/>
    <n v="3"/>
    <n v="0"/>
    <n v="0.48"/>
    <s v="A"/>
    <n v="125"/>
    <n v="3.3958888885159334E-4"/>
    <n v="0.95568588813580324"/>
    <s v="C"/>
    <n v="18"/>
    <n v="1.8646732619699697E-3"/>
    <n v="0.49973243420795216"/>
    <s v="A"/>
    <s v="ACA"/>
    <n v="1.4907119849998598"/>
    <s v="Z"/>
    <x v="1"/>
  </r>
  <r>
    <x v="124"/>
    <n v="3"/>
    <n v="0"/>
    <n v="0.51"/>
    <s v="A"/>
    <n v="117"/>
    <n v="3.1785519996509139E-4"/>
    <n v="0.96158492747471069"/>
    <s v="C"/>
    <n v="18"/>
    <n v="1.8646732619699697E-3"/>
    <n v="0.50159710746992214"/>
    <s v="A"/>
    <s v="ACA"/>
    <n v="2.2360679774997898"/>
    <s v="Z"/>
    <x v="1"/>
  </r>
  <r>
    <x v="125"/>
    <n v="3"/>
    <n v="0"/>
    <n v="0.47"/>
    <s v="A"/>
    <n v="111"/>
    <n v="3.0155493330021488E-4"/>
    <n v="0.96313888623009558"/>
    <s v="C"/>
    <n v="18"/>
    <n v="1.8646732619699697E-3"/>
    <n v="0.50346178073189207"/>
    <s v="A"/>
    <s v="ACA"/>
    <n v="1.4907119849998598"/>
    <s v="Z"/>
    <x v="1"/>
  </r>
  <r>
    <x v="126"/>
    <n v="3"/>
    <n v="0"/>
    <n v="0.45"/>
    <s v="A"/>
    <n v="102"/>
    <n v="2.7710453330290018E-4"/>
    <n v="0.96892347052990502"/>
    <s v="C"/>
    <n v="18"/>
    <n v="1.8646732619699697E-3"/>
    <n v="0.505326453993862"/>
    <s v="A"/>
    <s v="ACA"/>
    <n v="1.4907119849998598"/>
    <s v="Z"/>
    <x v="1"/>
  </r>
  <r>
    <x v="127"/>
    <n v="3"/>
    <n v="0"/>
    <n v="0.49"/>
    <s v="A"/>
    <n v="96"/>
    <n v="2.6080426663802368E-4"/>
    <n v="0.97541912679585852"/>
    <s v="C"/>
    <n v="18"/>
    <n v="1.8646732619699697E-3"/>
    <n v="0.50719112725583193"/>
    <s v="A"/>
    <s v="ACA"/>
    <n v="1.4907119849998598"/>
    <s v="Z"/>
    <x v="1"/>
  </r>
  <r>
    <x v="128"/>
    <n v="3"/>
    <n v="0"/>
    <n v="0.48"/>
    <s v="A"/>
    <n v="93"/>
    <n v="2.5265413330558543E-4"/>
    <n v="0.97670709236638364"/>
    <s v="C"/>
    <n v="18"/>
    <n v="1.8646732619699697E-3"/>
    <n v="0.50905580051780186"/>
    <s v="A"/>
    <s v="ACA"/>
    <n v="2.2360679774997898"/>
    <s v="Z"/>
    <x v="1"/>
  </r>
  <r>
    <x v="129"/>
    <n v="3"/>
    <n v="0"/>
    <n v="0.47"/>
    <s v="A"/>
    <n v="78"/>
    <n v="2.1190346664339425E-4"/>
    <n v="0.9847596957699436"/>
    <s v="C"/>
    <n v="18"/>
    <n v="1.8646732619699697E-3"/>
    <n v="0.51092047377977179"/>
    <s v="A"/>
    <s v="ACA"/>
    <n v="2.2360679774997898"/>
    <s v="Z"/>
    <x v="1"/>
  </r>
  <r>
    <x v="130"/>
    <n v="3"/>
    <n v="0"/>
    <n v="0.49"/>
    <s v="A"/>
    <n v="75"/>
    <n v="2.03753333310956E-4"/>
    <n v="0.98725064818744768"/>
    <s v="C"/>
    <n v="18"/>
    <n v="1.8646732619699697E-3"/>
    <n v="0.51278514704174172"/>
    <s v="A"/>
    <s v="ACA"/>
    <n v="1.4907119849998598"/>
    <s v="Z"/>
    <x v="1"/>
  </r>
  <r>
    <x v="131"/>
    <n v="3"/>
    <n v="0"/>
    <n v="0.51"/>
    <s v="A"/>
    <n v="72"/>
    <n v="1.9560319997851777E-4"/>
    <n v="0.98904775258725031"/>
    <s v="C"/>
    <n v="18"/>
    <n v="1.8646732619699697E-3"/>
    <n v="0.51464982030371165"/>
    <s v="A"/>
    <s v="ACA"/>
    <n v="1.4907119849998598"/>
    <s v="Z"/>
    <x v="1"/>
  </r>
  <r>
    <x v="132"/>
    <n v="3"/>
    <n v="0"/>
    <n v="0.5"/>
    <s v="A"/>
    <n v="66"/>
    <n v="1.793029333136413E-4"/>
    <n v="0.99073901392217567"/>
    <s v="C"/>
    <n v="18"/>
    <n v="1.8646732619699697E-3"/>
    <n v="0.51651449356568158"/>
    <s v="A"/>
    <s v="ACA"/>
    <n v="1.4907119849998598"/>
    <s v="Z"/>
    <x v="1"/>
  </r>
  <r>
    <x v="133"/>
    <n v="3"/>
    <n v="0"/>
    <n v="0.42"/>
    <s v="A"/>
    <n v="36"/>
    <n v="9.7801599989258886E-5"/>
    <n v="0.99818300927486769"/>
    <s v="C"/>
    <n v="18"/>
    <n v="1.8646732619699697E-3"/>
    <n v="0.51837916682765151"/>
    <s v="A"/>
    <s v="ACA"/>
    <n v="0.91287092917527679"/>
    <s v="Z"/>
    <x v="1"/>
  </r>
  <r>
    <x v="134"/>
    <n v="3"/>
    <n v="0"/>
    <n v="0.45"/>
    <s v="A"/>
    <n v="36"/>
    <n v="9.7801599989258886E-5"/>
    <n v="0.99828081087485698"/>
    <s v="C"/>
    <n v="18"/>
    <n v="1.8646732619699697E-3"/>
    <n v="0.52024384008962143"/>
    <s v="A"/>
    <s v="ACA"/>
    <n v="2.2360679774997898"/>
    <s v="Z"/>
    <x v="1"/>
  </r>
  <r>
    <x v="135"/>
    <n v="2"/>
    <n v="0"/>
    <n v="0.68"/>
    <s v="A"/>
    <n v="5126"/>
    <n v="1.392586115402614E-2"/>
    <n v="4.6385125506016839E-2"/>
    <s v="A"/>
    <n v="12"/>
    <n v="1.2431155079799796E-3"/>
    <n v="0.52148695559760139"/>
    <s v="A"/>
    <s v="AAA"/>
    <n v="1.3693063937629151"/>
    <s v="Z"/>
    <x v="2"/>
  </r>
  <r>
    <x v="136"/>
    <n v="2"/>
    <n v="0"/>
    <n v="0.57999999999999996"/>
    <s v="A"/>
    <n v="3697"/>
    <n v="1.0043680976674725E-2"/>
    <n v="8.0382048346727561E-2"/>
    <s v="A"/>
    <n v="12"/>
    <n v="1.2431155079799796E-3"/>
    <n v="0.52273007110558134"/>
    <s v="A"/>
    <s v="AAA"/>
    <n v="2.2360679774997894"/>
    <s v="Z"/>
    <x v="2"/>
  </r>
  <r>
    <x v="137"/>
    <n v="2"/>
    <n v="0"/>
    <n v="0.52"/>
    <s v="A"/>
    <n v="2628"/>
    <n v="7.1395167992158986E-3"/>
    <n v="0.13040002324609618"/>
    <s v="A"/>
    <n v="12"/>
    <n v="1.2431155079799796E-3"/>
    <n v="0.52397318661356129"/>
    <s v="A"/>
    <s v="AAA"/>
    <n v="1.3693063937629151"/>
    <s v="Z"/>
    <x v="2"/>
  </r>
  <r>
    <x v="138"/>
    <n v="2"/>
    <n v="0"/>
    <n v="0.55000000000000004"/>
    <s v="A"/>
    <n v="2596"/>
    <n v="7.0525820436698906E-3"/>
    <n v="0.13745260528976608"/>
    <s v="A"/>
    <n v="12"/>
    <n v="1.2431155079799796E-3"/>
    <n v="0.52521630212154125"/>
    <s v="A"/>
    <s v="AAA"/>
    <n v="1.3693063937629151"/>
    <s v="Z"/>
    <x v="2"/>
  </r>
  <r>
    <x v="139"/>
    <n v="2"/>
    <n v="0"/>
    <n v="0.67"/>
    <s v="A"/>
    <n v="2268"/>
    <n v="6.1615007993233092E-3"/>
    <n v="0.16301498231184755"/>
    <s v="A"/>
    <n v="12"/>
    <n v="1.2431155079799796E-3"/>
    <n v="0.5264594176295212"/>
    <s v="A"/>
    <s v="AAA"/>
    <n v="1.3693063937629151"/>
    <s v="Z"/>
    <x v="2"/>
  </r>
  <r>
    <x v="140"/>
    <n v="2"/>
    <n v="0"/>
    <n v="0.67"/>
    <s v="A"/>
    <n v="1842"/>
    <n v="5.004181866117079E-3"/>
    <n v="0.2072919399958737"/>
    <s v="A"/>
    <n v="12"/>
    <n v="1.2431155079799796E-3"/>
    <n v="0.52770253313750115"/>
    <s v="A"/>
    <s v="AAA"/>
    <n v="2.2360679774997894"/>
    <s v="Z"/>
    <x v="2"/>
  </r>
  <r>
    <x v="141"/>
    <n v="2"/>
    <n v="0"/>
    <n v="0.62"/>
    <s v="A"/>
    <n v="1787"/>
    <n v="4.8547627550223783E-3"/>
    <n v="0.21706938328368877"/>
    <s v="A"/>
    <n v="12"/>
    <n v="1.2431155079799796E-3"/>
    <n v="0.5289456486454811"/>
    <s v="A"/>
    <s v="AAA"/>
    <n v="1.3693063937629151"/>
    <s v="Z"/>
    <x v="2"/>
  </r>
  <r>
    <x v="142"/>
    <n v="2"/>
    <n v="0"/>
    <n v="0.65"/>
    <s v="A"/>
    <n v="1764"/>
    <n v="4.7922783994736855E-3"/>
    <n v="0.22186166168316246"/>
    <s v="A"/>
    <n v="12"/>
    <n v="1.2431155079799796E-3"/>
    <n v="0.53018876415346106"/>
    <s v="A"/>
    <s v="AAA"/>
    <n v="2.2360679774997894"/>
    <s v="Z"/>
    <x v="2"/>
  </r>
  <r>
    <x v="143"/>
    <n v="2"/>
    <n v="0"/>
    <n v="0.6"/>
    <s v="A"/>
    <n v="1746"/>
    <n v="4.7433775994790558E-3"/>
    <n v="0.23135928372656381"/>
    <s v="A"/>
    <n v="12"/>
    <n v="1.2431155079799796E-3"/>
    <n v="0.53143187966144101"/>
    <s v="A"/>
    <s v="AAA"/>
    <n v="1.3693063937629151"/>
    <s v="Z"/>
    <x v="2"/>
  </r>
  <r>
    <x v="144"/>
    <n v="2"/>
    <n v="0"/>
    <n v="0.68"/>
    <s v="A"/>
    <n v="1724"/>
    <n v="4.6836099550411755E-3"/>
    <n v="0.24073465376997857"/>
    <s v="A"/>
    <n v="12"/>
    <n v="1.2431155079799796E-3"/>
    <n v="0.53267499516942096"/>
    <s v="A"/>
    <s v="AAA"/>
    <n v="2.2360679774997894"/>
    <s v="Z"/>
    <x v="2"/>
  </r>
  <r>
    <x v="145"/>
    <n v="2"/>
    <n v="0"/>
    <n v="0.61"/>
    <s v="A"/>
    <n v="1570"/>
    <n v="4.2652364439760126E-3"/>
    <n v="0.26278891456755649"/>
    <s v="A"/>
    <n v="12"/>
    <n v="1.2431155079799796E-3"/>
    <n v="0.53391811067740091"/>
    <s v="A"/>
    <s v="AAA"/>
    <n v="1.3693063937629151"/>
    <s v="Z"/>
    <x v="2"/>
  </r>
  <r>
    <x v="146"/>
    <n v="2"/>
    <n v="0"/>
    <n v="0.64"/>
    <s v="A"/>
    <n v="1463"/>
    <n v="3.9745483551190484E-3"/>
    <n v="0.2998529653585747"/>
    <s v="A"/>
    <n v="12"/>
    <n v="1.2431155079799796E-3"/>
    <n v="0.53516122618538087"/>
    <s v="A"/>
    <s v="AAA"/>
    <n v="2.2360679774997894"/>
    <s v="Z"/>
    <x v="2"/>
  </r>
  <r>
    <x v="147"/>
    <n v="2"/>
    <n v="0"/>
    <n v="0.66"/>
    <s v="A"/>
    <n v="1440"/>
    <n v="3.9120639995703557E-3"/>
    <n v="0.30770697717993434"/>
    <s v="A"/>
    <n v="12"/>
    <n v="1.2431155079799796E-3"/>
    <n v="0.53640434169336082"/>
    <s v="A"/>
    <s v="AAA"/>
    <n v="1.3693063937629151"/>
    <s v="Z"/>
    <x v="2"/>
  </r>
  <r>
    <x v="148"/>
    <n v="2"/>
    <n v="0"/>
    <n v="0.68"/>
    <s v="A"/>
    <n v="1429"/>
    <n v="3.8821801773514151E-3"/>
    <n v="0.31158915735728576"/>
    <s v="A"/>
    <n v="12"/>
    <n v="1.2431155079799796E-3"/>
    <n v="0.53764745720134077"/>
    <s v="A"/>
    <s v="AAA"/>
    <n v="1.3693063937629151"/>
    <s v="Z"/>
    <x v="2"/>
  </r>
  <r>
    <x v="149"/>
    <n v="2"/>
    <n v="0"/>
    <n v="0.64"/>
    <s v="A"/>
    <n v="1356"/>
    <n v="3.6838602662620846E-3"/>
    <n v="0.32653650188897754"/>
    <s v="A"/>
    <n v="12"/>
    <n v="1.2431155079799796E-3"/>
    <n v="0.53889057270932073"/>
    <s v="A"/>
    <s v="AAA"/>
    <n v="1.3693063937629151"/>
    <s v="Z"/>
    <x v="2"/>
  </r>
  <r>
    <x v="150"/>
    <n v="2"/>
    <n v="0"/>
    <n v="0.56000000000000005"/>
    <s v="A"/>
    <n v="1314"/>
    <n v="3.5697583996079493E-3"/>
    <n v="0.33735987895445552"/>
    <s v="A"/>
    <n v="12"/>
    <n v="1.2431155079799796E-3"/>
    <n v="0.54013368821730068"/>
    <s v="A"/>
    <s v="AAA"/>
    <n v="2.2360679774997894"/>
    <s v="Z"/>
    <x v="2"/>
  </r>
  <r>
    <x v="151"/>
    <n v="2"/>
    <n v="0"/>
    <n v="0.57999999999999996"/>
    <s v="A"/>
    <n v="1280"/>
    <n v="3.477390221840316E-3"/>
    <n v="0.34083726917629581"/>
    <s v="A"/>
    <n v="12"/>
    <n v="1.2431155079799796E-3"/>
    <n v="0.54137680372528063"/>
    <s v="A"/>
    <s v="AAA"/>
    <n v="1.3693063937629151"/>
    <s v="Z"/>
    <x v="2"/>
  </r>
  <r>
    <x v="152"/>
    <n v="2"/>
    <n v="0"/>
    <n v="0.62"/>
    <s v="A"/>
    <n v="1198"/>
    <n v="3.2546199107536707E-3"/>
    <n v="0.36766207468446083"/>
    <s v="A"/>
    <n v="12"/>
    <n v="1.2431155079799796E-3"/>
    <n v="0.54261991923326058"/>
    <s v="A"/>
    <s v="AAA"/>
    <n v="2.2360679774997894"/>
    <s v="Z"/>
    <x v="2"/>
  </r>
  <r>
    <x v="153"/>
    <n v="2"/>
    <n v="0"/>
    <n v="0.56000000000000005"/>
    <s v="A"/>
    <n v="1160"/>
    <n v="3.1513848885427864E-3"/>
    <n v="0.3708134595730036"/>
    <s v="A"/>
    <n v="12"/>
    <n v="1.2431155079799796E-3"/>
    <n v="0.54386303474124054"/>
    <s v="A"/>
    <s v="AAA"/>
    <n v="2.2360679774997894"/>
    <s v="Z"/>
    <x v="2"/>
  </r>
  <r>
    <x v="154"/>
    <n v="2"/>
    <n v="0"/>
    <n v="0.56000000000000005"/>
    <s v="A"/>
    <n v="1114"/>
    <n v="3.0264161774454E-3"/>
    <n v="0.39550564685918066"/>
    <s v="A"/>
    <n v="12"/>
    <n v="1.2431155079799796E-3"/>
    <n v="0.54510615024922049"/>
    <s v="A"/>
    <s v="AAA"/>
    <n v="1.3693063937629151"/>
    <s v="Z"/>
    <x v="2"/>
  </r>
  <r>
    <x v="155"/>
    <n v="2"/>
    <n v="0"/>
    <n v="0.59"/>
    <s v="A"/>
    <n v="998"/>
    <n v="2.7112776885911214E-3"/>
    <n v="0.43006945669539981"/>
    <s v="A"/>
    <n v="12"/>
    <n v="1.2431155079799796E-3"/>
    <n v="0.54634926575720044"/>
    <s v="A"/>
    <s v="AAA"/>
    <n v="2.2360679774997894"/>
    <s v="Z"/>
    <x v="2"/>
  </r>
  <r>
    <x v="156"/>
    <n v="2"/>
    <n v="0"/>
    <n v="0.56000000000000005"/>
    <s v="A"/>
    <n v="986"/>
    <n v="2.6786771552613684E-3"/>
    <n v="0.44084184109332786"/>
    <s v="A"/>
    <n v="12"/>
    <n v="1.2431155079799796E-3"/>
    <n v="0.54759238126518039"/>
    <s v="A"/>
    <s v="AAA"/>
    <n v="1.3693063937629151"/>
    <s v="Z"/>
    <x v="2"/>
  </r>
  <r>
    <x v="157"/>
    <n v="2"/>
    <n v="0"/>
    <n v="0.56999999999999995"/>
    <s v="A"/>
    <n v="952"/>
    <n v="2.5863089774937347E-3"/>
    <n v="0.44602260918164777"/>
    <s v="A"/>
    <n v="12"/>
    <n v="1.2431155079799796E-3"/>
    <n v="0.54883549677316035"/>
    <s v="A"/>
    <s v="AAA"/>
    <n v="1.3693063937629151"/>
    <s v="Z"/>
    <x v="2"/>
  </r>
  <r>
    <x v="158"/>
    <n v="2"/>
    <n v="0"/>
    <n v="0.62"/>
    <s v="A"/>
    <n v="949"/>
    <n v="2.5781588441612965E-3"/>
    <n v="0.44860076802580906"/>
    <s v="A"/>
    <n v="12"/>
    <n v="1.2431155079799796E-3"/>
    <n v="0.5500786122811403"/>
    <s v="A"/>
    <s v="AAA"/>
    <n v="1.3693063937629151"/>
    <s v="Z"/>
    <x v="2"/>
  </r>
  <r>
    <x v="159"/>
    <n v="2"/>
    <n v="0"/>
    <n v="0.55000000000000004"/>
    <s v="A"/>
    <n v="846"/>
    <n v="2.2983375997475838E-3"/>
    <n v="0.480325162022325"/>
    <s v="A"/>
    <n v="12"/>
    <n v="1.2431155079799796E-3"/>
    <n v="0.55132172778912025"/>
    <s v="A"/>
    <s v="AAA"/>
    <n v="1.3693063937629151"/>
    <s v="Z"/>
    <x v="2"/>
  </r>
  <r>
    <x v="160"/>
    <n v="2"/>
    <n v="0"/>
    <n v="0.53"/>
    <s v="A"/>
    <n v="831"/>
    <n v="2.2575869330853926E-3"/>
    <n v="0.48485120273293902"/>
    <s v="A"/>
    <n v="12"/>
    <n v="1.2431155079799796E-3"/>
    <n v="0.55256484329710021"/>
    <s v="A"/>
    <s v="AAA"/>
    <n v="1.3693063937629151"/>
    <s v="Z"/>
    <x v="2"/>
  </r>
  <r>
    <x v="161"/>
    <n v="2"/>
    <n v="0"/>
    <n v="0.54"/>
    <s v="A"/>
    <n v="798"/>
    <n v="2.1679354664285717E-3"/>
    <n v="0.49147997784332209"/>
    <s v="A"/>
    <n v="12"/>
    <n v="1.2431155079799796E-3"/>
    <n v="0.55380795880508016"/>
    <s v="A"/>
    <s v="AAA"/>
    <n v="2.2360679774997894"/>
    <s v="Z"/>
    <x v="2"/>
  </r>
  <r>
    <x v="162"/>
    <n v="2"/>
    <n v="0"/>
    <n v="0.62"/>
    <s v="A"/>
    <n v="749"/>
    <n v="2.0348166219987473E-3"/>
    <n v="0.51045892164199802"/>
    <s v="A"/>
    <n v="12"/>
    <n v="1.2431155079799796E-3"/>
    <n v="0.55505107431306011"/>
    <s v="A"/>
    <s v="AAA"/>
    <n v="1.3693063937629151"/>
    <s v="Z"/>
    <x v="2"/>
  </r>
  <r>
    <x v="163"/>
    <n v="2"/>
    <n v="0"/>
    <n v="0.63"/>
    <s v="A"/>
    <n v="730"/>
    <n v="1.9831991108933051E-3"/>
    <n v="0.51845420244111995"/>
    <s v="A"/>
    <n v="12"/>
    <n v="1.2431155079799796E-3"/>
    <n v="0.55629418982104006"/>
    <s v="A"/>
    <s v="AAA"/>
    <n v="1.3693063937629151"/>
    <s v="Z"/>
    <x v="2"/>
  </r>
  <r>
    <x v="164"/>
    <n v="2"/>
    <n v="0"/>
    <n v="0.59"/>
    <s v="A"/>
    <n v="717"/>
    <n v="1.9478818664527395E-3"/>
    <n v="0.53606664061147691"/>
    <s v="A"/>
    <n v="12"/>
    <n v="1.2431155079799796E-3"/>
    <n v="0.55753730532902002"/>
    <s v="A"/>
    <s v="AAA"/>
    <n v="1.3693063937629151"/>
    <s v="Z"/>
    <x v="2"/>
  </r>
  <r>
    <x v="165"/>
    <n v="2"/>
    <n v="0"/>
    <n v="0.67"/>
    <s v="A"/>
    <n v="702"/>
    <n v="1.9071311997905481E-3"/>
    <n v="0.54183150158862159"/>
    <s v="A"/>
    <n v="12"/>
    <n v="1.2431155079799796E-3"/>
    <n v="0.55878042083699997"/>
    <s v="A"/>
    <s v="AAA"/>
    <n v="1.3693063937629151"/>
    <s v="Z"/>
    <x v="2"/>
  </r>
  <r>
    <x v="166"/>
    <n v="2"/>
    <n v="0"/>
    <n v="0.68"/>
    <s v="A"/>
    <n v="672"/>
    <n v="1.8256298664661658E-3"/>
    <n v="0.55487080936874389"/>
    <s v="A"/>
    <n v="12"/>
    <n v="1.2431155079799796E-3"/>
    <n v="0.56002353634497992"/>
    <s v="A"/>
    <s v="AAA"/>
    <n v="2.2360679774997894"/>
    <s v="Z"/>
    <x v="2"/>
  </r>
  <r>
    <x v="167"/>
    <n v="2"/>
    <n v="0"/>
    <n v="0.63"/>
    <s v="A"/>
    <n v="654"/>
    <n v="1.7767290664715363E-3"/>
    <n v="0.56740571443403387"/>
    <s v="A"/>
    <n v="12"/>
    <n v="1.2431155079799796E-3"/>
    <n v="0.56126665185295987"/>
    <s v="A"/>
    <s v="AAA"/>
    <n v="2.2360679774997894"/>
    <s v="Z"/>
    <x v="2"/>
  </r>
  <r>
    <x v="168"/>
    <n v="2"/>
    <n v="0"/>
    <n v="0.68"/>
    <s v="A"/>
    <n v="606"/>
    <n v="1.6463269331525245E-3"/>
    <n v="0.60692571096302672"/>
    <s v="A"/>
    <n v="12"/>
    <n v="1.2431155079799796E-3"/>
    <n v="0.56250976736093983"/>
    <s v="A"/>
    <s v="AAA"/>
    <n v="1.3693063937629151"/>
    <s v="Z"/>
    <x v="2"/>
  </r>
  <r>
    <x v="169"/>
    <n v="2"/>
    <n v="0"/>
    <n v="0.56999999999999995"/>
    <s v="A"/>
    <n v="591"/>
    <n v="1.6055762664903333E-3"/>
    <n v="0.6166651202952903"/>
    <s v="A"/>
    <n v="12"/>
    <n v="1.2431155079799796E-3"/>
    <n v="0.56375288286891978"/>
    <s v="A"/>
    <s v="AAA"/>
    <n v="1.3693063937629151"/>
    <s v="Z"/>
    <x v="2"/>
  </r>
  <r>
    <x v="170"/>
    <n v="2"/>
    <n v="0"/>
    <n v="0.62"/>
    <s v="A"/>
    <n v="562"/>
    <n v="1.5267916442767637E-3"/>
    <n v="0.63551094527099838"/>
    <s v="A"/>
    <n v="12"/>
    <n v="1.2431155079799796E-3"/>
    <n v="0.56499599837689973"/>
    <s v="A"/>
    <s v="AAA"/>
    <n v="1.3693063937629151"/>
    <s v="Z"/>
    <x v="2"/>
  </r>
  <r>
    <x v="171"/>
    <n v="2"/>
    <n v="0"/>
    <n v="0.56000000000000005"/>
    <s v="A"/>
    <n v="516"/>
    <n v="1.4018229331793774E-3"/>
    <n v="0.65422792049123424"/>
    <s v="A"/>
    <n v="12"/>
    <n v="1.2431155079799796E-3"/>
    <n v="0.56623911388487969"/>
    <s v="A"/>
    <s v="AAA"/>
    <n v="1.3693063937629151"/>
    <s v="Z"/>
    <x v="2"/>
  </r>
  <r>
    <x v="172"/>
    <n v="2"/>
    <n v="0"/>
    <n v="0.53"/>
    <s v="A"/>
    <n v="504"/>
    <n v="1.3692223998496243E-3"/>
    <n v="0.665288556979859"/>
    <s v="A"/>
    <n v="12"/>
    <n v="1.2431155079799796E-3"/>
    <n v="0.56748222939285964"/>
    <s v="A"/>
    <s v="AAA"/>
    <n v="1.3693063937629151"/>
    <s v="Z"/>
    <x v="2"/>
  </r>
  <r>
    <x v="173"/>
    <n v="2"/>
    <n v="0"/>
    <n v="0.64"/>
    <s v="A"/>
    <n v="500"/>
    <n v="1.3583555554063733E-3"/>
    <n v="0.66937992389905088"/>
    <s v="A"/>
    <n v="12"/>
    <n v="1.2431155079799796E-3"/>
    <n v="0.56872534490083959"/>
    <s v="A"/>
    <s v="AAA"/>
    <n v="1.3693063937629151"/>
    <s v="Z"/>
    <x v="2"/>
  </r>
  <r>
    <x v="174"/>
    <n v="2"/>
    <n v="0"/>
    <n v="0.54"/>
    <s v="A"/>
    <n v="488"/>
    <n v="1.3257550220766203E-3"/>
    <n v="0.68145570478661366"/>
    <s v="A"/>
    <n v="12"/>
    <n v="1.2431155079799796E-3"/>
    <n v="0.56996846040881954"/>
    <s v="A"/>
    <s v="AAA"/>
    <n v="2.2360679774997894"/>
    <s v="Z"/>
    <x v="2"/>
  </r>
  <r>
    <x v="175"/>
    <n v="2"/>
    <n v="0"/>
    <n v="0.66"/>
    <s v="A"/>
    <n v="480"/>
    <n v="1.3040213331901183E-3"/>
    <n v="0.68408004771965869"/>
    <s v="A"/>
    <n v="12"/>
    <n v="1.2431155079799796E-3"/>
    <n v="0.5712115759167995"/>
    <s v="A"/>
    <s v="AAA"/>
    <n v="1.3693063937629151"/>
    <s v="Z"/>
    <x v="2"/>
  </r>
  <r>
    <x v="176"/>
    <n v="2"/>
    <n v="0"/>
    <n v="0.66"/>
    <s v="A"/>
    <n v="475"/>
    <n v="1.2904377776360547E-3"/>
    <n v="0.68666635669715237"/>
    <s v="A"/>
    <n v="12"/>
    <n v="1.2431155079799796E-3"/>
    <n v="0.57245469142477945"/>
    <s v="A"/>
    <s v="AAA"/>
    <n v="1.3693063937629151"/>
    <s v="Z"/>
    <x v="2"/>
  </r>
  <r>
    <x v="177"/>
    <n v="2"/>
    <n v="0"/>
    <n v="0.54"/>
    <s v="A"/>
    <n v="468"/>
    <n v="1.2714207998603655E-3"/>
    <n v="0.69561791980728027"/>
    <s v="A"/>
    <n v="12"/>
    <n v="1.2431155079799796E-3"/>
    <n v="0.5736978069327594"/>
    <s v="A"/>
    <s v="AAA"/>
    <n v="1.3693063937629151"/>
    <s v="Z"/>
    <x v="2"/>
  </r>
  <r>
    <x v="178"/>
    <n v="2"/>
    <n v="0"/>
    <n v="0.62"/>
    <s v="A"/>
    <n v="467"/>
    <n v="1.2687040887495527E-3"/>
    <n v="0.69815804469589016"/>
    <s v="A"/>
    <n v="12"/>
    <n v="1.2431155079799796E-3"/>
    <n v="0.57494092244073935"/>
    <s v="A"/>
    <s v="AAA"/>
    <n v="1.3693063937629151"/>
    <s v="Z"/>
    <x v="2"/>
  </r>
  <r>
    <x v="179"/>
    <n v="2"/>
    <n v="0"/>
    <n v="0.56999999999999995"/>
    <s v="A"/>
    <n v="452"/>
    <n v="1.2279534220873615E-3"/>
    <n v="0.70314864300645319"/>
    <s v="A"/>
    <n v="12"/>
    <n v="1.2431155079799796E-3"/>
    <n v="0.57618403794871931"/>
    <s v="A"/>
    <s v="AAA"/>
    <n v="1.3693063937629151"/>
    <s v="Z"/>
    <x v="2"/>
  </r>
  <r>
    <x v="180"/>
    <n v="2"/>
    <n v="0"/>
    <n v="0.61"/>
    <s v="A"/>
    <n v="450"/>
    <n v="1.222519999865736E-3"/>
    <n v="0.70437116300631897"/>
    <s v="A"/>
    <n v="12"/>
    <n v="1.2431155079799796E-3"/>
    <n v="0.57742715345669926"/>
    <s v="A"/>
    <s v="AAA"/>
    <n v="2.2360679774997894"/>
    <s v="Z"/>
    <x v="2"/>
  </r>
  <r>
    <x v="181"/>
    <n v="2"/>
    <n v="0"/>
    <n v="0.65"/>
    <s v="A"/>
    <n v="439"/>
    <n v="1.1926361776467959E-3"/>
    <n v="0.71891371758249967"/>
    <s v="A"/>
    <n v="12"/>
    <n v="1.2431155079799796E-3"/>
    <n v="0.57867026896467921"/>
    <s v="A"/>
    <s v="AAA"/>
    <n v="1.3693063937629151"/>
    <s v="Z"/>
    <x v="2"/>
  </r>
  <r>
    <x v="182"/>
    <n v="2"/>
    <n v="0"/>
    <n v="0.67"/>
    <s v="A"/>
    <n v="432"/>
    <n v="1.1736191998711065E-3"/>
    <n v="0.72719968647047861"/>
    <s v="A"/>
    <n v="12"/>
    <n v="1.2431155079799796E-3"/>
    <n v="0.57991338447265917"/>
    <s v="A"/>
    <s v="AAA"/>
    <n v="2.2360679774997894"/>
    <s v="Z"/>
    <x v="2"/>
  </r>
  <r>
    <x v="183"/>
    <n v="2"/>
    <n v="0"/>
    <n v="0.59"/>
    <s v="A"/>
    <n v="407"/>
    <n v="1.1057014221007879E-3"/>
    <n v="0.74777333971266369"/>
    <s v="A"/>
    <n v="12"/>
    <n v="1.2431155079799796E-3"/>
    <n v="0.58115649998063912"/>
    <s v="A"/>
    <s v="AAA"/>
    <n v="2.2360679774997894"/>
    <s v="Z"/>
    <x v="2"/>
  </r>
  <r>
    <x v="184"/>
    <n v="2"/>
    <n v="0"/>
    <n v="0.57999999999999996"/>
    <s v="A"/>
    <n v="376"/>
    <n v="1.0214833776655927E-3"/>
    <n v="0.76813780619931604"/>
    <s v="A"/>
    <n v="12"/>
    <n v="1.2431155079799796E-3"/>
    <n v="0.58239961548861907"/>
    <s v="A"/>
    <s v="AAA"/>
    <n v="2.2360679774997894"/>
    <s v="Z"/>
    <x v="2"/>
  </r>
  <r>
    <x v="185"/>
    <n v="2"/>
    <n v="0"/>
    <n v="0.68"/>
    <s v="A"/>
    <n v="376"/>
    <n v="1.0214833776655927E-3"/>
    <n v="0.76915928957698165"/>
    <s v="A"/>
    <n v="12"/>
    <n v="1.2431155079799796E-3"/>
    <n v="0.58364273099659902"/>
    <s v="A"/>
    <s v="AAA"/>
    <n v="2.2360679774997894"/>
    <s v="Z"/>
    <x v="2"/>
  </r>
  <r>
    <x v="186"/>
    <n v="2"/>
    <n v="0"/>
    <n v="0.54"/>
    <s v="A"/>
    <n v="372"/>
    <n v="1.0106165332223417E-3"/>
    <n v="0.77322077268764666"/>
    <s v="A"/>
    <n v="12"/>
    <n v="1.2431155079799796E-3"/>
    <n v="0.58488584650457898"/>
    <s v="A"/>
    <s v="AAA"/>
    <n v="1.3693063937629151"/>
    <s v="Z"/>
    <x v="2"/>
  </r>
  <r>
    <x v="187"/>
    <n v="2"/>
    <n v="0"/>
    <n v="0.54"/>
    <s v="A"/>
    <n v="362"/>
    <n v="9.8344942211421441E-4"/>
    <n v="0.78716544533828692"/>
    <s v="A"/>
    <n v="12"/>
    <n v="1.2431155079799796E-3"/>
    <n v="0.58612896201255893"/>
    <s v="A"/>
    <s v="AAA"/>
    <n v="1.3693063937629151"/>
    <s v="Z"/>
    <x v="2"/>
  </r>
  <r>
    <x v="188"/>
    <n v="2"/>
    <n v="0"/>
    <n v="0.64"/>
    <s v="A"/>
    <n v="358"/>
    <n v="9.725825776709633E-4"/>
    <n v="0.79010221004907555"/>
    <s v="A"/>
    <n v="12"/>
    <n v="1.2431155079799796E-3"/>
    <n v="0.58737207752053888"/>
    <s v="A"/>
    <s v="AAA"/>
    <n v="2.2360679774997894"/>
    <s v="Z"/>
    <x v="2"/>
  </r>
  <r>
    <x v="189"/>
    <n v="2"/>
    <n v="0"/>
    <n v="0.59"/>
    <s v="A"/>
    <n v="355"/>
    <n v="9.6443244433852505E-4"/>
    <n v="0.79203683436530747"/>
    <s v="A"/>
    <n v="12"/>
    <n v="1.2431155079799796E-3"/>
    <n v="0.58861519302851883"/>
    <s v="A"/>
    <s v="AAA"/>
    <n v="2.2360679774997894"/>
    <s v="Z"/>
    <x v="2"/>
  </r>
  <r>
    <x v="190"/>
    <n v="2"/>
    <n v="0"/>
    <n v="0.62"/>
    <s v="A"/>
    <n v="350"/>
    <n v="9.508488887844613E-4"/>
    <n v="0.7987145102756853"/>
    <s v="A"/>
    <n v="12"/>
    <n v="1.2431155079799796E-3"/>
    <n v="0.58985830853649879"/>
    <s v="A"/>
    <s v="AAA"/>
    <n v="2.2360679774997894"/>
    <s v="Z"/>
    <x v="2"/>
  </r>
  <r>
    <x v="191"/>
    <n v="2"/>
    <n v="0"/>
    <n v="0.52"/>
    <s v="A"/>
    <n v="339.58000000000004"/>
    <n v="9.2254075900979264E-4"/>
    <n v="0.80336437867873012"/>
    <s v="B"/>
    <n v="12"/>
    <n v="1.2431155079799796E-3"/>
    <n v="0.59110142404447874"/>
    <s v="A"/>
    <s v="ABA"/>
    <n v="2.2360679774997894"/>
    <s v="Z"/>
    <x v="0"/>
  </r>
  <r>
    <x v="192"/>
    <n v="2"/>
    <n v="0"/>
    <n v="0.63"/>
    <s v="A"/>
    <n v="336"/>
    <n v="9.128149332330829E-4"/>
    <n v="0.80703737210054882"/>
    <s v="B"/>
    <n v="12"/>
    <n v="1.2431155079799796E-3"/>
    <n v="0.59234453955245869"/>
    <s v="A"/>
    <s v="ABA"/>
    <n v="1.3693063937629151"/>
    <s v="Z"/>
    <x v="0"/>
  </r>
  <r>
    <x v="193"/>
    <n v="2"/>
    <n v="0"/>
    <n v="0.65"/>
    <s v="A"/>
    <n v="336"/>
    <n v="9.128149332330829E-4"/>
    <n v="0.80795018703378185"/>
    <s v="B"/>
    <n v="12"/>
    <n v="1.2431155079799796E-3"/>
    <n v="0.59358765506043865"/>
    <s v="A"/>
    <s v="ABA"/>
    <n v="2.2360679774997894"/>
    <s v="Z"/>
    <x v="0"/>
  </r>
  <r>
    <x v="194"/>
    <n v="2"/>
    <n v="0"/>
    <n v="0.66"/>
    <s v="A"/>
    <n v="316"/>
    <n v="8.58480711016828E-4"/>
    <n v="0.81853069012595292"/>
    <s v="B"/>
    <n v="12"/>
    <n v="1.2431155079799796E-3"/>
    <n v="0.5948307705684186"/>
    <s v="A"/>
    <s v="ABA"/>
    <n v="2.2360679774997894"/>
    <s v="Z"/>
    <x v="0"/>
  </r>
  <r>
    <x v="195"/>
    <n v="2"/>
    <n v="0"/>
    <n v="0.63"/>
    <s v="A"/>
    <n v="307"/>
    <n v="8.3403031101951324E-4"/>
    <n v="0.8252667753252132"/>
    <s v="B"/>
    <n v="12"/>
    <n v="1.2431155079799796E-3"/>
    <n v="0.59607388607639855"/>
    <s v="A"/>
    <s v="ABA"/>
    <n v="1.3693063937629151"/>
    <s v="Z"/>
    <x v="0"/>
  </r>
  <r>
    <x v="196"/>
    <n v="2"/>
    <n v="0"/>
    <n v="0.67"/>
    <s v="A"/>
    <n v="306"/>
    <n v="8.3131359990870049E-4"/>
    <n v="0.82693211923614141"/>
    <s v="B"/>
    <n v="12"/>
    <n v="1.2431155079799796E-3"/>
    <n v="0.5973170015843785"/>
    <s v="A"/>
    <s v="ABA"/>
    <n v="1.3693063937629151"/>
    <s v="Z"/>
    <x v="0"/>
  </r>
  <r>
    <x v="197"/>
    <n v="2"/>
    <n v="0"/>
    <n v="0.6"/>
    <s v="A"/>
    <n v="292"/>
    <n v="7.9327964435732209E-4"/>
    <n v="0.83831304692289144"/>
    <s v="B"/>
    <n v="12"/>
    <n v="1.2431155079799796E-3"/>
    <n v="0.59856011709235846"/>
    <s v="A"/>
    <s v="ABA"/>
    <n v="2.2360679774997894"/>
    <s v="Z"/>
    <x v="0"/>
  </r>
  <r>
    <x v="198"/>
    <n v="2"/>
    <n v="0"/>
    <n v="0.6"/>
    <s v="A"/>
    <n v="290"/>
    <n v="7.8784622213569659E-4"/>
    <n v="0.83989145607827365"/>
    <s v="B"/>
    <n v="12"/>
    <n v="1.2431155079799796E-3"/>
    <n v="0.59980323260033841"/>
    <s v="A"/>
    <s v="ABA"/>
    <n v="2.2360679774997894"/>
    <s v="Z"/>
    <x v="0"/>
  </r>
  <r>
    <x v="199"/>
    <n v="2"/>
    <n v="0"/>
    <n v="0.61"/>
    <s v="A"/>
    <n v="286"/>
    <n v="7.7697937769244559E-4"/>
    <n v="0.84301839056681915"/>
    <s v="B"/>
    <n v="12"/>
    <n v="1.2431155079799796E-3"/>
    <n v="0.60104634810831836"/>
    <s v="A"/>
    <s v="ABA"/>
    <n v="2.2360679774997894"/>
    <s v="Z"/>
    <x v="0"/>
  </r>
  <r>
    <x v="200"/>
    <n v="2"/>
    <n v="0"/>
    <n v="0.61"/>
    <s v="A"/>
    <n v="286"/>
    <n v="7.7697937769244559E-4"/>
    <n v="0.84379536994451165"/>
    <s v="B"/>
    <n v="12"/>
    <n v="1.2431155079799796E-3"/>
    <n v="0.60228946361629832"/>
    <s v="A"/>
    <s v="ABA"/>
    <n v="1.3693063937629151"/>
    <s v="Z"/>
    <x v="0"/>
  </r>
  <r>
    <x v="201"/>
    <n v="2"/>
    <n v="0"/>
    <n v="0.54"/>
    <s v="A"/>
    <n v="282"/>
    <n v="7.6611253324919458E-4"/>
    <n v="0.84766124985519831"/>
    <s v="B"/>
    <n v="12"/>
    <n v="1.2431155079799796E-3"/>
    <n v="0.60353257912427827"/>
    <s v="A"/>
    <s v="ABA"/>
    <n v="1.3693063937629151"/>
    <s v="Z"/>
    <x v="0"/>
  </r>
  <r>
    <x v="202"/>
    <n v="2"/>
    <n v="0"/>
    <n v="0.57999999999999996"/>
    <s v="A"/>
    <n v="274"/>
    <n v="7.4437884436269258E-4"/>
    <n v="0.85597438585428542"/>
    <s v="B"/>
    <n v="12"/>
    <n v="1.2431155079799796E-3"/>
    <n v="0.60477569463225822"/>
    <s v="A"/>
    <s v="ABA"/>
    <n v="2.2360679774997894"/>
    <s v="Z"/>
    <x v="0"/>
  </r>
  <r>
    <x v="203"/>
    <n v="2"/>
    <n v="0"/>
    <n v="0.53"/>
    <s v="A"/>
    <n v="270"/>
    <n v="7.3351199991944158E-4"/>
    <n v="0.86336384011277922"/>
    <s v="B"/>
    <n v="12"/>
    <n v="1.2431155079799796E-3"/>
    <n v="0.60601881014023817"/>
    <s v="A"/>
    <s v="ABA"/>
    <n v="2.2360679774997894"/>
    <s v="Z"/>
    <x v="0"/>
  </r>
  <r>
    <x v="204"/>
    <n v="2"/>
    <n v="0"/>
    <n v="0.59"/>
    <s v="A"/>
    <n v="268"/>
    <n v="7.2807857769781608E-4"/>
    <n v="0.86775676197896345"/>
    <s v="B"/>
    <n v="12"/>
    <n v="1.2431155079799796E-3"/>
    <n v="0.60726192564821813"/>
    <s v="A"/>
    <s v="ABA"/>
    <n v="2.2360679774997894"/>
    <s v="Z"/>
    <x v="0"/>
  </r>
  <r>
    <x v="205"/>
    <n v="2"/>
    <n v="0"/>
    <n v="0.6"/>
    <s v="A"/>
    <n v="264"/>
    <n v="7.1721173325456518E-4"/>
    <n v="0.87135097077856871"/>
    <s v="B"/>
    <n v="12"/>
    <n v="1.2431155079799796E-3"/>
    <n v="0.60850504115619808"/>
    <s v="A"/>
    <s v="ABA"/>
    <n v="2.2360679774997894"/>
    <s v="Z"/>
    <x v="0"/>
  </r>
  <r>
    <x v="206"/>
    <n v="2"/>
    <n v="0"/>
    <n v="0.66"/>
    <s v="A"/>
    <n v="254"/>
    <n v="6.9004462214643768E-4"/>
    <n v="0.87552329570255494"/>
    <s v="B"/>
    <n v="12"/>
    <n v="1.2431155079799796E-3"/>
    <n v="0.60974815666417803"/>
    <s v="A"/>
    <s v="ABA"/>
    <n v="2.2360679774997894"/>
    <s v="Z"/>
    <x v="0"/>
  </r>
  <r>
    <x v="207"/>
    <n v="2"/>
    <n v="0"/>
    <n v="0.55000000000000004"/>
    <s v="A"/>
    <n v="249"/>
    <n v="6.7646106659237392E-4"/>
    <n v="0.87963639632432533"/>
    <s v="B"/>
    <n v="12"/>
    <n v="1.2431155079799796E-3"/>
    <n v="0.61099127217215798"/>
    <s v="A"/>
    <s v="ABA"/>
    <n v="1.3693063937629151"/>
    <s v="Z"/>
    <x v="0"/>
  </r>
  <r>
    <x v="208"/>
    <n v="2"/>
    <n v="0"/>
    <n v="0.66"/>
    <s v="A"/>
    <n v="212"/>
    <n v="5.7594275549230226E-4"/>
    <n v="0.90449973641048342"/>
    <s v="B"/>
    <n v="12"/>
    <n v="1.2431155079799796E-3"/>
    <n v="0.61223438768013794"/>
    <s v="A"/>
    <s v="ABA"/>
    <n v="1.3693063937629151"/>
    <s v="Z"/>
    <x v="0"/>
  </r>
  <r>
    <x v="209"/>
    <n v="2"/>
    <n v="0"/>
    <n v="0.61"/>
    <s v="A"/>
    <n v="210"/>
    <n v="5.7050933327067676E-4"/>
    <n v="0.90678449045467679"/>
    <s v="B"/>
    <n v="12"/>
    <n v="1.2431155079799796E-3"/>
    <n v="0.61347750318811789"/>
    <s v="A"/>
    <s v="ABA"/>
    <n v="1.3693063937629151"/>
    <s v="Z"/>
    <x v="0"/>
  </r>
  <r>
    <x v="210"/>
    <n v="2"/>
    <n v="0"/>
    <n v="0.63"/>
    <s v="A"/>
    <n v="206"/>
    <n v="5.5964248882742586E-4"/>
    <n v="0.90903664396554051"/>
    <s v="B"/>
    <n v="12"/>
    <n v="1.2431155079799796E-3"/>
    <n v="0.61472061869609784"/>
    <s v="A"/>
    <s v="ABA"/>
    <n v="2.2360679774997894"/>
    <s v="Z"/>
    <x v="0"/>
  </r>
  <r>
    <x v="211"/>
    <n v="2"/>
    <n v="0"/>
    <n v="0.56999999999999995"/>
    <s v="A"/>
    <n v="200"/>
    <n v="5.4334222216254936E-4"/>
    <n v="0.91180497258745874"/>
    <s v="B"/>
    <n v="12"/>
    <n v="1.2431155079799796E-3"/>
    <n v="0.6159637342040778"/>
    <s v="A"/>
    <s v="ABA"/>
    <n v="2.2360679774997894"/>
    <s v="Z"/>
    <x v="0"/>
  </r>
  <r>
    <x v="212"/>
    <n v="2"/>
    <n v="0"/>
    <n v="0.68"/>
    <s v="A"/>
    <n v="199"/>
    <n v="5.4062551105173661E-4"/>
    <n v="0.91288894032067303"/>
    <s v="B"/>
    <n v="12"/>
    <n v="1.2431155079799796E-3"/>
    <n v="0.61720684971205775"/>
    <s v="A"/>
    <s v="ABA"/>
    <n v="1.3693063937629151"/>
    <s v="Z"/>
    <x v="0"/>
  </r>
  <r>
    <x v="213"/>
    <n v="2"/>
    <n v="0"/>
    <n v="0.55000000000000004"/>
    <s v="A"/>
    <n v="192"/>
    <n v="5.2160853327604736E-4"/>
    <n v="0.91553230023149401"/>
    <s v="B"/>
    <n v="12"/>
    <n v="1.2431155079799796E-3"/>
    <n v="0.6184499652200377"/>
    <s v="A"/>
    <s v="ABA"/>
    <n v="2.2360679774997894"/>
    <s v="Z"/>
    <x v="0"/>
  </r>
  <r>
    <x v="214"/>
    <n v="2"/>
    <n v="0"/>
    <n v="0.65"/>
    <s v="A"/>
    <n v="192"/>
    <n v="5.2160853327604736E-4"/>
    <n v="0.91605390876477011"/>
    <s v="B"/>
    <n v="12"/>
    <n v="1.2431155079799796E-3"/>
    <n v="0.61969308072801765"/>
    <s v="A"/>
    <s v="ABA"/>
    <n v="2.2360679774997894"/>
    <s v="Z"/>
    <x v="0"/>
  </r>
  <r>
    <x v="215"/>
    <n v="2"/>
    <n v="0"/>
    <n v="0.54"/>
    <s v="A"/>
    <n v="190"/>
    <n v="5.1617511105442185E-4"/>
    <n v="0.9170916924091006"/>
    <s v="B"/>
    <n v="12"/>
    <n v="1.2431155079799796E-3"/>
    <n v="0.62093619623599761"/>
    <s v="A"/>
    <s v="ABA"/>
    <n v="1.3693063937629151"/>
    <s v="Z"/>
    <x v="0"/>
  </r>
  <r>
    <x v="216"/>
    <n v="2"/>
    <n v="0"/>
    <n v="0.61"/>
    <s v="A"/>
    <n v="186"/>
    <n v="5.0530826661117085E-4"/>
    <n v="0.9196372507199323"/>
    <s v="B"/>
    <n v="12"/>
    <n v="1.2431155079799796E-3"/>
    <n v="0.62217931174397756"/>
    <s v="A"/>
    <s v="ABA"/>
    <n v="2.2360679774997894"/>
    <s v="Z"/>
    <x v="0"/>
  </r>
  <r>
    <x v="217"/>
    <n v="2"/>
    <n v="0"/>
    <n v="0.57999999999999996"/>
    <s v="A"/>
    <n v="178"/>
    <n v="4.835745777246689E-4"/>
    <n v="0.92162316655198828"/>
    <s v="B"/>
    <n v="12"/>
    <n v="1.2431155079799796E-3"/>
    <n v="0.62342242725195751"/>
    <s v="A"/>
    <s v="ABA"/>
    <n v="2.2360679774997894"/>
    <s v="Z"/>
    <x v="0"/>
  </r>
  <r>
    <x v="218"/>
    <n v="2"/>
    <n v="0"/>
    <n v="0.52"/>
    <s v="A"/>
    <n v="168"/>
    <n v="4.5640746661654145E-4"/>
    <n v="0.92869340721787841"/>
    <s v="B"/>
    <n v="12"/>
    <n v="1.2431155079799796E-3"/>
    <n v="0.62466554275993746"/>
    <s v="A"/>
    <s v="ABA"/>
    <n v="2.2360679774997894"/>
    <s v="Z"/>
    <x v="0"/>
  </r>
  <r>
    <x v="219"/>
    <n v="2"/>
    <n v="0"/>
    <n v="0.53"/>
    <s v="A"/>
    <n v="166"/>
    <n v="4.5097404439491595E-4"/>
    <n v="0.93095707958385199"/>
    <s v="B"/>
    <n v="12"/>
    <n v="1.2431155079799796E-3"/>
    <n v="0.62590865826791742"/>
    <s v="A"/>
    <s v="ABA"/>
    <n v="1.3693063937629151"/>
    <s v="Z"/>
    <x v="0"/>
  </r>
  <r>
    <x v="220"/>
    <n v="2"/>
    <n v="0"/>
    <n v="0.65"/>
    <s v="A"/>
    <n v="156"/>
    <n v="4.238069332867885E-4"/>
    <n v="0.93399707931685139"/>
    <s v="B"/>
    <n v="12"/>
    <n v="1.2431155079799796E-3"/>
    <n v="0.62715177377589737"/>
    <s v="A"/>
    <s v="ABA"/>
    <n v="2.2360679774997894"/>
    <s v="Z"/>
    <x v="0"/>
  </r>
  <r>
    <x v="221"/>
    <n v="2"/>
    <n v="0"/>
    <n v="0.63"/>
    <s v="A"/>
    <n v="154"/>
    <n v="4.18373511065163E-4"/>
    <n v="0.93610524713884213"/>
    <s v="B"/>
    <n v="12"/>
    <n v="1.2431155079799796E-3"/>
    <n v="0.62839488928387732"/>
    <s v="A"/>
    <s v="ABA"/>
    <n v="2.2360679774997894"/>
    <s v="Z"/>
    <x v="0"/>
  </r>
  <r>
    <x v="222"/>
    <n v="2"/>
    <n v="0"/>
    <n v="0.55000000000000004"/>
    <s v="A"/>
    <n v="152"/>
    <n v="4.1294008884353749E-4"/>
    <n v="0.93901745278118909"/>
    <s v="B"/>
    <n v="12"/>
    <n v="1.2431155079799796E-3"/>
    <n v="0.62963800479185728"/>
    <s v="A"/>
    <s v="ABA"/>
    <n v="2.2360679774997894"/>
    <s v="Z"/>
    <x v="0"/>
  </r>
  <r>
    <x v="223"/>
    <n v="2"/>
    <n v="0"/>
    <n v="0.56999999999999995"/>
    <s v="A"/>
    <n v="152"/>
    <n v="4.1294008884353749E-4"/>
    <n v="0.9394303928700326"/>
    <s v="B"/>
    <n v="12"/>
    <n v="1.2431155079799796E-3"/>
    <n v="0.63088112029983723"/>
    <s v="A"/>
    <s v="ABA"/>
    <n v="1.3693063937629151"/>
    <s v="Z"/>
    <x v="0"/>
  </r>
  <r>
    <x v="224"/>
    <n v="2"/>
    <n v="0"/>
    <n v="0.6"/>
    <s v="A"/>
    <n v="147"/>
    <n v="3.9935653328947374E-4"/>
    <n v="0.9414489092253665"/>
    <s v="B"/>
    <n v="12"/>
    <n v="1.2431155079799796E-3"/>
    <n v="0.63212423580781718"/>
    <s v="A"/>
    <s v="ABA"/>
    <n v="1.3693063937629151"/>
    <s v="Z"/>
    <x v="0"/>
  </r>
  <r>
    <x v="225"/>
    <n v="2"/>
    <n v="0"/>
    <n v="0.61"/>
    <s v="A"/>
    <n v="144"/>
    <n v="3.9120639995703554E-4"/>
    <n v="0.94302188495852712"/>
    <s v="B"/>
    <n v="12"/>
    <n v="1.2431155079799796E-3"/>
    <n v="0.63336735131579713"/>
    <s v="A"/>
    <s v="ABA"/>
    <n v="2.2360679774997894"/>
    <s v="Z"/>
    <x v="0"/>
  </r>
  <r>
    <x v="226"/>
    <n v="2"/>
    <n v="0"/>
    <n v="0.55000000000000004"/>
    <s v="A"/>
    <n v="140"/>
    <n v="3.8033955551378454E-4"/>
    <n v="0.94532565598049645"/>
    <s v="B"/>
    <n v="12"/>
    <n v="1.2431155079799796E-3"/>
    <n v="0.63461046682377709"/>
    <s v="A"/>
    <s v="ABA"/>
    <n v="2.2360679774997894"/>
    <s v="Z"/>
    <x v="0"/>
  </r>
  <r>
    <x v="227"/>
    <n v="2"/>
    <n v="0"/>
    <n v="0.56999999999999995"/>
    <s v="A"/>
    <n v="140"/>
    <n v="3.8033955551378454E-4"/>
    <n v="0.9457059955360102"/>
    <s v="B"/>
    <n v="12"/>
    <n v="1.2431155079799796E-3"/>
    <n v="0.63585358233175704"/>
    <s v="A"/>
    <s v="ABA"/>
    <n v="1.3693063937629151"/>
    <s v="Z"/>
    <x v="0"/>
  </r>
  <r>
    <x v="228"/>
    <n v="2"/>
    <n v="0"/>
    <n v="0.62"/>
    <s v="A"/>
    <n v="130"/>
    <n v="3.5317244440565709E-4"/>
    <n v="0.95119646869096297"/>
    <s v="C"/>
    <n v="12"/>
    <n v="1.2431155079799796E-3"/>
    <n v="0.63709669783973699"/>
    <s v="A"/>
    <s v="ACA"/>
    <n v="2.2360679774997894"/>
    <s v="Z"/>
    <x v="1"/>
  </r>
  <r>
    <x v="229"/>
    <n v="2"/>
    <n v="0"/>
    <n v="0.53"/>
    <s v="A"/>
    <n v="124"/>
    <n v="3.3687217774078059E-4"/>
    <n v="0.95602276031354405"/>
    <s v="C"/>
    <n v="12"/>
    <n v="1.2431155079799796E-3"/>
    <n v="0.63833981334771694"/>
    <s v="A"/>
    <s v="ACA"/>
    <n v="2.2360679774997894"/>
    <s v="Z"/>
    <x v="1"/>
  </r>
  <r>
    <x v="230"/>
    <n v="2"/>
    <n v="0"/>
    <n v="0.64"/>
    <s v="A"/>
    <n v="114"/>
    <n v="3.0970506663265313E-4"/>
    <n v="0.96283733129679538"/>
    <s v="C"/>
    <n v="12"/>
    <n v="1.2431155079799796E-3"/>
    <n v="0.6395829288556969"/>
    <s v="A"/>
    <s v="ACA"/>
    <n v="2.2360679774997894"/>
    <s v="Z"/>
    <x v="1"/>
  </r>
  <r>
    <x v="231"/>
    <n v="2"/>
    <n v="0"/>
    <n v="0.56000000000000005"/>
    <s v="A"/>
    <n v="108.66"/>
    <n v="2.9519782930091307E-4"/>
    <n v="0.96492229840589971"/>
    <s v="C"/>
    <n v="12"/>
    <n v="1.2431155079799796E-3"/>
    <n v="0.64082604436367685"/>
    <s v="A"/>
    <s v="ACA"/>
    <n v="1.3693063937629151"/>
    <s v="Z"/>
    <x v="1"/>
  </r>
  <r>
    <x v="232"/>
    <n v="2"/>
    <n v="0"/>
    <n v="0.55000000000000004"/>
    <s v="A"/>
    <n v="106"/>
    <n v="2.8797137774615113E-4"/>
    <n v="0.96637791221907332"/>
    <s v="C"/>
    <n v="12"/>
    <n v="1.2431155079799796E-3"/>
    <n v="0.6420691598716568"/>
    <s v="A"/>
    <s v="ACA"/>
    <n v="2.2360679774997894"/>
    <s v="Z"/>
    <x v="1"/>
  </r>
  <r>
    <x v="233"/>
    <n v="2"/>
    <n v="0"/>
    <n v="0.56999999999999995"/>
    <s v="A"/>
    <n v="106"/>
    <n v="2.8797137774615113E-4"/>
    <n v="0.96666588359681949"/>
    <s v="C"/>
    <n v="12"/>
    <n v="1.2431155079799796E-3"/>
    <n v="0.64331227537963676"/>
    <s v="A"/>
    <s v="ACA"/>
    <n v="1.3693063937629151"/>
    <s v="Z"/>
    <x v="1"/>
  </r>
  <r>
    <x v="234"/>
    <n v="2"/>
    <n v="0"/>
    <n v="0.53"/>
    <s v="A"/>
    <n v="102"/>
    <n v="2.7710453330290018E-4"/>
    <n v="0.96920057506320789"/>
    <s v="C"/>
    <n v="12"/>
    <n v="1.2431155079799796E-3"/>
    <n v="0.64455539088761671"/>
    <s v="A"/>
    <s v="ACA"/>
    <n v="2.2360679774997894"/>
    <s v="Z"/>
    <x v="1"/>
  </r>
  <r>
    <x v="235"/>
    <n v="2"/>
    <n v="0"/>
    <n v="0.63"/>
    <s v="A"/>
    <n v="100"/>
    <n v="2.7167111108127468E-4"/>
    <n v="0.97222155781843178"/>
    <s v="C"/>
    <n v="12"/>
    <n v="1.2431155079799796E-3"/>
    <n v="0.64579850639559666"/>
    <s v="A"/>
    <s v="ACA"/>
    <n v="1.3693063937629151"/>
    <s v="Z"/>
    <x v="1"/>
  </r>
  <r>
    <x v="236"/>
    <n v="2"/>
    <n v="0"/>
    <n v="0.56000000000000005"/>
    <s v="A"/>
    <n v="96"/>
    <n v="2.6080426663802368E-4"/>
    <n v="0.97567993106249651"/>
    <s v="C"/>
    <n v="12"/>
    <n v="1.2431155079799796E-3"/>
    <n v="0.64704162190357661"/>
    <s v="A"/>
    <s v="ACA"/>
    <n v="2.2360679774997894"/>
    <s v="Z"/>
    <x v="1"/>
  </r>
  <r>
    <x v="237"/>
    <n v="2"/>
    <n v="0"/>
    <n v="0.67"/>
    <s v="A"/>
    <n v="94.09"/>
    <n v="2.5561534841637133E-4"/>
    <n v="0.97645443823307809"/>
    <s v="C"/>
    <n v="12"/>
    <n v="1.2431155079799796E-3"/>
    <n v="0.64828473741155657"/>
    <s v="A"/>
    <s v="ACA"/>
    <n v="1.3693063937629151"/>
    <s v="Z"/>
    <x v="1"/>
  </r>
  <r>
    <x v="238"/>
    <n v="2"/>
    <n v="0"/>
    <n v="0.56000000000000005"/>
    <s v="A"/>
    <n v="92"/>
    <n v="2.4993742219477268E-4"/>
    <n v="0.97720968392188401"/>
    <s v="C"/>
    <n v="12"/>
    <n v="1.2431155079799796E-3"/>
    <n v="0.64952785291953652"/>
    <s v="A"/>
    <s v="ACA"/>
    <n v="2.2360679774997894"/>
    <s v="Z"/>
    <x v="1"/>
  </r>
  <r>
    <x v="239"/>
    <n v="2"/>
    <n v="0"/>
    <n v="0.59"/>
    <s v="A"/>
    <n v="88"/>
    <n v="2.390705777515217E-4"/>
    <n v="0.97891605017058558"/>
    <s v="C"/>
    <n v="12"/>
    <n v="1.2431155079799796E-3"/>
    <n v="0.65077096842751647"/>
    <s v="A"/>
    <s v="ACA"/>
    <n v="2.2360679774997894"/>
    <s v="Z"/>
    <x v="1"/>
  </r>
  <r>
    <x v="240"/>
    <n v="2"/>
    <n v="0"/>
    <n v="0.67"/>
    <s v="A"/>
    <n v="88"/>
    <n v="2.390705777515217E-4"/>
    <n v="0.9791551207483371"/>
    <s v="C"/>
    <n v="12"/>
    <n v="1.2431155079799796E-3"/>
    <n v="0.65201408393549642"/>
    <s v="A"/>
    <s v="ACA"/>
    <n v="2.2360679774997894"/>
    <s v="Z"/>
    <x v="1"/>
  </r>
  <r>
    <x v="241"/>
    <n v="2"/>
    <n v="0"/>
    <n v="0.61"/>
    <s v="A"/>
    <n v="87"/>
    <n v="2.3635386664070898E-4"/>
    <n v="0.9796305451927293"/>
    <s v="C"/>
    <n v="12"/>
    <n v="1.2431155079799796E-3"/>
    <n v="0.65325719944347638"/>
    <s v="A"/>
    <s v="ACA"/>
    <n v="2.2360679774997894"/>
    <s v="Z"/>
    <x v="1"/>
  </r>
  <r>
    <x v="242"/>
    <n v="2"/>
    <n v="0"/>
    <n v="0.65"/>
    <s v="A"/>
    <n v="86"/>
    <n v="2.3363715552989623E-4"/>
    <n v="0.98057324394818124"/>
    <s v="C"/>
    <n v="12"/>
    <n v="1.2431155079799796E-3"/>
    <n v="0.65450031495145633"/>
    <s v="A"/>
    <s v="ACA"/>
    <n v="2.2360679774997894"/>
    <s v="Z"/>
    <x v="1"/>
  </r>
  <r>
    <x v="243"/>
    <n v="2"/>
    <n v="0"/>
    <n v="0.53"/>
    <s v="A"/>
    <n v="83"/>
    <n v="2.2548702219745797E-4"/>
    <n v="0.98102693470368696"/>
    <s v="C"/>
    <n v="12"/>
    <n v="1.2431155079799796E-3"/>
    <n v="0.65574343045943628"/>
    <s v="A"/>
    <s v="ACA"/>
    <n v="1.3693063937629151"/>
    <s v="Z"/>
    <x v="1"/>
  </r>
  <r>
    <x v="244"/>
    <n v="2"/>
    <n v="0"/>
    <n v="0.53"/>
    <s v="A"/>
    <n v="82"/>
    <n v="2.2277031108664522E-4"/>
    <n v="0.98192616608136607"/>
    <s v="C"/>
    <n v="12"/>
    <n v="1.2431155079799796E-3"/>
    <n v="0.65698654596741624"/>
    <s v="A"/>
    <s v="ACA"/>
    <n v="2.2360679774997894"/>
    <s v="Z"/>
    <x v="1"/>
  </r>
  <r>
    <x v="245"/>
    <n v="2"/>
    <n v="0"/>
    <n v="0.6"/>
    <s v="A"/>
    <n v="82"/>
    <n v="2.2277031108664522E-4"/>
    <n v="0.98214893639245271"/>
    <s v="C"/>
    <n v="12"/>
    <n v="1.2431155079799796E-3"/>
    <n v="0.65822966147539619"/>
    <s v="A"/>
    <s v="ACA"/>
    <n v="2.2360679774997894"/>
    <s v="Z"/>
    <x v="1"/>
  </r>
  <r>
    <x v="246"/>
    <n v="2"/>
    <n v="0"/>
    <n v="0.67"/>
    <s v="A"/>
    <n v="82"/>
    <n v="2.2277031108664522E-4"/>
    <n v="0.98237170670353935"/>
    <s v="C"/>
    <n v="12"/>
    <n v="1.2431155079799796E-3"/>
    <n v="0.65947277698337614"/>
    <s v="A"/>
    <s v="ACA"/>
    <n v="1.3693063937629151"/>
    <s v="Z"/>
    <x v="1"/>
  </r>
  <r>
    <x v="247"/>
    <n v="2"/>
    <n v="0"/>
    <n v="0.54"/>
    <s v="A"/>
    <n v="80"/>
    <n v="2.1733688886501975E-4"/>
    <n v="0.98347197470341841"/>
    <s v="C"/>
    <n v="12"/>
    <n v="1.2431155079799796E-3"/>
    <n v="0.66071589249135609"/>
    <s v="A"/>
    <s v="ACA"/>
    <n v="2.2360679774997894"/>
    <s v="Z"/>
    <x v="1"/>
  </r>
  <r>
    <x v="248"/>
    <n v="2"/>
    <n v="0"/>
    <n v="0.57999999999999996"/>
    <s v="A"/>
    <n v="80"/>
    <n v="2.1733688886501975E-4"/>
    <n v="0.98368931159228346"/>
    <s v="C"/>
    <n v="12"/>
    <n v="1.2431155079799796E-3"/>
    <n v="0.66195900799933605"/>
    <s v="A"/>
    <s v="ACA"/>
    <n v="2.2360679774997894"/>
    <s v="Z"/>
    <x v="1"/>
  </r>
  <r>
    <x v="249"/>
    <n v="2"/>
    <n v="0"/>
    <n v="0.56999999999999995"/>
    <s v="A"/>
    <n v="78"/>
    <n v="2.1190346664339425E-4"/>
    <n v="0.98497159923658695"/>
    <s v="C"/>
    <n v="12"/>
    <n v="1.2431155079799796E-3"/>
    <n v="0.663202123507316"/>
    <s v="A"/>
    <s v="ACA"/>
    <n v="1.3693063937629151"/>
    <s v="Z"/>
    <x v="1"/>
  </r>
  <r>
    <x v="250"/>
    <n v="2"/>
    <n v="0"/>
    <n v="0.65"/>
    <s v="A"/>
    <n v="77"/>
    <n v="2.091867555325815E-4"/>
    <n v="0.9853926894587629"/>
    <s v="C"/>
    <n v="12"/>
    <n v="1.2431155079799796E-3"/>
    <n v="0.66444523901529595"/>
    <s v="A"/>
    <s v="ACA"/>
    <n v="2.2360679774997894"/>
    <s v="Z"/>
    <x v="1"/>
  </r>
  <r>
    <x v="251"/>
    <n v="2"/>
    <n v="0"/>
    <n v="0.57999999999999996"/>
    <s v="A"/>
    <n v="76"/>
    <n v="2.0647004442176875E-4"/>
    <n v="0.98601481630313903"/>
    <s v="C"/>
    <n v="12"/>
    <n v="1.2431155079799796E-3"/>
    <n v="0.6656883545232759"/>
    <s v="A"/>
    <s v="ACA"/>
    <n v="1.3693063937629151"/>
    <s v="Z"/>
    <x v="1"/>
  </r>
  <r>
    <x v="252"/>
    <n v="2"/>
    <n v="0"/>
    <n v="0.55000000000000004"/>
    <s v="A"/>
    <n v="74"/>
    <n v="2.0103662220014325E-4"/>
    <n v="0.98765543814295875"/>
    <s v="C"/>
    <n v="12"/>
    <n v="1.2431155079799796E-3"/>
    <n v="0.66693147003125586"/>
    <s v="A"/>
    <s v="ACA"/>
    <n v="1.3693063937629151"/>
    <s v="Z"/>
    <x v="1"/>
  </r>
  <r>
    <x v="253"/>
    <n v="2"/>
    <n v="0"/>
    <n v="0.65"/>
    <s v="A"/>
    <n v="72"/>
    <n v="1.9560319997851777E-4"/>
    <n v="0.98924335578722877"/>
    <s v="C"/>
    <n v="12"/>
    <n v="1.2431155079799796E-3"/>
    <n v="0.66817458553923581"/>
    <s v="A"/>
    <s v="ACA"/>
    <n v="2.2360679774997894"/>
    <s v="Z"/>
    <x v="1"/>
  </r>
  <r>
    <x v="254"/>
    <n v="2"/>
    <n v="0"/>
    <n v="0.66"/>
    <s v="A"/>
    <n v="66.539999999999992"/>
    <n v="1.8076995731348015E-4"/>
    <n v="0.99055971098886197"/>
    <s v="C"/>
    <n v="12"/>
    <n v="1.2431155079799796E-3"/>
    <n v="0.66941770104721576"/>
    <s v="A"/>
    <s v="ACA"/>
    <n v="2.2360679774997894"/>
    <s v="Z"/>
    <x v="1"/>
  </r>
  <r>
    <x v="255"/>
    <n v="2"/>
    <n v="0"/>
    <n v="0.57999999999999996"/>
    <s v="A"/>
    <n v="64"/>
    <n v="1.7386951109201579E-4"/>
    <n v="0.99197332444826247"/>
    <s v="C"/>
    <n v="12"/>
    <n v="1.2431155079799796E-3"/>
    <n v="0.67066081655519572"/>
    <s v="A"/>
    <s v="ACA"/>
    <n v="2.2360679774997894"/>
    <s v="Z"/>
    <x v="1"/>
  </r>
  <r>
    <x v="256"/>
    <n v="2"/>
    <n v="0"/>
    <n v="0.64"/>
    <s v="A"/>
    <n v="64"/>
    <n v="1.7386951109201579E-4"/>
    <n v="0.99214719395935447"/>
    <s v="C"/>
    <n v="12"/>
    <n v="1.2431155079799796E-3"/>
    <n v="0.67190393206317567"/>
    <s v="A"/>
    <s v="ACA"/>
    <n v="2.2360679774997894"/>
    <s v="Z"/>
    <x v="1"/>
  </r>
  <r>
    <x v="257"/>
    <n v="2"/>
    <n v="0"/>
    <n v="0.56000000000000005"/>
    <s v="A"/>
    <n v="56"/>
    <n v="1.5213582220551382E-4"/>
    <n v="0.99340815542143834"/>
    <s v="C"/>
    <n v="12"/>
    <n v="1.2431155079799796E-3"/>
    <n v="0.67314704757115562"/>
    <s v="A"/>
    <s v="ACA"/>
    <n v="2.2360679774997894"/>
    <s v="Z"/>
    <x v="1"/>
  </r>
  <r>
    <x v="258"/>
    <n v="2"/>
    <n v="0"/>
    <n v="0.6"/>
    <s v="A"/>
    <n v="56"/>
    <n v="1.5213582220551382E-4"/>
    <n v="0.99356029124364387"/>
    <s v="C"/>
    <n v="12"/>
    <n v="1.2431155079799796E-3"/>
    <n v="0.67439016307913557"/>
    <s v="A"/>
    <s v="ACA"/>
    <n v="1.3693063937629151"/>
    <s v="Z"/>
    <x v="1"/>
  </r>
  <r>
    <x v="259"/>
    <n v="2"/>
    <n v="0"/>
    <n v="0.59"/>
    <s v="A"/>
    <n v="50"/>
    <n v="1.3583555554063734E-4"/>
    <n v="0.99514607399200139"/>
    <s v="C"/>
    <n v="12"/>
    <n v="1.2431155079799796E-3"/>
    <n v="0.67563327858711553"/>
    <s v="A"/>
    <s v="ACA"/>
    <n v="1.3693063937629151"/>
    <s v="Z"/>
    <x v="1"/>
  </r>
  <r>
    <x v="260"/>
    <n v="2"/>
    <n v="0"/>
    <n v="0.64"/>
    <s v="A"/>
    <n v="50"/>
    <n v="1.3583555554063734E-4"/>
    <n v="0.99528190954754203"/>
    <s v="C"/>
    <n v="12"/>
    <n v="1.2431155079799796E-3"/>
    <n v="0.67687639409509548"/>
    <s v="A"/>
    <s v="ACA"/>
    <n v="2.2360679774997894"/>
    <s v="Z"/>
    <x v="1"/>
  </r>
  <r>
    <x v="261"/>
    <n v="2"/>
    <n v="0"/>
    <n v="0.66"/>
    <s v="A"/>
    <n v="46"/>
    <n v="1.2496871109738634E-4"/>
    <n v="0.99606703905856686"/>
    <s v="C"/>
    <n v="12"/>
    <n v="1.2431155079799796E-3"/>
    <n v="0.67811950960307543"/>
    <s v="A"/>
    <s v="ACA"/>
    <n v="2.2360679774997894"/>
    <s v="Z"/>
    <x v="1"/>
  </r>
  <r>
    <x v="262"/>
    <n v="2"/>
    <n v="0"/>
    <n v="0.68"/>
    <s v="A"/>
    <n v="44"/>
    <n v="1.1953528887576085E-4"/>
    <n v="0.99667829905849969"/>
    <s v="C"/>
    <n v="12"/>
    <n v="1.2431155079799796E-3"/>
    <n v="0.67936262511105538"/>
    <s v="A"/>
    <s v="ACA"/>
    <n v="2.2360679774997894"/>
    <s v="Z"/>
    <x v="1"/>
  </r>
  <r>
    <x v="263"/>
    <n v="2"/>
    <n v="0"/>
    <n v="0.6"/>
    <s v="A"/>
    <n v="38"/>
    <n v="1.0323502221088437E-4"/>
    <n v="0.99788417105267835"/>
    <s v="C"/>
    <n v="12"/>
    <n v="1.2431155079799796E-3"/>
    <n v="0.68060574061903534"/>
    <s v="A"/>
    <s v="ACA"/>
    <n v="1.3693063937629151"/>
    <s v="Z"/>
    <x v="1"/>
  </r>
  <r>
    <x v="264"/>
    <n v="2"/>
    <n v="0"/>
    <n v="0.64"/>
    <s v="A"/>
    <n v="34"/>
    <n v="9.2368177767633385E-5"/>
    <n v="0.99866115043037074"/>
    <s v="C"/>
    <n v="12"/>
    <n v="1.2431155079799796E-3"/>
    <n v="0.68184885612701529"/>
    <s v="A"/>
    <s v="ACA"/>
    <n v="2.2360679774997894"/>
    <s v="Z"/>
    <x v="1"/>
  </r>
  <r>
    <x v="265"/>
    <n v="2"/>
    <n v="0"/>
    <n v="0.63"/>
    <s v="A"/>
    <n v="32"/>
    <n v="8.6934755546007897E-5"/>
    <n v="0.99874808518591673"/>
    <s v="C"/>
    <n v="12"/>
    <n v="1.2431155079799796E-3"/>
    <n v="0.68309197163499524"/>
    <s v="A"/>
    <s v="ACA"/>
    <n v="2.2360679774997894"/>
    <s v="Z"/>
    <x v="1"/>
  </r>
  <r>
    <x v="266"/>
    <n v="2"/>
    <n v="0"/>
    <n v="0.59"/>
    <s v="A"/>
    <n v="28"/>
    <n v="7.6067911102756908E-5"/>
    <n v="0.99923410480364117"/>
    <s v="C"/>
    <n v="12"/>
    <n v="1.2431155079799796E-3"/>
    <n v="0.6843350871429752"/>
    <s v="A"/>
    <s v="ACA"/>
    <n v="1.3693063937629151"/>
    <s v="Z"/>
    <x v="1"/>
  </r>
  <r>
    <x v="267"/>
    <n v="1.3"/>
    <n v="0"/>
    <n v="0.69"/>
    <s v="A"/>
    <n v="1539.1000000000001"/>
    <n v="4.1812900706518991E-3"/>
    <n v="0.27533600593904506"/>
    <s v="A"/>
    <n v="7.8000000000000007"/>
    <n v="8.0802508018698691E-4"/>
    <n v="0.68514311222316215"/>
    <s v="A"/>
    <s v="AAA"/>
    <n v="1.599741103314263"/>
    <s v="Z"/>
    <x v="2"/>
  </r>
  <r>
    <x v="268"/>
    <n v="1"/>
    <n v="0"/>
    <n v="0.76"/>
    <s v="A"/>
    <n v="4985"/>
    <n v="1.3542804887401543E-2"/>
    <n v="5.9927930393418385E-2"/>
    <s v="A"/>
    <n v="6"/>
    <n v="6.2155775398998981E-4"/>
    <n v="0.68576466997715213"/>
    <s v="A"/>
    <s v="AAA"/>
    <n v="2.2360679774997894"/>
    <s v="Z"/>
    <x v="2"/>
  </r>
  <r>
    <x v="269"/>
    <n v="1"/>
    <n v="0"/>
    <n v="0.89"/>
    <s v="B"/>
    <n v="3832"/>
    <n v="1.0410436976634446E-2"/>
    <n v="7.0338367370052834E-2"/>
    <s v="A"/>
    <n v="6"/>
    <n v="6.2155775398998981E-4"/>
    <n v="0.68638622773114211"/>
    <s v="A"/>
    <s v="BAA"/>
    <n v="2.2360679774997894"/>
    <s v="Z"/>
    <x v="3"/>
  </r>
  <r>
    <x v="270"/>
    <n v="1"/>
    <n v="0"/>
    <n v="0.84"/>
    <s v="B"/>
    <n v="3497"/>
    <n v="9.5003387545121755E-3"/>
    <n v="8.9882387101239733E-2"/>
    <s v="A"/>
    <n v="6"/>
    <n v="6.2155775398998981E-4"/>
    <n v="0.68700778548513208"/>
    <s v="A"/>
    <s v="BAA"/>
    <n v="2.2360679774997894"/>
    <s v="Z"/>
    <x v="3"/>
  </r>
  <r>
    <x v="271"/>
    <n v="1"/>
    <n v="0"/>
    <n v="0.75"/>
    <s v="A"/>
    <n v="3482"/>
    <n v="9.4595880878499839E-3"/>
    <n v="9.9341975189089715E-2"/>
    <s v="A"/>
    <n v="6"/>
    <n v="6.2155775398998981E-4"/>
    <n v="0.68762934323912206"/>
    <s v="A"/>
    <s v="AAA"/>
    <n v="2.2360679774997894"/>
    <s v="Z"/>
    <x v="2"/>
  </r>
  <r>
    <x v="272"/>
    <n v="1"/>
    <n v="0"/>
    <n v="0.84"/>
    <s v="B"/>
    <n v="2642"/>
    <n v="7.1775507547672769E-3"/>
    <n v="0.12326050644688029"/>
    <s v="A"/>
    <n v="6"/>
    <n v="6.2155775398998981E-4"/>
    <n v="0.68825090099311204"/>
    <s v="A"/>
    <s v="BAA"/>
    <n v="2.2360679774997894"/>
    <s v="Z"/>
    <x v="3"/>
  </r>
  <r>
    <x v="273"/>
    <n v="1"/>
    <n v="0"/>
    <n v="0.95"/>
    <s v="B"/>
    <n v="2456"/>
    <n v="6.6722424881561059E-3"/>
    <n v="0.14412484777792217"/>
    <s v="A"/>
    <n v="6"/>
    <n v="6.2155775398998981E-4"/>
    <n v="0.68887245874710201"/>
    <s v="A"/>
    <s v="BAA"/>
    <n v="2.2360679774997894"/>
    <s v="Z"/>
    <x v="3"/>
  </r>
  <r>
    <x v="274"/>
    <n v="1"/>
    <n v="0"/>
    <n v="0.78"/>
    <s v="A"/>
    <n v="2123"/>
    <n v="5.7675776882554616E-3"/>
    <n v="0.18664493555369679"/>
    <s v="A"/>
    <n v="6"/>
    <n v="6.2155775398998981E-4"/>
    <n v="0.68949401650109199"/>
    <s v="A"/>
    <s v="AAA"/>
    <n v="2.2360679774997894"/>
    <s v="Z"/>
    <x v="2"/>
  </r>
  <r>
    <x v="275"/>
    <n v="1"/>
    <n v="0"/>
    <n v="0.95"/>
    <s v="C"/>
    <n v="1971"/>
    <n v="5.3546375994119235E-3"/>
    <n v="0.19199957315310873"/>
    <s v="A"/>
    <n v="6"/>
    <n v="6.2155775398998981E-4"/>
    <n v="0.69011557425508196"/>
    <s v="A"/>
    <s v="CAA"/>
    <n v="2.2360679774997894"/>
    <s v="Z"/>
    <x v="4"/>
  </r>
  <r>
    <x v="276"/>
    <n v="1"/>
    <n v="0"/>
    <n v="0.95"/>
    <s v="C"/>
    <n v="1937"/>
    <n v="5.2622694216442906E-3"/>
    <n v="0.19726184257475302"/>
    <s v="A"/>
    <n v="6"/>
    <n v="6.2155775398998981E-4"/>
    <n v="0.69073713200907194"/>
    <s v="A"/>
    <s v="CAA"/>
    <n v="2.2360679774997894"/>
    <s v="Z"/>
    <x v="4"/>
  </r>
  <r>
    <x v="277"/>
    <n v="1"/>
    <n v="0"/>
    <n v="0.82"/>
    <s v="B"/>
    <n v="1812"/>
    <n v="4.9226805327926967E-3"/>
    <n v="0.21221462052866638"/>
    <s v="A"/>
    <n v="6"/>
    <n v="6.2155775398998981E-4"/>
    <n v="0.69135868976306192"/>
    <s v="A"/>
    <s v="BAA"/>
    <n v="2.2360679774997894"/>
    <s v="Z"/>
    <x v="3"/>
  </r>
  <r>
    <x v="278"/>
    <n v="1"/>
    <n v="0"/>
    <n v="0.71"/>
    <s v="A"/>
    <n v="1750"/>
    <n v="4.7542444439223064E-3"/>
    <n v="0.22661590612708477"/>
    <s v="A"/>
    <n v="6"/>
    <n v="6.2155775398998981E-4"/>
    <n v="0.69198024751705189"/>
    <s v="A"/>
    <s v="AAA"/>
    <n v="2.2360679774997894"/>
    <s v="Z"/>
    <x v="2"/>
  </r>
  <r>
    <x v="279"/>
    <n v="1"/>
    <n v="0"/>
    <n v="0.71"/>
    <s v="A"/>
    <n v="1727"/>
    <n v="4.6917600883736137E-3"/>
    <n v="0.23605104381493741"/>
    <s v="A"/>
    <n v="6"/>
    <n v="6.2155775398998981E-4"/>
    <n v="0.69260180527104187"/>
    <s v="A"/>
    <s v="AAA"/>
    <n v="2.2360679774997894"/>
    <s v="Z"/>
    <x v="2"/>
  </r>
  <r>
    <x v="280"/>
    <n v="1"/>
    <n v="0"/>
    <n v="0.7"/>
    <s v="A"/>
    <n v="1706"/>
    <n v="4.6347091550465458E-3"/>
    <n v="0.24536936292502512"/>
    <s v="A"/>
    <n v="6"/>
    <n v="6.2155775398998981E-4"/>
    <n v="0.69322336302503185"/>
    <s v="A"/>
    <s v="AAA"/>
    <n v="2.2360679774997894"/>
    <s v="Z"/>
    <x v="2"/>
  </r>
  <r>
    <x v="281"/>
    <n v="1"/>
    <n v="0"/>
    <n v="0.8"/>
    <s v="B"/>
    <n v="1522"/>
    <n v="4.1348343106570006E-3"/>
    <n v="0.2877962014487877"/>
    <s v="A"/>
    <n v="6"/>
    <n v="6.2155775398998981E-4"/>
    <n v="0.69384492077902182"/>
    <s v="A"/>
    <s v="BAA"/>
    <n v="2.2360679774997894"/>
    <s v="Z"/>
    <x v="3"/>
  </r>
  <r>
    <x v="282"/>
    <n v="1"/>
    <n v="0"/>
    <n v="0.82"/>
    <s v="B"/>
    <n v="1354"/>
    <n v="3.6784268440404589E-3"/>
    <n v="0.330214928733018"/>
    <s v="A"/>
    <n v="6"/>
    <n v="6.2155775398998981E-4"/>
    <n v="0.6944664785330118"/>
    <s v="A"/>
    <s v="BAA"/>
    <n v="2.2360679774997894"/>
    <s v="Z"/>
    <x v="3"/>
  </r>
  <r>
    <x v="283"/>
    <n v="1"/>
    <n v="0"/>
    <n v="0.94"/>
    <s v="B"/>
    <n v="1316"/>
    <n v="3.5751918218295746E-3"/>
    <n v="0.33379012055484758"/>
    <s v="A"/>
    <n v="6"/>
    <n v="6.2155775398998981E-4"/>
    <n v="0.69508803628700178"/>
    <s v="A"/>
    <s v="BAA"/>
    <n v="2.2360679774997894"/>
    <s v="Z"/>
    <x v="3"/>
  </r>
  <r>
    <x v="284"/>
    <n v="1"/>
    <n v="0"/>
    <n v="0.75"/>
    <s v="A"/>
    <n v="1276"/>
    <n v="3.466523377397065E-3"/>
    <n v="0.34430379255369287"/>
    <s v="A"/>
    <n v="6"/>
    <n v="6.2155775398998981E-4"/>
    <n v="0.69570959404099175"/>
    <s v="A"/>
    <s v="AAA"/>
    <n v="2.2360679774997894"/>
    <s v="Z"/>
    <x v="2"/>
  </r>
  <r>
    <x v="285"/>
    <n v="1"/>
    <n v="0"/>
    <n v="0.97"/>
    <s v="C"/>
    <n v="1258"/>
    <n v="3.4176225774024353E-3"/>
    <n v="0.34772141513109528"/>
    <s v="A"/>
    <n v="6"/>
    <n v="6.2155775398998981E-4"/>
    <n v="0.69633115179498173"/>
    <s v="A"/>
    <s v="CAA"/>
    <n v="2.2360679774997894"/>
    <s v="Z"/>
    <x v="4"/>
  </r>
  <r>
    <x v="286"/>
    <n v="1"/>
    <n v="0"/>
    <n v="0.8"/>
    <s v="B"/>
    <n v="1257"/>
    <n v="3.4149058662916224E-3"/>
    <n v="0.3511363209973869"/>
    <s v="A"/>
    <n v="6"/>
    <n v="6.2155775398998981E-4"/>
    <n v="0.69695270954897171"/>
    <s v="A"/>
    <s v="BAA"/>
    <n v="2.2360679774997894"/>
    <s v="Z"/>
    <x v="3"/>
  </r>
  <r>
    <x v="287"/>
    <n v="1"/>
    <n v="0"/>
    <n v="0.8"/>
    <s v="A"/>
    <n v="1219"/>
    <n v="3.3116708440807381E-3"/>
    <n v="0.35785474757442681"/>
    <s v="A"/>
    <n v="6"/>
    <n v="6.2155775398998981E-4"/>
    <n v="0.69757426730296168"/>
    <s v="A"/>
    <s v="AAA"/>
    <n v="2.2360679774997894"/>
    <s v="Z"/>
    <x v="2"/>
  </r>
  <r>
    <x v="288"/>
    <n v="1"/>
    <n v="0"/>
    <n v="0.96"/>
    <s v="C"/>
    <n v="1206"/>
    <n v="3.2763535996401727E-3"/>
    <n v="0.36440745477370717"/>
    <s v="A"/>
    <n v="6"/>
    <n v="6.2155775398998981E-4"/>
    <n v="0.69819582505695166"/>
    <s v="A"/>
    <s v="CAA"/>
    <n v="2.2360679774997894"/>
    <s v="Z"/>
    <x v="4"/>
  </r>
  <r>
    <x v="289"/>
    <n v="1"/>
    <n v="0"/>
    <n v="0.69"/>
    <s v="A"/>
    <n v="1153"/>
    <n v="3.1323679107670968E-3"/>
    <n v="0.3739458274837707"/>
    <s v="A"/>
    <n v="6"/>
    <n v="6.2155775398998981E-4"/>
    <n v="0.69881738281094163"/>
    <s v="A"/>
    <s v="AAA"/>
    <n v="2.2360679774997894"/>
    <s v="Z"/>
    <x v="2"/>
  </r>
  <r>
    <x v="290"/>
    <n v="1"/>
    <n v="0"/>
    <n v="0.86"/>
    <s v="B"/>
    <n v="1150"/>
    <n v="3.1242177774346586E-3"/>
    <n v="0.37707004526120536"/>
    <s v="A"/>
    <n v="6"/>
    <n v="6.2155775398998981E-4"/>
    <n v="0.69943894056493161"/>
    <s v="A"/>
    <s v="BAA"/>
    <n v="2.2360679774997894"/>
    <s v="Z"/>
    <x v="3"/>
  </r>
  <r>
    <x v="291"/>
    <n v="1"/>
    <n v="0"/>
    <n v="0.92"/>
    <s v="B"/>
    <n v="1147"/>
    <n v="3.1160676441022205E-3"/>
    <n v="0.38018611290530757"/>
    <s v="A"/>
    <n v="6"/>
    <n v="6.2155775398998981E-4"/>
    <n v="0.70006049831892159"/>
    <s v="A"/>
    <s v="BAA"/>
    <n v="2.2360679774997894"/>
    <s v="Z"/>
    <x v="3"/>
  </r>
  <r>
    <x v="292"/>
    <n v="1"/>
    <n v="0"/>
    <n v="0.79"/>
    <s v="A"/>
    <n v="1145"/>
    <n v="3.1106342218805948E-3"/>
    <n v="0.38329674712718814"/>
    <s v="A"/>
    <n v="6"/>
    <n v="6.2155775398998981E-4"/>
    <n v="0.70068205607291156"/>
    <s v="A"/>
    <s v="AAA"/>
    <n v="2.2360679774997894"/>
    <s v="Z"/>
    <x v="2"/>
  </r>
  <r>
    <x v="293"/>
    <n v="1"/>
    <n v="0"/>
    <n v="0.95"/>
    <s v="C"/>
    <n v="1141"/>
    <n v="3.0997673774373442E-3"/>
    <n v="0.38639651450462548"/>
    <s v="A"/>
    <n v="6"/>
    <n v="6.2155775398998981E-4"/>
    <n v="0.70130361382690154"/>
    <s v="A"/>
    <s v="CAA"/>
    <n v="2.2360679774997894"/>
    <s v="Z"/>
    <x v="4"/>
  </r>
  <r>
    <x v="294"/>
    <n v="1"/>
    <n v="0"/>
    <n v="0.94"/>
    <s v="B"/>
    <n v="1124"/>
    <n v="3.0535832885535273E-3"/>
    <n v="0.38945009779317902"/>
    <s v="A"/>
    <n v="6"/>
    <n v="6.2155775398998981E-4"/>
    <n v="0.70192517158089152"/>
    <s v="A"/>
    <s v="BAA"/>
    <n v="2.2360679774997894"/>
    <s v="Z"/>
    <x v="3"/>
  </r>
  <r>
    <x v="295"/>
    <n v="1"/>
    <n v="0"/>
    <n v="0.7"/>
    <s v="A"/>
    <n v="1115"/>
    <n v="3.0291328885562125E-3"/>
    <n v="0.39247923068173524"/>
    <s v="A"/>
    <n v="6"/>
    <n v="6.2155775398998981E-4"/>
    <n v="0.70254672933488149"/>
    <s v="A"/>
    <s v="AAA"/>
    <n v="2.2360679774997894"/>
    <s v="Z"/>
    <x v="2"/>
  </r>
  <r>
    <x v="296"/>
    <n v="1"/>
    <n v="0"/>
    <n v="0.91"/>
    <s v="B"/>
    <n v="1111.0000002199999"/>
    <n v="3.0182660447106379E-3"/>
    <n v="0.39852391290389128"/>
    <s v="A"/>
    <n v="6"/>
    <n v="6.2155775398998981E-4"/>
    <n v="0.70316828708887147"/>
    <s v="A"/>
    <s v="BAA"/>
    <n v="1.4907119896583345"/>
    <s v="Z"/>
    <x v="3"/>
  </r>
  <r>
    <x v="297"/>
    <n v="1"/>
    <n v="0"/>
    <n v="0.94"/>
    <s v="B"/>
    <n v="1111"/>
    <n v="3.0182660441129615E-3"/>
    <n v="0.40154217894800426"/>
    <s v="A"/>
    <n v="6"/>
    <n v="6.2155775398998981E-4"/>
    <n v="0.70378984484286145"/>
    <s v="A"/>
    <s v="BAA"/>
    <n v="2.2360679774997894"/>
    <s v="Z"/>
    <x v="3"/>
  </r>
  <r>
    <x v="298"/>
    <n v="1"/>
    <n v="0"/>
    <n v="0.96"/>
    <s v="C"/>
    <n v="1105"/>
    <n v="3.0019657774480852E-3"/>
    <n v="0.40454414472545236"/>
    <s v="A"/>
    <n v="6"/>
    <n v="6.2155775398998981E-4"/>
    <n v="0.70441140259685142"/>
    <s v="A"/>
    <s v="CAA"/>
    <n v="2.2360679774997894"/>
    <s v="Z"/>
    <x v="4"/>
  </r>
  <r>
    <x v="299"/>
    <n v="1"/>
    <n v="0"/>
    <n v="0.96"/>
    <s v="C"/>
    <n v="1083"/>
    <n v="2.9421981330102049E-3"/>
    <n v="0.40748634285846258"/>
    <s v="A"/>
    <n v="6"/>
    <n v="6.2155775398998981E-4"/>
    <n v="0.7050329603508414"/>
    <s v="A"/>
    <s v="CAA"/>
    <n v="2.2360679774997894"/>
    <s v="Z"/>
    <x v="4"/>
  </r>
  <r>
    <x v="300"/>
    <n v="1"/>
    <n v="0"/>
    <n v="0.75"/>
    <s v="A"/>
    <n v="1081"/>
    <n v="2.9367647107885792E-3"/>
    <n v="0.41042310756925116"/>
    <s v="A"/>
    <n v="6"/>
    <n v="6.2155775398998981E-4"/>
    <n v="0.70565451810483137"/>
    <s v="A"/>
    <s v="AAA"/>
    <n v="2.2360679774997894"/>
    <s v="Z"/>
    <x v="2"/>
  </r>
  <r>
    <x v="301"/>
    <n v="1"/>
    <n v="0"/>
    <n v="0.79"/>
    <s v="A"/>
    <n v="1047"/>
    <n v="2.8443965330209459E-3"/>
    <n v="0.41617891281357899"/>
    <s v="A"/>
    <n v="6"/>
    <n v="6.2155775398998981E-4"/>
    <n v="0.70627607585882135"/>
    <s v="A"/>
    <s v="AAA"/>
    <n v="2.2360679774997894"/>
    <s v="Z"/>
    <x v="2"/>
  </r>
  <r>
    <x v="302"/>
    <n v="1"/>
    <n v="0"/>
    <n v="0.78"/>
    <s v="A"/>
    <n v="1039"/>
    <n v="2.8226628441344439E-3"/>
    <n v="0.41900157565771345"/>
    <s v="A"/>
    <n v="6"/>
    <n v="6.2155775398998981E-4"/>
    <n v="0.70689763361281133"/>
    <s v="A"/>
    <s v="AAA"/>
    <n v="2.2360679774997894"/>
    <s v="Z"/>
    <x v="2"/>
  </r>
  <r>
    <x v="303"/>
    <n v="1"/>
    <n v="0"/>
    <n v="0.72"/>
    <s v="A"/>
    <n v="1036"/>
    <n v="2.8145127108020057E-3"/>
    <n v="0.42181608836851547"/>
    <s v="A"/>
    <n v="6"/>
    <n v="6.2155775398998981E-4"/>
    <n v="0.7075191913668013"/>
    <s v="A"/>
    <s v="AAA"/>
    <n v="2.2360679774997894"/>
    <s v="Z"/>
    <x v="2"/>
  </r>
  <r>
    <x v="304"/>
    <n v="1"/>
    <n v="0"/>
    <n v="0.84"/>
    <s v="B"/>
    <n v="1018"/>
    <n v="2.765611910807376E-3"/>
    <n v="0.42735817900680867"/>
    <s v="A"/>
    <n v="6"/>
    <n v="6.2155775398998981E-4"/>
    <n v="0.70814074912079128"/>
    <s v="A"/>
    <s v="BAA"/>
    <n v="2.2360679774997894"/>
    <s v="Z"/>
    <x v="3"/>
  </r>
  <r>
    <x v="305"/>
    <n v="1"/>
    <n v="0"/>
    <n v="0.9"/>
    <s v="B"/>
    <n v="996.23"/>
    <n v="2.7064691099249827E-3"/>
    <n v="0.43277592580532481"/>
    <s v="A"/>
    <n v="6"/>
    <n v="6.2155775398998981E-4"/>
    <n v="0.70876230687478126"/>
    <s v="A"/>
    <s v="BAA"/>
    <n v="2.2360679774997894"/>
    <s v="Z"/>
    <x v="3"/>
  </r>
  <r>
    <x v="306"/>
    <n v="1"/>
    <n v="0"/>
    <n v="0.7"/>
    <s v="A"/>
    <n v="987"/>
    <n v="2.6813938663721808E-3"/>
    <n v="0.43816316393806648"/>
    <s v="A"/>
    <n v="6"/>
    <n v="6.2155775398998981E-4"/>
    <n v="0.70938386462877123"/>
    <s v="A"/>
    <s v="AAA"/>
    <n v="2.2360679774997894"/>
    <s v="Z"/>
    <x v="2"/>
  </r>
  <r>
    <x v="307"/>
    <n v="1"/>
    <n v="0"/>
    <n v="0.85"/>
    <s v="B"/>
    <n v="955"/>
    <n v="2.5944591108261732E-3"/>
    <n v="0.44343630020415403"/>
    <s v="A"/>
    <n v="6"/>
    <n v="6.2155775398998981E-4"/>
    <n v="0.71000542238276121"/>
    <s v="A"/>
    <s v="BAA"/>
    <n v="2.2360679774997894"/>
    <s v="Z"/>
    <x v="3"/>
  </r>
  <r>
    <x v="308"/>
    <n v="1"/>
    <n v="0"/>
    <n v="0.93"/>
    <s v="B"/>
    <n v="948"/>
    <n v="2.5754421330504837E-3"/>
    <n v="0.45117621015885956"/>
    <s v="A"/>
    <n v="6"/>
    <n v="6.2155775398998981E-4"/>
    <n v="0.71062698013675119"/>
    <s v="A"/>
    <s v="BAA"/>
    <n v="2.2360679774997894"/>
    <s v="Z"/>
    <x v="3"/>
  </r>
  <r>
    <x v="309"/>
    <n v="1"/>
    <n v="0"/>
    <n v="0.7"/>
    <s v="A"/>
    <n v="935"/>
    <n v="2.5401248886099182E-3"/>
    <n v="0.4537163350474695"/>
    <s v="A"/>
    <n v="6"/>
    <n v="6.2155775398998981E-4"/>
    <n v="0.71124853789074116"/>
    <s v="A"/>
    <s v="AAA"/>
    <n v="2.2360679774997894"/>
    <s v="Z"/>
    <x v="2"/>
  </r>
  <r>
    <x v="310"/>
    <n v="1"/>
    <n v="0"/>
    <n v="0.75"/>
    <s v="A"/>
    <n v="935"/>
    <n v="2.5401248886099182E-3"/>
    <n v="0.45625645993607944"/>
    <s v="A"/>
    <n v="6"/>
    <n v="6.2155775398998981E-4"/>
    <n v="0.71187009564473114"/>
    <s v="A"/>
    <s v="AAA"/>
    <n v="2.2360679774997894"/>
    <s v="Z"/>
    <x v="2"/>
  </r>
  <r>
    <x v="311"/>
    <n v="1"/>
    <n v="0"/>
    <n v="0.9"/>
    <s v="B"/>
    <n v="928"/>
    <n v="2.5211079108342291E-3"/>
    <n v="0.45877756784691365"/>
    <s v="A"/>
    <n v="6"/>
    <n v="6.2155775398998981E-4"/>
    <n v="0.71249165339872111"/>
    <s v="A"/>
    <s v="BAA"/>
    <n v="2.2360679774997894"/>
    <s v="Z"/>
    <x v="3"/>
  </r>
  <r>
    <x v="312"/>
    <n v="1"/>
    <n v="0"/>
    <n v="0.98"/>
    <s v="C"/>
    <n v="907"/>
    <n v="2.4640569775071612E-3"/>
    <n v="0.46124162482442083"/>
    <s v="A"/>
    <n v="6"/>
    <n v="6.2155775398998981E-4"/>
    <n v="0.71311321115271109"/>
    <s v="A"/>
    <s v="CAA"/>
    <n v="2.2360679774997894"/>
    <s v="Z"/>
    <x v="4"/>
  </r>
  <r>
    <x v="313"/>
    <n v="1"/>
    <n v="0"/>
    <n v="0.73"/>
    <s v="A"/>
    <n v="901"/>
    <n v="2.4477567108422849E-3"/>
    <n v="0.46368938153526312"/>
    <s v="A"/>
    <n v="6"/>
    <n v="6.2155775398998981E-4"/>
    <n v="0.71373476890670107"/>
    <s v="A"/>
    <s v="AAA"/>
    <n v="2.2360679774997894"/>
    <s v="Z"/>
    <x v="2"/>
  </r>
  <r>
    <x v="314"/>
    <n v="1"/>
    <n v="0"/>
    <n v="0.82"/>
    <s v="B"/>
    <n v="899"/>
    <n v="2.4423232886206592E-3"/>
    <n v="0.46613170482388377"/>
    <s v="A"/>
    <n v="6"/>
    <n v="6.2155775398998981E-4"/>
    <n v="0.71435632666069104"/>
    <s v="A"/>
    <s v="BAA"/>
    <n v="2.2360679774997894"/>
    <s v="Z"/>
    <x v="3"/>
  </r>
  <r>
    <x v="315"/>
    <n v="1"/>
    <n v="0"/>
    <n v="0.9"/>
    <s v="B"/>
    <n v="869"/>
    <n v="2.3608219552962769E-3"/>
    <n v="0.47568773615616766"/>
    <s v="A"/>
    <n v="6"/>
    <n v="6.2155775398998981E-4"/>
    <n v="0.71497788441468102"/>
    <s v="A"/>
    <s v="BAA"/>
    <n v="2.2360679774997894"/>
    <s v="Z"/>
    <x v="3"/>
  </r>
  <r>
    <x v="316"/>
    <n v="1"/>
    <n v="0"/>
    <n v="0.85"/>
    <s v="B"/>
    <n v="861"/>
    <n v="2.3390882664097749E-3"/>
    <n v="0.47802682442257743"/>
    <s v="A"/>
    <n v="6"/>
    <n v="6.2155775398998981E-4"/>
    <n v="0.715599442168671"/>
    <s v="A"/>
    <s v="BAA"/>
    <n v="2.2360679774997894"/>
    <s v="Z"/>
    <x v="3"/>
  </r>
  <r>
    <x v="317"/>
    <n v="1"/>
    <n v="0"/>
    <n v="0.84"/>
    <s v="B"/>
    <n v="835"/>
    <n v="2.2684537775286436E-3"/>
    <n v="0.48259361579985366"/>
    <s v="A"/>
    <n v="6"/>
    <n v="6.2155775398998981E-4"/>
    <n v="0.71622099992266097"/>
    <s v="A"/>
    <s v="BAA"/>
    <n v="2.2360679774997894"/>
    <s v="Z"/>
    <x v="3"/>
  </r>
  <r>
    <x v="318"/>
    <n v="1"/>
    <n v="0"/>
    <n v="0.8"/>
    <s v="B"/>
    <n v="824"/>
    <n v="2.2385699553097035E-3"/>
    <n v="0.48708977268824871"/>
    <s v="A"/>
    <n v="6"/>
    <n v="6.2155775398998981E-4"/>
    <n v="0.71684255767665095"/>
    <s v="A"/>
    <s v="BAA"/>
    <n v="2.2360679774997894"/>
    <s v="Z"/>
    <x v="3"/>
  </r>
  <r>
    <x v="319"/>
    <n v="1"/>
    <n v="0"/>
    <n v="0.86"/>
    <s v="B"/>
    <n v="818"/>
    <n v="2.2222696886448267E-3"/>
    <n v="0.48931204237689352"/>
    <s v="A"/>
    <n v="6"/>
    <n v="6.2155775398998981E-4"/>
    <n v="0.71746411543064093"/>
    <s v="A"/>
    <s v="BAA"/>
    <n v="2.2360679774997894"/>
    <s v="Z"/>
    <x v="3"/>
  </r>
  <r>
    <x v="320"/>
    <n v="1"/>
    <n v="0"/>
    <n v="0.87"/>
    <s v="B"/>
    <n v="798"/>
    <n v="2.1679354664285717E-3"/>
    <n v="0.49364791330975066"/>
    <s v="A"/>
    <n v="6"/>
    <n v="6.2155775398998981E-4"/>
    <n v="0.7180856731846309"/>
    <s v="A"/>
    <s v="BAA"/>
    <n v="2.2360679774997894"/>
    <s v="Z"/>
    <x v="3"/>
  </r>
  <r>
    <x v="321"/>
    <n v="1"/>
    <n v="0"/>
    <n v="0.88"/>
    <s v="B"/>
    <n v="788"/>
    <n v="2.1407683553204444E-3"/>
    <n v="0.49793488342115116"/>
    <s v="A"/>
    <n v="6"/>
    <n v="6.2155775398998981E-4"/>
    <n v="0.71870723093862088"/>
    <s v="A"/>
    <s v="BAA"/>
    <n v="2.2360679774997894"/>
    <s v="Z"/>
    <x v="3"/>
  </r>
  <r>
    <x v="322"/>
    <n v="1"/>
    <n v="0"/>
    <n v="0.89"/>
    <s v="B"/>
    <n v="782"/>
    <n v="2.1244680886555677E-3"/>
    <n v="0.50005935150980674"/>
    <s v="A"/>
    <n v="6"/>
    <n v="6.2155775398998981E-4"/>
    <n v="0.71932878869261085"/>
    <s v="A"/>
    <s v="BAA"/>
    <n v="2.2360679774997894"/>
    <s v="Z"/>
    <x v="3"/>
  </r>
  <r>
    <x v="323"/>
    <n v="1"/>
    <n v="0"/>
    <n v="0.77"/>
    <s v="A"/>
    <n v="781"/>
    <n v="2.1217513775447553E-3"/>
    <n v="0.50218110288735152"/>
    <s v="A"/>
    <n v="6"/>
    <n v="6.2155775398998981E-4"/>
    <n v="0.71995034644660083"/>
    <s v="A"/>
    <s v="AAA"/>
    <n v="2.2360679774997894"/>
    <s v="Z"/>
    <x v="2"/>
  </r>
  <r>
    <x v="324"/>
    <n v="1"/>
    <n v="0"/>
    <n v="0.75"/>
    <s v="A"/>
    <n v="773"/>
    <n v="2.1000176886582533E-3"/>
    <n v="0.50428112057600982"/>
    <s v="A"/>
    <n v="6"/>
    <n v="6.2155775398998981E-4"/>
    <n v="0.72057190420059081"/>
    <s v="A"/>
    <s v="AAA"/>
    <n v="2.2360679774997894"/>
    <s v="Z"/>
    <x v="2"/>
  </r>
  <r>
    <x v="325"/>
    <n v="1"/>
    <n v="0"/>
    <n v="0.74"/>
    <s v="A"/>
    <n v="766"/>
    <n v="2.0810007108825641E-3"/>
    <n v="0.5063621212868924"/>
    <s v="A"/>
    <n v="6"/>
    <n v="6.2155775398998981E-4"/>
    <n v="0.72119346195458078"/>
    <s v="A"/>
    <s v="AAA"/>
    <n v="2.2360679774997894"/>
    <s v="Z"/>
    <x v="2"/>
  </r>
  <r>
    <x v="326"/>
    <n v="1"/>
    <n v="0"/>
    <n v="0.91"/>
    <s v="B"/>
    <n v="759"/>
    <n v="2.0619837331068746E-3"/>
    <n v="0.50842410501999924"/>
    <s v="A"/>
    <n v="6"/>
    <n v="6.2155775398998981E-4"/>
    <n v="0.72181501970857076"/>
    <s v="A"/>
    <s v="BAA"/>
    <n v="2.2360679774997894"/>
    <s v="Z"/>
    <x v="3"/>
  </r>
  <r>
    <x v="327"/>
    <n v="1"/>
    <n v="0"/>
    <n v="0.9"/>
    <s v="B"/>
    <n v="742"/>
    <n v="2.0157996442230581E-3"/>
    <n v="0.51247472128622107"/>
    <s v="A"/>
    <n v="6"/>
    <n v="6.2155775398998981E-4"/>
    <n v="0.72243657746256074"/>
    <s v="A"/>
    <s v="BAA"/>
    <n v="2.2360679774997894"/>
    <s v="Z"/>
    <x v="3"/>
  </r>
  <r>
    <x v="328"/>
    <n v="1"/>
    <n v="0"/>
    <n v="0.77"/>
    <s v="A"/>
    <n v="731"/>
    <n v="1.985915822004118E-3"/>
    <n v="0.51647100333022666"/>
    <s v="A"/>
    <n v="6"/>
    <n v="6.2155775398998981E-4"/>
    <n v="0.72305813521655071"/>
    <s v="A"/>
    <s v="AAA"/>
    <n v="2.2360679774997894"/>
    <s v="Z"/>
    <x v="2"/>
  </r>
  <r>
    <x v="329"/>
    <n v="1"/>
    <n v="0"/>
    <n v="0.81"/>
    <s v="B"/>
    <n v="726"/>
    <n v="1.9723322664500541E-3"/>
    <n v="0.52042653470757005"/>
    <s v="A"/>
    <n v="6"/>
    <n v="6.2155775398998981E-4"/>
    <n v="0.72367969297054069"/>
    <s v="A"/>
    <s v="BAA"/>
    <n v="2.2360679774997894"/>
    <s v="Z"/>
    <x v="3"/>
  </r>
  <r>
    <x v="330"/>
    <n v="1"/>
    <n v="0"/>
    <n v="0.9"/>
    <s v="B"/>
    <n v="726"/>
    <n v="1.9723322664500541E-3"/>
    <n v="0.52239886697402016"/>
    <s v="A"/>
    <n v="6"/>
    <n v="6.2155775398998981E-4"/>
    <n v="0.72430125072453067"/>
    <s v="A"/>
    <s v="BAA"/>
    <n v="2.2360679774997894"/>
    <s v="Z"/>
    <x v="3"/>
  </r>
  <r>
    <x v="331"/>
    <n v="1"/>
    <n v="0"/>
    <n v="0.92"/>
    <s v="B"/>
    <n v="722"/>
    <n v="1.9614654220068031E-3"/>
    <n v="0.52436033239602697"/>
    <s v="A"/>
    <n v="6"/>
    <n v="6.2155775398998981E-4"/>
    <n v="0.72492280847852064"/>
    <s v="A"/>
    <s v="BAA"/>
    <n v="2.2360679774997894"/>
    <s v="Z"/>
    <x v="3"/>
  </r>
  <r>
    <x v="332"/>
    <n v="1"/>
    <n v="0"/>
    <n v="0.88"/>
    <s v="B"/>
    <n v="719"/>
    <n v="1.953315288674365E-3"/>
    <n v="0.52826967968448657"/>
    <s v="A"/>
    <n v="6"/>
    <n v="6.2155775398998981E-4"/>
    <n v="0.72554436623251062"/>
    <s v="A"/>
    <s v="BAA"/>
    <n v="2.2360679774997894"/>
    <s v="Z"/>
    <x v="3"/>
  </r>
  <r>
    <x v="333"/>
    <n v="1"/>
    <n v="0"/>
    <n v="0.95"/>
    <s v="C"/>
    <n v="719"/>
    <n v="1.953315288674365E-3"/>
    <n v="0.53022299497316094"/>
    <s v="A"/>
    <n v="6"/>
    <n v="6.2155775398998981E-4"/>
    <n v="0.72616592398650059"/>
    <s v="A"/>
    <s v="CAA"/>
    <n v="2.2360679774997894"/>
    <s v="Z"/>
    <x v="4"/>
  </r>
  <r>
    <x v="334"/>
    <n v="1"/>
    <n v="0"/>
    <n v="0.94"/>
    <s v="B"/>
    <n v="714"/>
    <n v="1.9397317331203011E-3"/>
    <n v="0.53800637234459725"/>
    <s v="A"/>
    <n v="6"/>
    <n v="6.2155775398998981E-4"/>
    <n v="0.72678748174049057"/>
    <s v="A"/>
    <s v="BAA"/>
    <n v="2.2360679774997894"/>
    <s v="Z"/>
    <x v="3"/>
  </r>
  <r>
    <x v="335"/>
    <n v="1"/>
    <n v="0"/>
    <n v="0.98"/>
    <s v="C"/>
    <n v="702"/>
    <n v="1.9071311997905481E-3"/>
    <n v="0.54373863278841217"/>
    <s v="A"/>
    <n v="6"/>
    <n v="6.2155775398998981E-4"/>
    <n v="0.72740903949448055"/>
    <s v="A"/>
    <s v="CAA"/>
    <n v="2.2360679774997894"/>
    <s v="Z"/>
    <x v="4"/>
  </r>
  <r>
    <x v="336"/>
    <n v="1"/>
    <n v="0"/>
    <n v="0.84"/>
    <s v="B"/>
    <n v="698"/>
    <n v="1.8962643553472971E-3"/>
    <n v="0.54563489714375946"/>
    <s v="A"/>
    <n v="6"/>
    <n v="6.2155775398998981E-4"/>
    <n v="0.72803059724847052"/>
    <s v="A"/>
    <s v="BAA"/>
    <n v="2.2360679774997894"/>
    <s v="Z"/>
    <x v="3"/>
  </r>
  <r>
    <x v="337"/>
    <n v="1"/>
    <n v="0"/>
    <n v="0.81"/>
    <s v="B"/>
    <n v="693"/>
    <n v="1.8826807997932335E-3"/>
    <n v="0.54751757794355271"/>
    <s v="A"/>
    <n v="6"/>
    <n v="6.2155775398998981E-4"/>
    <n v="0.7286521550024605"/>
    <s v="A"/>
    <s v="BAA"/>
    <n v="2.2360679774997894"/>
    <s v="Z"/>
    <x v="3"/>
  </r>
  <r>
    <x v="338"/>
    <n v="1"/>
    <n v="0"/>
    <n v="0.88"/>
    <s v="B"/>
    <n v="678"/>
    <n v="1.8419301331310423E-3"/>
    <n v="0.55120777723937209"/>
    <s v="A"/>
    <n v="6"/>
    <n v="6.2155775398998981E-4"/>
    <n v="0.72927371275645048"/>
    <s v="A"/>
    <s v="BAA"/>
    <n v="2.2360679774997894"/>
    <s v="Z"/>
    <x v="3"/>
  </r>
  <r>
    <x v="339"/>
    <n v="1"/>
    <n v="0"/>
    <n v="0.69"/>
    <s v="A"/>
    <n v="668"/>
    <n v="1.8147630220229148E-3"/>
    <n v="0.55668557239076677"/>
    <s v="A"/>
    <n v="6"/>
    <n v="6.2155775398998981E-4"/>
    <n v="0.72989527051044045"/>
    <s v="A"/>
    <s v="AAA"/>
    <n v="2.2360679774997894"/>
    <s v="Z"/>
    <x v="2"/>
  </r>
  <r>
    <x v="340"/>
    <n v="1"/>
    <n v="0"/>
    <n v="0.74"/>
    <s v="A"/>
    <n v="659"/>
    <n v="1.7903126220256001E-3"/>
    <n v="0.55847588501279233"/>
    <s v="A"/>
    <n v="6"/>
    <n v="6.2155775398998981E-4"/>
    <n v="0.73051682826443043"/>
    <s v="A"/>
    <s v="AAA"/>
    <n v="2.2360679774997894"/>
    <s v="Z"/>
    <x v="2"/>
  </r>
  <r>
    <x v="341"/>
    <n v="1"/>
    <n v="0"/>
    <n v="0.84"/>
    <s v="B"/>
    <n v="659"/>
    <n v="1.7903126220256001E-3"/>
    <n v="0.56026619763481789"/>
    <s v="A"/>
    <n v="6"/>
    <n v="6.2155775398998981E-4"/>
    <n v="0.73113838601842041"/>
    <s v="A"/>
    <s v="BAA"/>
    <n v="2.2360679774997894"/>
    <s v="Z"/>
    <x v="3"/>
  </r>
  <r>
    <x v="342"/>
    <n v="1"/>
    <n v="0"/>
    <n v="0.73"/>
    <s v="A"/>
    <n v="658"/>
    <n v="1.7875959109147873E-3"/>
    <n v="0.56205379354573271"/>
    <s v="A"/>
    <n v="6"/>
    <n v="6.2155775398998981E-4"/>
    <n v="0.73175994377241038"/>
    <s v="A"/>
    <s v="AAA"/>
    <n v="2.2360679774997894"/>
    <s v="Z"/>
    <x v="2"/>
  </r>
  <r>
    <x v="343"/>
    <n v="1"/>
    <n v="0"/>
    <n v="0.91"/>
    <s v="B"/>
    <n v="658"/>
    <n v="1.7875959109147873E-3"/>
    <n v="0.56384138945664752"/>
    <s v="A"/>
    <n v="6"/>
    <n v="6.2155775398998981E-4"/>
    <n v="0.73238150152640036"/>
    <s v="A"/>
    <s v="BAA"/>
    <n v="2.2360679774997894"/>
    <s v="Z"/>
    <x v="3"/>
  </r>
  <r>
    <x v="344"/>
    <n v="1"/>
    <n v="0"/>
    <n v="0.99"/>
    <s v="C"/>
    <n v="658"/>
    <n v="1.7875959109147873E-3"/>
    <n v="0.56562898536756234"/>
    <s v="A"/>
    <n v="6"/>
    <n v="6.2155775398998981E-4"/>
    <n v="0.73300305928039033"/>
    <s v="A"/>
    <s v="CAA"/>
    <n v="2.2360679774997894"/>
    <s v="Z"/>
    <x v="4"/>
  </r>
  <r>
    <x v="345"/>
    <n v="1"/>
    <n v="0"/>
    <n v="0.76"/>
    <s v="A"/>
    <n v="654"/>
    <n v="1.7767290664715363E-3"/>
    <n v="0.5691824435005054"/>
    <s v="A"/>
    <n v="6"/>
    <n v="6.2155775398998981E-4"/>
    <n v="0.73362461703438031"/>
    <s v="A"/>
    <s v="AAA"/>
    <n v="2.2360679774997894"/>
    <s v="Z"/>
    <x v="2"/>
  </r>
  <r>
    <x v="346"/>
    <n v="1"/>
    <n v="0"/>
    <n v="0.73"/>
    <s v="A"/>
    <n v="653"/>
    <n v="1.7740123553607236E-3"/>
    <n v="0.57095645585586607"/>
    <s v="A"/>
    <n v="6"/>
    <n v="6.2155775398998981E-4"/>
    <n v="0.73424617478837029"/>
    <s v="A"/>
    <s v="AAA"/>
    <n v="2.2360679774997894"/>
    <s v="Z"/>
    <x v="2"/>
  </r>
  <r>
    <x v="347"/>
    <n v="1"/>
    <n v="0"/>
    <n v="0.77"/>
    <s v="A"/>
    <n v="653"/>
    <n v="1.7740123553607236E-3"/>
    <n v="0.57273046821122675"/>
    <s v="A"/>
    <n v="6"/>
    <n v="6.2155775398998981E-4"/>
    <n v="0.73486773254236026"/>
    <s v="A"/>
    <s v="AAA"/>
    <n v="2.2360679774997894"/>
    <s v="Z"/>
    <x v="2"/>
  </r>
  <r>
    <x v="348"/>
    <n v="1"/>
    <n v="0"/>
    <n v="0.69"/>
    <s v="A"/>
    <n v="652"/>
    <n v="1.7712956442499108E-3"/>
    <n v="0.57450176385547669"/>
    <s v="A"/>
    <n v="6"/>
    <n v="6.2155775398998981E-4"/>
    <n v="0.73548929029635024"/>
    <s v="A"/>
    <s v="AAA"/>
    <n v="2.2360679774997894"/>
    <s v="Z"/>
    <x v="2"/>
  </r>
  <r>
    <x v="349"/>
    <n v="1"/>
    <n v="0"/>
    <n v="0.9"/>
    <s v="B"/>
    <n v="651"/>
    <n v="1.7685789331390981E-3"/>
    <n v="0.57627034278861577"/>
    <s v="A"/>
    <n v="6"/>
    <n v="6.2155775398998981E-4"/>
    <n v="0.73611084805034022"/>
    <s v="A"/>
    <s v="BAA"/>
    <n v="2.2360679774997894"/>
    <s v="Z"/>
    <x v="3"/>
  </r>
  <r>
    <x v="350"/>
    <n v="1"/>
    <n v="0"/>
    <n v="0.85"/>
    <s v="B"/>
    <n v="640"/>
    <n v="1.738695110920158E-3"/>
    <n v="0.57976131656601015"/>
    <s v="A"/>
    <n v="6"/>
    <n v="6.2155775398998981E-4"/>
    <n v="0.73673240580433019"/>
    <s v="A"/>
    <s v="BAA"/>
    <n v="2.2360679774997894"/>
    <s v="Z"/>
    <x v="3"/>
  </r>
  <r>
    <x v="351"/>
    <n v="1"/>
    <n v="0"/>
    <n v="0.78"/>
    <s v="A"/>
    <n v="636"/>
    <n v="1.727828266476907E-3"/>
    <n v="0.58148914483248704"/>
    <s v="A"/>
    <n v="6"/>
    <n v="6.2155775398998981E-4"/>
    <n v="0.73735396355832017"/>
    <s v="A"/>
    <s v="AAA"/>
    <n v="2.2360679774997894"/>
    <s v="Z"/>
    <x v="2"/>
  </r>
  <r>
    <x v="352"/>
    <n v="1"/>
    <n v="0"/>
    <n v="0.73"/>
    <s v="A"/>
    <n v="634"/>
    <n v="1.7223948442552815E-3"/>
    <n v="0.58321153967674233"/>
    <s v="A"/>
    <n v="6"/>
    <n v="6.2155775398998981E-4"/>
    <n v="0.73797552131231015"/>
    <s v="A"/>
    <s v="AAA"/>
    <n v="2.2360679774997894"/>
    <s v="Z"/>
    <x v="2"/>
  </r>
  <r>
    <x v="353"/>
    <n v="1"/>
    <n v="0"/>
    <n v="0.75"/>
    <s v="A"/>
    <n v="633"/>
    <n v="1.7196781331444686E-3"/>
    <n v="0.58493121780988677"/>
    <s v="A"/>
    <n v="6"/>
    <n v="6.2155775398998981E-4"/>
    <n v="0.73859707906630012"/>
    <s v="A"/>
    <s v="AAA"/>
    <n v="2.2360679774997894"/>
    <s v="Z"/>
    <x v="2"/>
  </r>
  <r>
    <x v="354"/>
    <n v="1"/>
    <n v="0"/>
    <n v="0.93"/>
    <s v="B"/>
    <n v="632"/>
    <n v="1.716961422033656E-3"/>
    <n v="0.58664817923192047"/>
    <s v="A"/>
    <n v="6"/>
    <n v="6.2155775398998981E-4"/>
    <n v="0.7392186368202901"/>
    <s v="A"/>
    <s v="BAA"/>
    <n v="2.2360679774997894"/>
    <s v="Z"/>
    <x v="3"/>
  </r>
  <r>
    <x v="355"/>
    <n v="1"/>
    <n v="0"/>
    <n v="0.85"/>
    <s v="B"/>
    <n v="631"/>
    <n v="1.7142447109228431E-3"/>
    <n v="0.58836242394284333"/>
    <s v="A"/>
    <n v="6"/>
    <n v="6.2155775398998981E-4"/>
    <n v="0.73984019457428007"/>
    <s v="A"/>
    <s v="BAA"/>
    <n v="2.2360679774997894"/>
    <s v="Z"/>
    <x v="3"/>
  </r>
  <r>
    <x v="356"/>
    <n v="1"/>
    <n v="0"/>
    <n v="0.76"/>
    <s v="A"/>
    <n v="630"/>
    <n v="1.7115279998120305E-3"/>
    <n v="0.59007395194265533"/>
    <s v="A"/>
    <n v="6"/>
    <n v="6.2155775398998981E-4"/>
    <n v="0.74046175232827005"/>
    <s v="A"/>
    <s v="AAA"/>
    <n v="2.2360679774997894"/>
    <s v="Z"/>
    <x v="2"/>
  </r>
  <r>
    <x v="357"/>
    <n v="1"/>
    <n v="0"/>
    <n v="0.81"/>
    <s v="B"/>
    <n v="629"/>
    <n v="1.7088112887012176E-3"/>
    <n v="0.59178276323135659"/>
    <s v="A"/>
    <n v="6"/>
    <n v="6.2155775398998981E-4"/>
    <n v="0.74108331008226003"/>
    <s v="A"/>
    <s v="BAA"/>
    <n v="2.2360679774997894"/>
    <s v="Z"/>
    <x v="3"/>
  </r>
  <r>
    <x v="358"/>
    <n v="1"/>
    <n v="0"/>
    <n v="0.74"/>
    <s v="A"/>
    <n v="628"/>
    <n v="1.706094577590405E-3"/>
    <n v="0.593488857808947"/>
    <s v="A"/>
    <n v="6"/>
    <n v="6.2155775398998981E-4"/>
    <n v="0.74170486783625"/>
    <s v="A"/>
    <s v="AAA"/>
    <n v="2.2360679774997894"/>
    <s v="Z"/>
    <x v="2"/>
  </r>
  <r>
    <x v="359"/>
    <n v="1"/>
    <n v="0"/>
    <n v="0.91"/>
    <s v="B"/>
    <n v="625"/>
    <n v="1.6979444442579666E-3"/>
    <n v="0.59518680225320497"/>
    <s v="A"/>
    <n v="6"/>
    <n v="6.2155775398998981E-4"/>
    <n v="0.74232642559023998"/>
    <s v="A"/>
    <s v="BAA"/>
    <n v="2.2360679774997894"/>
    <s v="Z"/>
    <x v="3"/>
  </r>
  <r>
    <x v="360"/>
    <n v="1"/>
    <n v="0"/>
    <n v="0.7"/>
    <s v="A"/>
    <n v="624"/>
    <n v="1.695227733147154E-3"/>
    <n v="0.59857725771949921"/>
    <s v="A"/>
    <n v="6"/>
    <n v="6.2155775398998981E-4"/>
    <n v="0.74294798334422996"/>
    <s v="A"/>
    <s v="AAA"/>
    <n v="2.2360679774997894"/>
    <s v="Z"/>
    <x v="2"/>
  </r>
  <r>
    <x v="361"/>
    <n v="1"/>
    <n v="0"/>
    <n v="0.82"/>
    <s v="B"/>
    <n v="621"/>
    <n v="1.6870775998147156E-3"/>
    <n v="0.60195141291912857"/>
    <s v="A"/>
    <n v="6"/>
    <n v="6.2155775398998981E-4"/>
    <n v="0.74356954109821993"/>
    <s v="A"/>
    <s v="BAA"/>
    <n v="2.2360679774997894"/>
    <s v="Z"/>
    <x v="3"/>
  </r>
  <r>
    <x v="362"/>
    <n v="1"/>
    <n v="0"/>
    <n v="0.82"/>
    <s v="B"/>
    <n v="614"/>
    <n v="1.6680606220390265E-3"/>
    <n v="0.60361947354116763"/>
    <s v="A"/>
    <n v="6"/>
    <n v="6.2155775398998981E-4"/>
    <n v="0.74419109885220991"/>
    <s v="A"/>
    <s v="BAA"/>
    <n v="2.2360679774997894"/>
    <s v="Z"/>
    <x v="3"/>
  </r>
  <r>
    <x v="363"/>
    <n v="1"/>
    <n v="0"/>
    <n v="0.7"/>
    <s v="A"/>
    <n v="611"/>
    <n v="1.6599104887065883E-3"/>
    <n v="0.60527938402987425"/>
    <s v="A"/>
    <n v="6"/>
    <n v="6.2155775398998981E-4"/>
    <n v="0.74481265660619989"/>
    <s v="A"/>
    <s v="AAA"/>
    <n v="2.2360679774997894"/>
    <s v="Z"/>
    <x v="2"/>
  </r>
  <r>
    <x v="364"/>
    <n v="1"/>
    <n v="0"/>
    <n v="0.78"/>
    <s v="A"/>
    <n v="603"/>
    <n v="1.6381767998200863E-3"/>
    <n v="0.60856388776284676"/>
    <s v="A"/>
    <n v="6"/>
    <n v="6.2155775398998981E-4"/>
    <n v="0.74543421436018986"/>
    <s v="A"/>
    <s v="AAA"/>
    <n v="2.2360679774997894"/>
    <s v="Z"/>
    <x v="2"/>
  </r>
  <r>
    <x v="365"/>
    <n v="1"/>
    <n v="0"/>
    <n v="0.98"/>
    <s v="C"/>
    <n v="601"/>
    <n v="1.6327433775984608E-3"/>
    <n v="0.6101966311404452"/>
    <s v="A"/>
    <n v="6"/>
    <n v="6.2155775398998981E-4"/>
    <n v="0.74605577211417984"/>
    <s v="A"/>
    <s v="CAA"/>
    <n v="2.2360679774997894"/>
    <s v="Z"/>
    <x v="4"/>
  </r>
  <r>
    <x v="366"/>
    <n v="1"/>
    <n v="0"/>
    <n v="0.94"/>
    <s v="B"/>
    <n v="598"/>
    <n v="1.6245932442660225E-3"/>
    <n v="0.6134512510511988"/>
    <s v="A"/>
    <n v="6"/>
    <n v="6.2155775398998981E-4"/>
    <n v="0.74667732986816981"/>
    <s v="A"/>
    <s v="BAA"/>
    <n v="2.2360679774997894"/>
    <s v="Z"/>
    <x v="3"/>
  </r>
  <r>
    <x v="367"/>
    <n v="1"/>
    <n v="0"/>
    <n v="0.82"/>
    <s v="B"/>
    <n v="592"/>
    <n v="1.608292977601146E-3"/>
    <n v="0.61505954402879992"/>
    <s v="A"/>
    <n v="6"/>
    <n v="6.2155775398998981E-4"/>
    <n v="0.74729888762215979"/>
    <s v="A"/>
    <s v="BAA"/>
    <n v="2.2360679774997894"/>
    <s v="Z"/>
    <x v="3"/>
  </r>
  <r>
    <x v="368"/>
    <n v="1"/>
    <n v="0"/>
    <n v="0.89"/>
    <s v="B"/>
    <n v="591"/>
    <n v="1.6055762664903333E-3"/>
    <n v="0.61827069656178069"/>
    <s v="A"/>
    <n v="6"/>
    <n v="6.2155775398998981E-4"/>
    <n v="0.74792044537614977"/>
    <s v="A"/>
    <s v="BAA"/>
    <n v="2.2360679774997894"/>
    <s v="Z"/>
    <x v="3"/>
  </r>
  <r>
    <x v="369"/>
    <n v="1"/>
    <n v="0"/>
    <n v="0.79"/>
    <s v="A"/>
    <n v="589"/>
    <n v="1.6001428442687078E-3"/>
    <n v="0.61987083940604937"/>
    <s v="A"/>
    <n v="6"/>
    <n v="6.2155775398998981E-4"/>
    <n v="0.74854200313013974"/>
    <s v="A"/>
    <s v="AAA"/>
    <n v="2.2360679774997894"/>
    <s v="Z"/>
    <x v="2"/>
  </r>
  <r>
    <x v="370"/>
    <n v="1"/>
    <n v="0"/>
    <n v="0.87"/>
    <s v="B"/>
    <n v="589"/>
    <n v="1.6001428442687078E-3"/>
    <n v="0.62147098225031805"/>
    <s v="A"/>
    <n v="6"/>
    <n v="6.2155775398998981E-4"/>
    <n v="0.74916356088412972"/>
    <s v="A"/>
    <s v="BAA"/>
    <n v="2.2360679774997894"/>
    <s v="Z"/>
    <x v="3"/>
  </r>
  <r>
    <x v="371"/>
    <n v="1"/>
    <n v="0"/>
    <n v="0.69"/>
    <s v="A"/>
    <n v="587"/>
    <n v="1.5947094220470823E-3"/>
    <n v="0.62306569167236514"/>
    <s v="A"/>
    <n v="6"/>
    <n v="6.2155775398998981E-4"/>
    <n v="0.7497851186381197"/>
    <s v="A"/>
    <s v="AAA"/>
    <n v="2.2360679774997894"/>
    <s v="Z"/>
    <x v="2"/>
  </r>
  <r>
    <x v="372"/>
    <n v="1"/>
    <n v="0"/>
    <n v="0.92"/>
    <s v="B"/>
    <n v="585"/>
    <n v="1.5892759998254568E-3"/>
    <n v="0.62624424367201614"/>
    <s v="A"/>
    <n v="6"/>
    <n v="6.2155775398998981E-4"/>
    <n v="0.75040667639210967"/>
    <s v="A"/>
    <s v="BAA"/>
    <n v="2.2360679774997894"/>
    <s v="Z"/>
    <x v="3"/>
  </r>
  <r>
    <x v="373"/>
    <n v="1"/>
    <n v="0"/>
    <n v="0.87"/>
    <s v="B"/>
    <n v="576"/>
    <n v="1.5648255998281422E-3"/>
    <n v="0.62780906927184432"/>
    <s v="A"/>
    <n v="6"/>
    <n v="6.2155775398998981E-4"/>
    <n v="0.75102823414609965"/>
    <s v="A"/>
    <s v="BAA"/>
    <n v="2.2360679774997894"/>
    <s v="Z"/>
    <x v="3"/>
  </r>
  <r>
    <x v="374"/>
    <n v="1"/>
    <n v="0"/>
    <n v="0.91"/>
    <s v="B"/>
    <n v="572"/>
    <n v="1.5539587553848912E-3"/>
    <n v="0.62936302802722921"/>
    <s v="A"/>
    <n v="6"/>
    <n v="6.2155775398998981E-4"/>
    <n v="0.75164979190008963"/>
    <s v="A"/>
    <s v="BAA"/>
    <n v="2.2360679774997894"/>
    <s v="Z"/>
    <x v="3"/>
  </r>
  <r>
    <x v="375"/>
    <n v="1"/>
    <n v="0"/>
    <n v="0.9"/>
    <s v="B"/>
    <n v="571"/>
    <n v="1.5512420442740783E-3"/>
    <n v="0.63091427007150325"/>
    <s v="A"/>
    <n v="6"/>
    <n v="6.2155775398998981E-4"/>
    <n v="0.7522713496540796"/>
    <s v="A"/>
    <s v="BAA"/>
    <n v="2.2360679774997894"/>
    <s v="Z"/>
    <x v="3"/>
  </r>
  <r>
    <x v="376"/>
    <n v="1"/>
    <n v="0"/>
    <n v="0.87"/>
    <s v="B"/>
    <n v="566"/>
    <n v="1.5376584887200147E-3"/>
    <n v="0.63245192856022325"/>
    <s v="A"/>
    <n v="6"/>
    <n v="6.2155775398998981E-4"/>
    <n v="0.75289290740806958"/>
    <s v="A"/>
    <s v="BAA"/>
    <n v="2.2360679774997894"/>
    <s v="Z"/>
    <x v="3"/>
  </r>
  <r>
    <x v="377"/>
    <n v="1"/>
    <n v="0"/>
    <n v="0.79"/>
    <s v="A"/>
    <n v="553"/>
    <n v="1.502341244279449E-3"/>
    <n v="0.63701328651527789"/>
    <s v="A"/>
    <n v="6"/>
    <n v="6.2155775398998981E-4"/>
    <n v="0.75351446516205955"/>
    <s v="A"/>
    <s v="AAA"/>
    <n v="2.2360679774997894"/>
    <s v="Z"/>
    <x v="2"/>
  </r>
  <r>
    <x v="378"/>
    <n v="1"/>
    <n v="0"/>
    <n v="0.96"/>
    <s v="C"/>
    <n v="545"/>
    <n v="1.480607555392947E-3"/>
    <n v="0.63849389407067081"/>
    <s v="A"/>
    <n v="6"/>
    <n v="6.2155775398998981E-4"/>
    <n v="0.75413602291604953"/>
    <s v="A"/>
    <s v="CAA"/>
    <n v="2.2360679774997894"/>
    <s v="Z"/>
    <x v="4"/>
  </r>
  <r>
    <x v="379"/>
    <n v="1"/>
    <n v="0"/>
    <n v="0.85"/>
    <s v="B"/>
    <n v="538"/>
    <n v="1.4615905776172577E-3"/>
    <n v="0.63995548464828811"/>
    <s v="A"/>
    <n v="6"/>
    <n v="6.2155775398998981E-4"/>
    <n v="0.75475758067003951"/>
    <s v="A"/>
    <s v="BAA"/>
    <n v="2.2360679774997894"/>
    <s v="Z"/>
    <x v="3"/>
  </r>
  <r>
    <x v="380"/>
    <n v="1"/>
    <n v="0"/>
    <n v="0.8"/>
    <s v="B"/>
    <n v="533"/>
    <n v="1.448007022063194E-3"/>
    <n v="0.64432123940336417"/>
    <s v="A"/>
    <n v="6"/>
    <n v="6.2155775398998981E-4"/>
    <n v="0.75537913842402948"/>
    <s v="A"/>
    <s v="BAA"/>
    <n v="2.2360679774997894"/>
    <s v="Z"/>
    <x v="3"/>
  </r>
  <r>
    <x v="381"/>
    <n v="1"/>
    <n v="0"/>
    <n v="0.73"/>
    <s v="A"/>
    <n v="524"/>
    <n v="1.4235566220658794E-3"/>
    <n v="0.64716990502534277"/>
    <s v="A"/>
    <n v="6"/>
    <n v="6.2155775398998981E-4"/>
    <n v="0.75600069617801946"/>
    <s v="A"/>
    <s v="AAA"/>
    <n v="2.2360679774997894"/>
    <s v="Z"/>
    <x v="2"/>
  </r>
  <r>
    <x v="382"/>
    <n v="1"/>
    <n v="0"/>
    <n v="0.79"/>
    <s v="A"/>
    <n v="524"/>
    <n v="1.4235566220658794E-3"/>
    <n v="0.64859346164740861"/>
    <s v="A"/>
    <n v="6"/>
    <n v="6.2155775398998981E-4"/>
    <n v="0.75662225393200944"/>
    <s v="A"/>
    <s v="AAA"/>
    <n v="2.2360679774997894"/>
    <s v="Z"/>
    <x v="2"/>
  </r>
  <r>
    <x v="383"/>
    <n v="1"/>
    <n v="0"/>
    <n v="0.71"/>
    <s v="A"/>
    <n v="519"/>
    <n v="1.4099730665118155E-3"/>
    <n v="0.65142155791376466"/>
    <s v="A"/>
    <n v="6"/>
    <n v="6.2155775398998981E-4"/>
    <n v="0.75724381168599941"/>
    <s v="A"/>
    <s v="AAA"/>
    <n v="2.2360679774997894"/>
    <s v="Z"/>
    <x v="2"/>
  </r>
  <r>
    <x v="384"/>
    <n v="1"/>
    <n v="0"/>
    <n v="0.72"/>
    <s v="A"/>
    <n v="517"/>
    <n v="1.40453964429019E-3"/>
    <n v="0.65282609755805487"/>
    <s v="A"/>
    <n v="6"/>
    <n v="6.2155775398998981E-4"/>
    <n v="0.75786536943998939"/>
    <s v="A"/>
    <s v="AAA"/>
    <n v="2.2360679774997894"/>
    <s v="Z"/>
    <x v="2"/>
  </r>
  <r>
    <x v="385"/>
    <n v="1"/>
    <n v="0"/>
    <n v="0.94"/>
    <s v="B"/>
    <n v="514"/>
    <n v="1.3963895109577519E-3"/>
    <n v="0.65562431000219201"/>
    <s v="A"/>
    <n v="6"/>
    <n v="6.2155775398998981E-4"/>
    <n v="0.75848692719397937"/>
    <s v="A"/>
    <s v="BAA"/>
    <n v="2.2360679774997894"/>
    <s v="Z"/>
    <x v="3"/>
  </r>
  <r>
    <x v="386"/>
    <n v="1"/>
    <n v="0"/>
    <n v="0.97"/>
    <s v="C"/>
    <n v="512"/>
    <n v="1.3909560887361264E-3"/>
    <n v="0.65701526609092809"/>
    <s v="A"/>
    <n v="6"/>
    <n v="6.2155775398998981E-4"/>
    <n v="0.75910848494796934"/>
    <s v="A"/>
    <s v="CAA"/>
    <n v="2.2360679774997894"/>
    <s v="Z"/>
    <x v="4"/>
  </r>
  <r>
    <x v="387"/>
    <n v="1"/>
    <n v="0"/>
    <n v="0.96"/>
    <s v="C"/>
    <n v="511"/>
    <n v="1.3882393776253135E-3"/>
    <n v="0.65840350546855342"/>
    <s v="A"/>
    <n v="6"/>
    <n v="6.2155775398998981E-4"/>
    <n v="0.75973004270195932"/>
    <s v="A"/>
    <s v="CAA"/>
    <n v="2.2360679774997894"/>
    <s v="Z"/>
    <x v="4"/>
  </r>
  <r>
    <x v="388"/>
    <n v="1"/>
    <n v="0"/>
    <n v="0.99"/>
    <s v="C"/>
    <n v="509"/>
    <n v="1.382805955403688E-3"/>
    <n v="0.66117273964697765"/>
    <s v="A"/>
    <n v="6"/>
    <n v="6.2155775398998981E-4"/>
    <n v="0.76035160045594929"/>
    <s v="A"/>
    <s v="CAA"/>
    <n v="2.2360679774997894"/>
    <s v="Z"/>
    <x v="4"/>
  </r>
  <r>
    <x v="389"/>
    <n v="1"/>
    <n v="0"/>
    <n v="0.97"/>
    <s v="C"/>
    <n v="506"/>
    <n v="1.3746558220712498E-3"/>
    <n v="0.66254739546904895"/>
    <s v="A"/>
    <n v="6"/>
    <n v="6.2155775398998981E-4"/>
    <n v="0.76097315820993927"/>
    <s v="A"/>
    <s v="CAA"/>
    <n v="2.2360679774997894"/>
    <s v="Z"/>
    <x v="4"/>
  </r>
  <r>
    <x v="390"/>
    <n v="1"/>
    <n v="0"/>
    <n v="0.98"/>
    <s v="C"/>
    <n v="505"/>
    <n v="1.371939110960437E-3"/>
    <n v="0.6639193345800094"/>
    <s v="A"/>
    <n v="6"/>
    <n v="6.2155775398998981E-4"/>
    <n v="0.76159471596392925"/>
    <s v="A"/>
    <s v="CAA"/>
    <n v="2.2360679774997894"/>
    <s v="Z"/>
    <x v="4"/>
  </r>
  <r>
    <x v="391"/>
    <n v="1"/>
    <n v="0"/>
    <n v="0.81"/>
    <s v="B"/>
    <n v="502"/>
    <n v="1.3637889776279988E-3"/>
    <n v="0.66802156834364446"/>
    <s v="A"/>
    <n v="6"/>
    <n v="6.2155775398998981E-4"/>
    <n v="0.76221627371791922"/>
    <s v="A"/>
    <s v="BAA"/>
    <n v="2.2360679774997894"/>
    <s v="Z"/>
    <x v="3"/>
  </r>
  <r>
    <x v="392"/>
    <n v="1"/>
    <n v="0"/>
    <n v="0.85"/>
    <s v="B"/>
    <n v="500"/>
    <n v="1.3583555554063733E-3"/>
    <n v="0.6707382794544573"/>
    <s v="A"/>
    <n v="6"/>
    <n v="6.2155775398998981E-4"/>
    <n v="0.7628378314719092"/>
    <s v="A"/>
    <s v="BAA"/>
    <n v="2.2360679774997894"/>
    <s v="Z"/>
    <x v="3"/>
  </r>
  <r>
    <x v="393"/>
    <n v="1"/>
    <n v="0"/>
    <n v="0.96"/>
    <s v="C"/>
    <n v="500"/>
    <n v="1.3583555554063733E-3"/>
    <n v="0.67209663500986372"/>
    <s v="A"/>
    <n v="6"/>
    <n v="6.2155775398998981E-4"/>
    <n v="0.76345938922589918"/>
    <s v="A"/>
    <s v="CAA"/>
    <n v="2.2360679774997894"/>
    <s v="Z"/>
    <x v="4"/>
  </r>
  <r>
    <x v="394"/>
    <n v="1"/>
    <n v="0"/>
    <n v="0.85"/>
    <s v="B"/>
    <n v="497"/>
    <n v="1.3502054220739352E-3"/>
    <n v="0.67479976256512242"/>
    <s v="A"/>
    <n v="6"/>
    <n v="6.2155775398998981E-4"/>
    <n v="0.76408094697988915"/>
    <s v="A"/>
    <s v="BAA"/>
    <n v="2.2360679774997894"/>
    <s v="Z"/>
    <x v="3"/>
  </r>
  <r>
    <x v="395"/>
    <n v="1"/>
    <n v="0"/>
    <n v="0.95"/>
    <s v="C"/>
    <n v="493"/>
    <n v="1.3393385776306842E-3"/>
    <n v="0.67613910114275311"/>
    <s v="A"/>
    <n v="6"/>
    <n v="6.2155775398998981E-4"/>
    <n v="0.76470250473387913"/>
    <s v="A"/>
    <s v="CAA"/>
    <n v="2.2360679774997894"/>
    <s v="Z"/>
    <x v="4"/>
  </r>
  <r>
    <x v="396"/>
    <n v="1"/>
    <n v="0"/>
    <n v="0.87"/>
    <s v="B"/>
    <n v="492"/>
    <n v="1.3366218665198713E-3"/>
    <n v="0.67747572300927295"/>
    <s v="A"/>
    <n v="6"/>
    <n v="6.2155775398998981E-4"/>
    <n v="0.76532406248786911"/>
    <s v="A"/>
    <s v="BAA"/>
    <n v="2.2360679774997894"/>
    <s v="Z"/>
    <x v="3"/>
  </r>
  <r>
    <x v="397"/>
    <n v="1"/>
    <n v="0"/>
    <n v="0.88"/>
    <s v="B"/>
    <n v="489"/>
    <n v="1.3284717331874332E-3"/>
    <n v="0.67880419474246034"/>
    <s v="A"/>
    <n v="6"/>
    <n v="6.2155775398998981E-4"/>
    <n v="0.76594562024185908"/>
    <s v="A"/>
    <s v="BAA"/>
    <n v="2.2360679774997894"/>
    <s v="Z"/>
    <x v="3"/>
  </r>
  <r>
    <x v="398"/>
    <n v="1"/>
    <n v="0"/>
    <n v="0.9"/>
    <s v="B"/>
    <n v="486"/>
    <n v="1.3203215998549948E-3"/>
    <n v="0.68277602638646862"/>
    <s v="A"/>
    <n v="6"/>
    <n v="6.2155775398998981E-4"/>
    <n v="0.76656717799584906"/>
    <s v="A"/>
    <s v="BAA"/>
    <n v="2.2360679774997894"/>
    <s v="Z"/>
    <x v="3"/>
  </r>
  <r>
    <x v="399"/>
    <n v="1"/>
    <n v="0"/>
    <n v="0.83"/>
    <s v="B"/>
    <n v="473"/>
    <n v="1.2850043554144292E-3"/>
    <n v="0.68923908211909202"/>
    <s v="A"/>
    <n v="6"/>
    <n v="6.2155775398998981E-4"/>
    <n v="0.76718873574983903"/>
    <s v="A"/>
    <s v="BAA"/>
    <n v="2.2360679774997894"/>
    <s v="Z"/>
    <x v="3"/>
  </r>
  <r>
    <x v="400"/>
    <n v="1"/>
    <n v="0"/>
    <n v="0.91"/>
    <s v="B"/>
    <n v="472"/>
    <n v="1.2822876443036165E-3"/>
    <n v="0.69052136976339562"/>
    <s v="A"/>
    <n v="6"/>
    <n v="6.2155775398998981E-4"/>
    <n v="0.76781029350382901"/>
    <s v="A"/>
    <s v="BAA"/>
    <n v="2.2360679774997894"/>
    <s v="Z"/>
    <x v="3"/>
  </r>
  <r>
    <x v="401"/>
    <n v="1"/>
    <n v="0"/>
    <n v="0.72"/>
    <s v="A"/>
    <n v="470"/>
    <n v="1.276854222081991E-3"/>
    <n v="0.69179822398547763"/>
    <s v="A"/>
    <n v="6"/>
    <n v="6.2155775398998981E-4"/>
    <n v="0.76843185125781899"/>
    <s v="A"/>
    <s v="AAA"/>
    <n v="2.2360679774997894"/>
    <s v="Z"/>
    <x v="2"/>
  </r>
  <r>
    <x v="402"/>
    <n v="1"/>
    <n v="0"/>
    <n v="0.99"/>
    <s v="C"/>
    <n v="470"/>
    <n v="1.276854222081991E-3"/>
    <n v="0.69307507820755965"/>
    <s v="A"/>
    <n v="6"/>
    <n v="6.2155775398998981E-4"/>
    <n v="0.76905340901180896"/>
    <s v="A"/>
    <s v="CAA"/>
    <n v="2.2360679774997894"/>
    <s v="Z"/>
    <x v="4"/>
  </r>
  <r>
    <x v="403"/>
    <n v="1"/>
    <n v="0"/>
    <n v="0.93"/>
    <s v="B"/>
    <n v="468"/>
    <n v="1.2714207998603655E-3"/>
    <n v="0.69688934060714058"/>
    <s v="A"/>
    <n v="6"/>
    <n v="6.2155775398998981E-4"/>
    <n v="0.76967496676579894"/>
    <s v="A"/>
    <s v="BAA"/>
    <n v="2.2360679774997894"/>
    <s v="Z"/>
    <x v="3"/>
  </r>
  <r>
    <x v="404"/>
    <n v="1"/>
    <n v="0"/>
    <n v="0.77"/>
    <s v="A"/>
    <n v="463"/>
    <n v="1.2578372443063017E-3"/>
    <n v="0.70067643589561357"/>
    <s v="A"/>
    <n v="6"/>
    <n v="6.2155775398998981E-4"/>
    <n v="0.77029652451978892"/>
    <s v="A"/>
    <s v="AAA"/>
    <n v="2.2360679774997894"/>
    <s v="Z"/>
    <x v="2"/>
  </r>
  <r>
    <x v="405"/>
    <n v="1"/>
    <n v="0"/>
    <n v="0.94"/>
    <s v="B"/>
    <n v="458"/>
    <n v="1.244253688752238E-3"/>
    <n v="0.70192068958436582"/>
    <s v="A"/>
    <n v="6"/>
    <n v="6.2155775398998981E-4"/>
    <n v="0.77091808227377889"/>
    <s v="A"/>
    <s v="BAA"/>
    <n v="2.2360679774997894"/>
    <s v="Z"/>
    <x v="3"/>
  </r>
  <r>
    <x v="406"/>
    <n v="1"/>
    <n v="0"/>
    <n v="0.92"/>
    <s v="B"/>
    <n v="450"/>
    <n v="1.222519999865736E-3"/>
    <n v="0.70559368300618475"/>
    <s v="A"/>
    <n v="6"/>
    <n v="6.2155775398998981E-4"/>
    <n v="0.77153964002776887"/>
    <s v="A"/>
    <s v="BAA"/>
    <n v="2.2360679774997894"/>
    <s v="Z"/>
    <x v="3"/>
  </r>
  <r>
    <x v="407"/>
    <n v="1"/>
    <n v="0"/>
    <n v="0.83"/>
    <s v="B"/>
    <n v="449"/>
    <n v="1.2198032887549232E-3"/>
    <n v="0.70681348629493967"/>
    <s v="A"/>
    <n v="6"/>
    <n v="6.2155775398998981E-4"/>
    <n v="0.77216119778175885"/>
    <s v="A"/>
    <s v="BAA"/>
    <n v="2.2360679774997894"/>
    <s v="Z"/>
    <x v="3"/>
  </r>
  <r>
    <x v="408"/>
    <n v="1"/>
    <n v="0"/>
    <n v="0.89"/>
    <s v="B"/>
    <n v="449"/>
    <n v="1.2198032887549232E-3"/>
    <n v="0.7080332895836946"/>
    <s v="A"/>
    <n v="6"/>
    <n v="6.2155775398998981E-4"/>
    <n v="0.77278275553574882"/>
    <s v="A"/>
    <s v="BAA"/>
    <n v="2.2360679774997894"/>
    <s v="Z"/>
    <x v="3"/>
  </r>
  <r>
    <x v="409"/>
    <n v="1"/>
    <n v="0"/>
    <n v="0.71"/>
    <s v="A"/>
    <n v="448"/>
    <n v="1.2170865776441105E-3"/>
    <n v="0.70925037616133868"/>
    <s v="A"/>
    <n v="6"/>
    <n v="6.2155775398998981E-4"/>
    <n v="0.7734043132897388"/>
    <s v="A"/>
    <s v="AAA"/>
    <n v="2.2360679774997894"/>
    <s v="Z"/>
    <x v="2"/>
  </r>
  <r>
    <x v="410"/>
    <n v="1"/>
    <n v="0"/>
    <n v="0.96"/>
    <s v="C"/>
    <n v="448"/>
    <n v="1.2170865776441105E-3"/>
    <n v="0.71046746273898276"/>
    <s v="A"/>
    <n v="6"/>
    <n v="6.2155775398998981E-4"/>
    <n v="0.77402587104372877"/>
    <s v="A"/>
    <s v="CAA"/>
    <n v="2.2360679774997894"/>
    <s v="Z"/>
    <x v="4"/>
  </r>
  <r>
    <x v="411"/>
    <n v="1"/>
    <n v="0"/>
    <n v="0.93"/>
    <s v="B"/>
    <n v="447"/>
    <n v="1.2143698665332977E-3"/>
    <n v="0.71289620247204943"/>
    <s v="A"/>
    <n v="6"/>
    <n v="6.2155775398998981E-4"/>
    <n v="0.77464742879771875"/>
    <s v="A"/>
    <s v="BAA"/>
    <n v="2.2360679774997894"/>
    <s v="Z"/>
    <x v="3"/>
  </r>
  <r>
    <x v="412"/>
    <n v="1"/>
    <n v="0"/>
    <n v="0.91"/>
    <s v="B"/>
    <n v="446"/>
    <n v="1.211653155422485E-3"/>
    <n v="0.71410785562747192"/>
    <s v="A"/>
    <n v="6"/>
    <n v="6.2155775398998981E-4"/>
    <n v="0.77526898655170873"/>
    <s v="A"/>
    <s v="BAA"/>
    <n v="2.2360679774997894"/>
    <s v="Z"/>
    <x v="3"/>
  </r>
  <r>
    <x v="413"/>
    <n v="1"/>
    <n v="0"/>
    <n v="0.89"/>
    <s v="B"/>
    <n v="445"/>
    <n v="1.2089364443116724E-3"/>
    <n v="0.71531679207178356"/>
    <s v="A"/>
    <n v="6"/>
    <n v="6.2155775398998981E-4"/>
    <n v="0.7758905443056987"/>
    <s v="A"/>
    <s v="BAA"/>
    <n v="2.2360679774997894"/>
    <s v="Z"/>
    <x v="3"/>
  </r>
  <r>
    <x v="414"/>
    <n v="1"/>
    <n v="0"/>
    <n v="0.96"/>
    <s v="C"/>
    <n v="441"/>
    <n v="1.1980695998684214E-3"/>
    <n v="0.71772108140485291"/>
    <s v="A"/>
    <n v="6"/>
    <n v="6.2155775398998981E-4"/>
    <n v="0.77651210205968868"/>
    <s v="A"/>
    <s v="CAA"/>
    <n v="2.2360679774997894"/>
    <s v="Z"/>
    <x v="4"/>
  </r>
  <r>
    <x v="415"/>
    <n v="1"/>
    <n v="0"/>
    <n v="0.99"/>
    <s v="C"/>
    <n v="439"/>
    <n v="1.1926361776467959E-3"/>
    <n v="0.72010635376014642"/>
    <s v="A"/>
    <n v="6"/>
    <n v="6.2155775398998981E-4"/>
    <n v="0.77713365981367866"/>
    <s v="A"/>
    <s v="CAA"/>
    <n v="2.2360679774997894"/>
    <s v="Z"/>
    <x v="4"/>
  </r>
  <r>
    <x v="416"/>
    <n v="1"/>
    <n v="0"/>
    <n v="0.87"/>
    <s v="B"/>
    <n v="438"/>
    <n v="1.189919466535983E-3"/>
    <n v="0.72248619269321845"/>
    <s v="A"/>
    <n v="6"/>
    <n v="6.2155775398998981E-4"/>
    <n v="0.77775521756766863"/>
    <s v="A"/>
    <s v="BAA"/>
    <n v="2.2360679774997894"/>
    <s v="Z"/>
    <x v="3"/>
  </r>
  <r>
    <x v="417"/>
    <n v="1"/>
    <n v="0"/>
    <n v="0.77"/>
    <s v="A"/>
    <n v="436"/>
    <n v="1.1844860443143575E-3"/>
    <n v="0.72367067873753277"/>
    <s v="A"/>
    <n v="6"/>
    <n v="6.2155775398998981E-4"/>
    <n v="0.77837677532165861"/>
    <s v="A"/>
    <s v="AAA"/>
    <n v="2.2360679774997894"/>
    <s v="Z"/>
    <x v="2"/>
  </r>
  <r>
    <x v="418"/>
    <n v="1"/>
    <n v="0"/>
    <n v="0.95"/>
    <s v="C"/>
    <n v="432"/>
    <n v="1.1736191998711065E-3"/>
    <n v="0.72837330567034975"/>
    <s v="A"/>
    <n v="6"/>
    <n v="6.2155775398998981E-4"/>
    <n v="0.77899833307564859"/>
    <s v="A"/>
    <s v="CAA"/>
    <n v="2.2360679774997894"/>
    <s v="Z"/>
    <x v="4"/>
  </r>
  <r>
    <x v="419"/>
    <n v="1"/>
    <n v="0"/>
    <n v="0.81"/>
    <s v="B"/>
    <n v="431"/>
    <n v="1.1709024887602939E-3"/>
    <n v="0.72954420815911003"/>
    <s v="A"/>
    <n v="6"/>
    <n v="6.2155775398998981E-4"/>
    <n v="0.77961989082963856"/>
    <s v="A"/>
    <s v="BAA"/>
    <n v="2.2360679774997894"/>
    <s v="Z"/>
    <x v="3"/>
  </r>
  <r>
    <x v="420"/>
    <n v="1"/>
    <n v="0"/>
    <n v="0.83"/>
    <s v="B"/>
    <n v="431"/>
    <n v="1.1709024887602939E-3"/>
    <n v="0.73071511064787031"/>
    <s v="A"/>
    <n v="6"/>
    <n v="6.2155775398998981E-4"/>
    <n v="0.78024144858362854"/>
    <s v="A"/>
    <s v="BAA"/>
    <n v="2.2360679774997894"/>
    <s v="Z"/>
    <x v="3"/>
  </r>
  <r>
    <x v="421"/>
    <n v="1"/>
    <n v="0"/>
    <n v="0.86"/>
    <s v="B"/>
    <n v="428"/>
    <n v="1.1627523554278555E-3"/>
    <n v="0.73187786300329816"/>
    <s v="A"/>
    <n v="6"/>
    <n v="6.2155775398998981E-4"/>
    <n v="0.78086300633761851"/>
    <s v="A"/>
    <s v="BAA"/>
    <n v="2.2360679774997894"/>
    <s v="Z"/>
    <x v="3"/>
  </r>
  <r>
    <x v="422"/>
    <n v="1"/>
    <n v="0"/>
    <n v="0.76"/>
    <s v="A"/>
    <n v="426"/>
    <n v="1.15731893320623E-3"/>
    <n v="0.73303518193650441"/>
    <s v="A"/>
    <n v="6"/>
    <n v="6.2155775398998981E-4"/>
    <n v="0.78148456409160849"/>
    <s v="A"/>
    <s v="AAA"/>
    <n v="2.2360679774997894"/>
    <s v="Z"/>
    <x v="2"/>
  </r>
  <r>
    <x v="423"/>
    <n v="1"/>
    <n v="0"/>
    <n v="0.73"/>
    <s v="A"/>
    <n v="425"/>
    <n v="1.1546022220954174E-3"/>
    <n v="0.73418978415859981"/>
    <s v="A"/>
    <n v="6"/>
    <n v="6.2155775398998981E-4"/>
    <n v="0.78210612184559847"/>
    <s v="A"/>
    <s v="AAA"/>
    <n v="2.2360679774997894"/>
    <s v="Z"/>
    <x v="2"/>
  </r>
  <r>
    <x v="424"/>
    <n v="1"/>
    <n v="0"/>
    <n v="0.78"/>
    <s v="A"/>
    <n v="425"/>
    <n v="1.1546022220954174E-3"/>
    <n v="0.73534438638069521"/>
    <s v="A"/>
    <n v="6"/>
    <n v="6.2155775398998981E-4"/>
    <n v="0.78272767959958844"/>
    <s v="A"/>
    <s v="AAA"/>
    <n v="2.2360679774997894"/>
    <s v="Z"/>
    <x v="2"/>
  </r>
  <r>
    <x v="425"/>
    <n v="1"/>
    <n v="0"/>
    <n v="0.75"/>
    <s v="A"/>
    <n v="423"/>
    <n v="1.1491687998737919E-3"/>
    <n v="0.73649355518056903"/>
    <s v="A"/>
    <n v="6"/>
    <n v="6.2155775398998981E-4"/>
    <n v="0.78334923735357842"/>
    <s v="A"/>
    <s v="AAA"/>
    <n v="2.2360679774997894"/>
    <s v="Z"/>
    <x v="2"/>
  </r>
  <r>
    <x v="426"/>
    <n v="1"/>
    <n v="0"/>
    <n v="0.87"/>
    <s v="B"/>
    <n v="423"/>
    <n v="1.1491687998737919E-3"/>
    <n v="0.73764272398044284"/>
    <s v="A"/>
    <n v="6"/>
    <n v="6.2155775398998981E-4"/>
    <n v="0.7839707951075684"/>
    <s v="A"/>
    <s v="BAA"/>
    <n v="2.2360679774997894"/>
    <s v="Z"/>
    <x v="3"/>
  </r>
  <r>
    <x v="427"/>
    <n v="1"/>
    <n v="0"/>
    <n v="0.81"/>
    <s v="B"/>
    <n v="419"/>
    <n v="1.1383019554305409E-3"/>
    <n v="0.73878102593587336"/>
    <s v="A"/>
    <n v="6"/>
    <n v="6.2155775398998981E-4"/>
    <n v="0.78459235286155837"/>
    <s v="A"/>
    <s v="BAA"/>
    <n v="2.2360679774997894"/>
    <s v="Z"/>
    <x v="3"/>
  </r>
  <r>
    <x v="428"/>
    <n v="1"/>
    <n v="0"/>
    <n v="0.9"/>
    <s v="B"/>
    <n v="419"/>
    <n v="1.1383019554305409E-3"/>
    <n v="0.73991932789130388"/>
    <s v="A"/>
    <n v="6"/>
    <n v="6.2155775398998981E-4"/>
    <n v="0.78521391061554835"/>
    <s v="A"/>
    <s v="BAA"/>
    <n v="2.2360679774997894"/>
    <s v="Z"/>
    <x v="3"/>
  </r>
  <r>
    <x v="429"/>
    <n v="1"/>
    <n v="0"/>
    <n v="0.77"/>
    <s v="A"/>
    <n v="418"/>
    <n v="1.135585244319728E-3"/>
    <n v="0.74105491313562366"/>
    <s v="A"/>
    <n v="6"/>
    <n v="6.2155775398998981E-4"/>
    <n v="0.78583546836953833"/>
    <s v="A"/>
    <s v="AAA"/>
    <n v="2.2360679774997894"/>
    <s v="Z"/>
    <x v="2"/>
  </r>
  <r>
    <x v="430"/>
    <n v="1"/>
    <n v="0"/>
    <n v="0.91"/>
    <s v="B"/>
    <n v="418"/>
    <n v="1.135585244319728E-3"/>
    <n v="0.74219049837994344"/>
    <s v="A"/>
    <n v="6"/>
    <n v="6.2155775398998981E-4"/>
    <n v="0.7864570261235283"/>
    <s v="A"/>
    <s v="BAA"/>
    <n v="2.2360679774997894"/>
    <s v="Z"/>
    <x v="3"/>
  </r>
  <r>
    <x v="431"/>
    <n v="1"/>
    <n v="0"/>
    <n v="0.73"/>
    <s v="A"/>
    <n v="414"/>
    <n v="1.1247183998764772E-3"/>
    <n v="0.74444808531302886"/>
    <s v="A"/>
    <n v="6"/>
    <n v="6.2155775398998981E-4"/>
    <n v="0.78707858387751828"/>
    <s v="A"/>
    <s v="AAA"/>
    <n v="2.2360679774997894"/>
    <s v="Z"/>
    <x v="2"/>
  </r>
  <r>
    <x v="432"/>
    <n v="1"/>
    <n v="0"/>
    <n v="0.92"/>
    <s v="B"/>
    <n v="409"/>
    <n v="1.1111348443224134E-3"/>
    <n v="0.74555922015735132"/>
    <s v="A"/>
    <n v="6"/>
    <n v="6.2155775398998981E-4"/>
    <n v="0.78770014163150825"/>
    <s v="A"/>
    <s v="BAA"/>
    <n v="2.2360679774997894"/>
    <s v="Z"/>
    <x v="3"/>
  </r>
  <r>
    <x v="433"/>
    <n v="1"/>
    <n v="0"/>
    <n v="0.77"/>
    <s v="A"/>
    <n v="408"/>
    <n v="1.1084181332116007E-3"/>
    <n v="0.74666763829056293"/>
    <s v="A"/>
    <n v="6"/>
    <n v="6.2155775398998981E-4"/>
    <n v="0.78832169938549823"/>
    <s v="A"/>
    <s v="AAA"/>
    <n v="2.2360679774997894"/>
    <s v="Z"/>
    <x v="2"/>
  </r>
  <r>
    <x v="434"/>
    <n v="1"/>
    <n v="0"/>
    <n v="0.7"/>
    <s v="A"/>
    <n v="406"/>
    <n v="1.1029847109899752E-3"/>
    <n v="0.74887632442365371"/>
    <s v="A"/>
    <n v="6"/>
    <n v="6.2155775398998981E-4"/>
    <n v="0.78894325713948821"/>
    <s v="A"/>
    <s v="AAA"/>
    <n v="2.2360679774997894"/>
    <s v="Z"/>
    <x v="2"/>
  </r>
  <r>
    <x v="435"/>
    <n v="1"/>
    <n v="0"/>
    <n v="0.91"/>
    <s v="B"/>
    <n v="405"/>
    <n v="1.1002679998791624E-3"/>
    <n v="0.74997659242353287"/>
    <s v="A"/>
    <n v="6"/>
    <n v="6.2155775398998981E-4"/>
    <n v="0.78956481489347818"/>
    <s v="A"/>
    <s v="BAA"/>
    <n v="2.2360679774997894"/>
    <s v="Z"/>
    <x v="3"/>
  </r>
  <r>
    <x v="436"/>
    <n v="1"/>
    <n v="0"/>
    <n v="0.77"/>
    <s v="A"/>
    <n v="404"/>
    <n v="1.0975512887683497E-3"/>
    <n v="0.75107414371230119"/>
    <s v="A"/>
    <n v="6"/>
    <n v="6.2155775398998981E-4"/>
    <n v="0.79018637264746816"/>
    <s v="A"/>
    <s v="AAA"/>
    <n v="2.2360679774997894"/>
    <s v="Z"/>
    <x v="2"/>
  </r>
  <r>
    <x v="437"/>
    <n v="1"/>
    <n v="0"/>
    <n v="0.89"/>
    <s v="B"/>
    <n v="404"/>
    <n v="1.0975512887683497E-3"/>
    <n v="0.75217169500106951"/>
    <s v="A"/>
    <n v="6"/>
    <n v="6.2155775398998981E-4"/>
    <n v="0.79080793040145814"/>
    <s v="A"/>
    <s v="BAA"/>
    <n v="2.2360679774997894"/>
    <s v="Z"/>
    <x v="3"/>
  </r>
  <r>
    <x v="438"/>
    <n v="1"/>
    <n v="0"/>
    <n v="0.7"/>
    <s v="A"/>
    <n v="403"/>
    <n v="1.0948345776575369E-3"/>
    <n v="0.75326652957872708"/>
    <s v="A"/>
    <n v="6"/>
    <n v="6.2155775398998981E-4"/>
    <n v="0.79142948815544811"/>
    <s v="A"/>
    <s v="AAA"/>
    <n v="2.2360679774997894"/>
    <s v="Z"/>
    <x v="2"/>
  </r>
  <r>
    <x v="439"/>
    <n v="1"/>
    <n v="0"/>
    <n v="0.78"/>
    <s v="A"/>
    <n v="403"/>
    <n v="1.0948345776575369E-3"/>
    <n v="0.75436136415638466"/>
    <s v="A"/>
    <n v="6"/>
    <n v="6.2155775398998981E-4"/>
    <n v="0.79205104590943809"/>
    <s v="A"/>
    <s v="AAA"/>
    <n v="2.2360679774997894"/>
    <s v="Z"/>
    <x v="2"/>
  </r>
  <r>
    <x v="440"/>
    <n v="1"/>
    <n v="0"/>
    <n v="0.88"/>
    <s v="B"/>
    <n v="403"/>
    <n v="1.0948345776575369E-3"/>
    <n v="0.75545619873404224"/>
    <s v="A"/>
    <n v="6"/>
    <n v="6.2155775398998981E-4"/>
    <n v="0.79267260366342807"/>
    <s v="A"/>
    <s v="BAA"/>
    <n v="2.2360679774997894"/>
    <s v="Z"/>
    <x v="3"/>
  </r>
  <r>
    <x v="441"/>
    <n v="1"/>
    <n v="0"/>
    <n v="0.86"/>
    <s v="B"/>
    <n v="402"/>
    <n v="1.0921178665467242E-3"/>
    <n v="0.75654831660058897"/>
    <s v="A"/>
    <n v="6"/>
    <n v="6.2155775398998981E-4"/>
    <n v="0.79329416141741804"/>
    <s v="A"/>
    <s v="BAA"/>
    <n v="2.2360679774997894"/>
    <s v="Z"/>
    <x v="3"/>
  </r>
  <r>
    <x v="442"/>
    <n v="1"/>
    <n v="0"/>
    <n v="0.89"/>
    <s v="B"/>
    <n v="402"/>
    <n v="1.0921178665467242E-3"/>
    <n v="0.75764043446713569"/>
    <s v="A"/>
    <n v="6"/>
    <n v="6.2155775398998981E-4"/>
    <n v="0.79391571917140802"/>
    <s v="A"/>
    <s v="BAA"/>
    <n v="2.2360679774997894"/>
    <s v="Z"/>
    <x v="3"/>
  </r>
  <r>
    <x v="443"/>
    <n v="1"/>
    <n v="0"/>
    <n v="0.82"/>
    <s v="B"/>
    <n v="398"/>
    <n v="1.0812510221034732E-3"/>
    <n v="0.75872168548923913"/>
    <s v="A"/>
    <n v="6"/>
    <n v="6.2155775398998981E-4"/>
    <n v="0.79453727692539799"/>
    <s v="A"/>
    <s v="BAA"/>
    <n v="2.2360679774997894"/>
    <s v="Z"/>
    <x v="3"/>
  </r>
  <r>
    <x v="444"/>
    <n v="1"/>
    <n v="0"/>
    <n v="0.85"/>
    <s v="B"/>
    <n v="394"/>
    <n v="1.0703841776602222E-3"/>
    <n v="0.76086788726678123"/>
    <s v="A"/>
    <n v="6"/>
    <n v="6.2155775398998981E-4"/>
    <n v="0.79515883467938797"/>
    <s v="A"/>
    <s v="BAA"/>
    <n v="2.2360679774997894"/>
    <s v="Z"/>
    <x v="3"/>
  </r>
  <r>
    <x v="445"/>
    <n v="1"/>
    <n v="0"/>
    <n v="0.89"/>
    <s v="B"/>
    <n v="393"/>
    <n v="1.0676674665494094E-3"/>
    <n v="0.76193555473333063"/>
    <s v="A"/>
    <n v="6"/>
    <n v="6.2155775398998981E-4"/>
    <n v="0.79578039243337795"/>
    <s v="A"/>
    <s v="BAA"/>
    <n v="2.2360679774997894"/>
    <s v="Z"/>
    <x v="3"/>
  </r>
  <r>
    <x v="446"/>
    <n v="1"/>
    <n v="0"/>
    <n v="0.91"/>
    <s v="B"/>
    <n v="385"/>
    <n v="1.0459337776629076E-3"/>
    <n v="0.76403828913309968"/>
    <s v="A"/>
    <n v="6"/>
    <n v="6.2155775398998981E-4"/>
    <n v="0.79640195018736792"/>
    <s v="A"/>
    <s v="BAA"/>
    <n v="2.2360679774997894"/>
    <s v="Z"/>
    <x v="3"/>
  </r>
  <r>
    <x v="447"/>
    <n v="1"/>
    <n v="0"/>
    <n v="0.89"/>
    <s v="B"/>
    <n v="378"/>
    <n v="1.0269167998872182E-3"/>
    <n v="0.76609212273287408"/>
    <s v="A"/>
    <n v="6"/>
    <n v="6.2155775398998981E-4"/>
    <n v="0.7970235079413579"/>
    <s v="A"/>
    <s v="BAA"/>
    <n v="2.2360679774997894"/>
    <s v="Z"/>
    <x v="3"/>
  </r>
  <r>
    <x v="448"/>
    <n v="1"/>
    <n v="0"/>
    <n v="0.85"/>
    <s v="B"/>
    <n v="377"/>
    <n v="1.0242000887764056E-3"/>
    <n v="0.76711632282165043"/>
    <s v="A"/>
    <n v="6"/>
    <n v="6.2155775398998981E-4"/>
    <n v="0.79764506569534788"/>
    <s v="A"/>
    <s v="BAA"/>
    <n v="2.2360679774997894"/>
    <s v="Z"/>
    <x v="3"/>
  </r>
  <r>
    <x v="449"/>
    <n v="1"/>
    <n v="0"/>
    <n v="0.95"/>
    <s v="B"/>
    <n v="376"/>
    <n v="1.0214833776655927E-3"/>
    <n v="0.77018077295464726"/>
    <s v="A"/>
    <n v="6"/>
    <n v="6.2155775398998981E-4"/>
    <n v="0.79826662344933785"/>
    <s v="A"/>
    <s v="BAA"/>
    <n v="2.2360679774997894"/>
    <s v="Z"/>
    <x v="3"/>
  </r>
  <r>
    <x v="450"/>
    <n v="1"/>
    <n v="0"/>
    <n v="0.85"/>
    <s v="B"/>
    <n v="375"/>
    <n v="1.0187666665547801E-3"/>
    <n v="0.77119953962120202"/>
    <s v="A"/>
    <n v="6"/>
    <n v="6.2155775398998981E-4"/>
    <n v="0.79888818120332783"/>
    <s v="A"/>
    <s v="BAA"/>
    <n v="2.2360679774997894"/>
    <s v="Z"/>
    <x v="3"/>
  </r>
  <r>
    <x v="451"/>
    <n v="1"/>
    <n v="0"/>
    <n v="0.76"/>
    <s v="A"/>
    <n v="372"/>
    <n v="1.0106165332223417E-3"/>
    <n v="0.77423138922086898"/>
    <s v="A"/>
    <n v="6"/>
    <n v="6.2155775398998981E-4"/>
    <n v="0.79950973895731781"/>
    <s v="A"/>
    <s v="AAA"/>
    <n v="2.2360679774997894"/>
    <s v="Z"/>
    <x v="2"/>
  </r>
  <r>
    <x v="452"/>
    <n v="1"/>
    <n v="0"/>
    <n v="0.7"/>
    <s v="A"/>
    <n v="371"/>
    <n v="1.0078998221115291E-3"/>
    <n v="0.77523928904298056"/>
    <s v="A"/>
    <n v="6"/>
    <n v="6.2155775398998981E-4"/>
    <n v="0.80013129671130778"/>
    <s v="B"/>
    <s v="AAB"/>
    <n v="2.2360679774997894"/>
    <s v="Z"/>
    <x v="5"/>
  </r>
  <r>
    <x v="453"/>
    <n v="1"/>
    <n v="0"/>
    <n v="0.99"/>
    <s v="C"/>
    <n v="370"/>
    <n v="1.0051831110007162E-3"/>
    <n v="0.77724965526498202"/>
    <s v="A"/>
    <n v="6"/>
    <n v="6.2155775398998981E-4"/>
    <n v="0.80075285446529776"/>
    <s v="B"/>
    <s v="CAB"/>
    <n v="2.2360679774997894"/>
    <s v="Z"/>
    <x v="6"/>
  </r>
  <r>
    <x v="454"/>
    <n v="1"/>
    <n v="0"/>
    <n v="0.72"/>
    <s v="A"/>
    <n v="368"/>
    <n v="9.997496887790907E-4"/>
    <n v="0.77824940495376116"/>
    <s v="A"/>
    <n v="6"/>
    <n v="6.2155775398998981E-4"/>
    <n v="0.80137441221928774"/>
    <s v="B"/>
    <s v="AAB"/>
    <n v="2.2360679774997894"/>
    <s v="Z"/>
    <x v="5"/>
  </r>
  <r>
    <x v="455"/>
    <n v="1"/>
    <n v="0"/>
    <n v="0.73"/>
    <s v="A"/>
    <n v="366"/>
    <n v="9.943162665574652E-4"/>
    <n v="0.78123986373182663"/>
    <s v="A"/>
    <n v="6"/>
    <n v="6.2155775398998981E-4"/>
    <n v="0.80199596997327771"/>
    <s v="B"/>
    <s v="AAB"/>
    <n v="2.2360679774997894"/>
    <s v="Z"/>
    <x v="5"/>
  </r>
  <r>
    <x v="456"/>
    <n v="1"/>
    <n v="0"/>
    <n v="0.77"/>
    <s v="A"/>
    <n v="364"/>
    <n v="9.888828443358397E-4"/>
    <n v="0.78420966364972267"/>
    <s v="A"/>
    <n v="6"/>
    <n v="6.2155775398998981E-4"/>
    <n v="0.80261752772726769"/>
    <s v="B"/>
    <s v="AAB"/>
    <n v="2.2360679774997894"/>
    <s v="Z"/>
    <x v="5"/>
  </r>
  <r>
    <x v="457"/>
    <n v="1"/>
    <n v="0"/>
    <n v="0.93"/>
    <s v="B"/>
    <n v="363"/>
    <n v="9.8616613322502706E-4"/>
    <n v="0.78618199591617266"/>
    <s v="A"/>
    <n v="6"/>
    <n v="6.2155775398998981E-4"/>
    <n v="0.80323908548125766"/>
    <s v="B"/>
    <s v="BAB"/>
    <n v="2.2360679774997894"/>
    <s v="Z"/>
    <x v="7"/>
  </r>
  <r>
    <x v="458"/>
    <n v="1"/>
    <n v="0"/>
    <n v="0.76"/>
    <s v="A"/>
    <n v="362"/>
    <n v="9.8344942211421441E-4"/>
    <n v="0.78814889476040118"/>
    <s v="A"/>
    <n v="6"/>
    <n v="6.2155775398998981E-4"/>
    <n v="0.80386064323524764"/>
    <s v="B"/>
    <s v="AAB"/>
    <n v="2.2360679774997894"/>
    <s v="Z"/>
    <x v="5"/>
  </r>
  <r>
    <x v="459"/>
    <n v="1"/>
    <n v="0"/>
    <n v="0.94"/>
    <s v="B"/>
    <n v="361"/>
    <n v="9.8073271100340156E-4"/>
    <n v="0.78912962747140458"/>
    <s v="A"/>
    <n v="6"/>
    <n v="6.2155775398998981E-4"/>
    <n v="0.80448220098923762"/>
    <s v="B"/>
    <s v="BAB"/>
    <n v="2.2360679774997894"/>
    <s v="Z"/>
    <x v="7"/>
  </r>
  <r>
    <x v="460"/>
    <n v="1"/>
    <n v="0"/>
    <n v="0.83"/>
    <s v="B"/>
    <n v="354"/>
    <n v="9.617157332277123E-4"/>
    <n v="0.79299855009853515"/>
    <s v="A"/>
    <n v="6"/>
    <n v="6.2155775398998981E-4"/>
    <n v="0.80510375874322759"/>
    <s v="B"/>
    <s v="BAB"/>
    <n v="2.2360679774997894"/>
    <s v="Z"/>
    <x v="7"/>
  </r>
  <r>
    <x v="461"/>
    <n v="1"/>
    <n v="0"/>
    <n v="0.84"/>
    <s v="B"/>
    <n v="353"/>
    <n v="9.5899902211689955E-4"/>
    <n v="0.79395754912065208"/>
    <s v="A"/>
    <n v="6"/>
    <n v="6.2155775398998981E-4"/>
    <n v="0.80572531649721757"/>
    <s v="B"/>
    <s v="BAB"/>
    <n v="2.2360679774997894"/>
    <s v="Z"/>
    <x v="7"/>
  </r>
  <r>
    <x v="462"/>
    <n v="1"/>
    <n v="0"/>
    <n v="0.94"/>
    <s v="B"/>
    <n v="351"/>
    <n v="9.5356559989527405E-4"/>
    <n v="0.79491111472054732"/>
    <s v="A"/>
    <n v="6"/>
    <n v="6.2155775398998981E-4"/>
    <n v="0.80634687425120755"/>
    <s v="B"/>
    <s v="BAB"/>
    <n v="2.2360679774997894"/>
    <s v="Z"/>
    <x v="7"/>
  </r>
  <r>
    <x v="463"/>
    <n v="1"/>
    <n v="0"/>
    <n v="0.69"/>
    <s v="A"/>
    <n v="347"/>
    <n v="9.4269875545202316E-4"/>
    <n v="0.79965720903113735"/>
    <s v="A"/>
    <n v="6"/>
    <n v="6.2155775398998981E-4"/>
    <n v="0.80696843200519752"/>
    <s v="B"/>
    <s v="AAB"/>
    <n v="2.2360679774997894"/>
    <s v="Z"/>
    <x v="5"/>
  </r>
  <r>
    <x v="464"/>
    <n v="1"/>
    <n v="0"/>
    <n v="0.72"/>
    <s v="A"/>
    <n v="340"/>
    <n v="9.236817776763339E-4"/>
    <n v="0.80244183791972035"/>
    <s v="B"/>
    <n v="6"/>
    <n v="6.2155775398998981E-4"/>
    <n v="0.8075899897591875"/>
    <s v="B"/>
    <s v="ABB"/>
    <n v="2.2360679774997894"/>
    <s v="Z"/>
    <x v="8"/>
  </r>
  <r>
    <x v="465"/>
    <n v="1"/>
    <n v="0"/>
    <n v="0.78"/>
    <s v="A"/>
    <n v="339"/>
    <n v="9.2096506656552115E-4"/>
    <n v="0.80428534374529559"/>
    <s v="B"/>
    <n v="6"/>
    <n v="6.2155775398998981E-4"/>
    <n v="0.80821154751317748"/>
    <s v="B"/>
    <s v="ABB"/>
    <n v="2.2360679774997894"/>
    <s v="Z"/>
    <x v="8"/>
  </r>
  <r>
    <x v="466"/>
    <n v="1"/>
    <n v="0"/>
    <n v="0.79"/>
    <s v="A"/>
    <n v="339"/>
    <n v="9.2096506656552115E-4"/>
    <n v="0.80520630881186106"/>
    <s v="B"/>
    <n v="6"/>
    <n v="6.2155775398998981E-4"/>
    <n v="0.80883310526716745"/>
    <s v="B"/>
    <s v="ABB"/>
    <n v="2.2360679774997894"/>
    <s v="Z"/>
    <x v="8"/>
  </r>
  <r>
    <x v="467"/>
    <n v="1"/>
    <n v="0"/>
    <n v="0.96"/>
    <s v="C"/>
    <n v="336"/>
    <n v="9.128149332330829E-4"/>
    <n v="0.80886300196701488"/>
    <s v="B"/>
    <n v="6"/>
    <n v="6.2155775398998981E-4"/>
    <n v="0.80945466302115743"/>
    <s v="B"/>
    <s v="CBB"/>
    <n v="2.2360679774997894"/>
    <s v="Z"/>
    <x v="9"/>
  </r>
  <r>
    <x v="468"/>
    <n v="1"/>
    <n v="0"/>
    <n v="0.73"/>
    <s v="A"/>
    <n v="328"/>
    <n v="8.9108124434658089E-4"/>
    <n v="0.81065874801126203"/>
    <s v="B"/>
    <n v="6"/>
    <n v="6.2155775398998981E-4"/>
    <n v="0.8100762207751474"/>
    <s v="B"/>
    <s v="ABB"/>
    <n v="2.2360679774997894"/>
    <s v="Z"/>
    <x v="8"/>
  </r>
  <r>
    <x v="469"/>
    <n v="1"/>
    <n v="0"/>
    <n v="0.94"/>
    <s v="B"/>
    <n v="327"/>
    <n v="8.8836453323576814E-4"/>
    <n v="0.81332818834874665"/>
    <s v="B"/>
    <n v="6"/>
    <n v="6.2155775398998981E-4"/>
    <n v="0.81069777852913738"/>
    <s v="B"/>
    <s v="BBB"/>
    <n v="2.2360679774997894"/>
    <s v="Z"/>
    <x v="10"/>
  </r>
  <r>
    <x v="470"/>
    <n v="1"/>
    <n v="0"/>
    <n v="0.73"/>
    <s v="A"/>
    <n v="322"/>
    <n v="8.7478097768170439E-4"/>
    <n v="0.81420296932642833"/>
    <s v="B"/>
    <n v="6"/>
    <n v="6.2155775398998981E-4"/>
    <n v="0.81131933628312736"/>
    <s v="B"/>
    <s v="ABB"/>
    <n v="2.2360679774997894"/>
    <s v="Z"/>
    <x v="8"/>
  </r>
  <r>
    <x v="471"/>
    <n v="1"/>
    <n v="0"/>
    <n v="0.93"/>
    <s v="B"/>
    <n v="322"/>
    <n v="8.7478097768170439E-4"/>
    <n v="0.81507775030411"/>
    <s v="B"/>
    <n v="6"/>
    <n v="6.2155775398998981E-4"/>
    <n v="0.81194089403711733"/>
    <s v="B"/>
    <s v="BBB"/>
    <n v="2.2360679774997894"/>
    <s v="Z"/>
    <x v="10"/>
  </r>
  <r>
    <x v="472"/>
    <n v="1"/>
    <n v="0"/>
    <n v="0.82"/>
    <s v="B"/>
    <n v="319"/>
    <n v="8.6663084434926625E-4"/>
    <n v="0.81594438114845924"/>
    <s v="B"/>
    <n v="6"/>
    <n v="6.2155775398998981E-4"/>
    <n v="0.81256245179110731"/>
    <s v="B"/>
    <s v="BBB"/>
    <n v="2.2360679774997894"/>
    <s v="Z"/>
    <x v="10"/>
  </r>
  <r>
    <x v="473"/>
    <n v="1"/>
    <n v="0"/>
    <n v="0.86"/>
    <s v="B"/>
    <n v="319"/>
    <n v="8.6663084434926625E-4"/>
    <n v="0.81681101199280848"/>
    <s v="B"/>
    <n v="6"/>
    <n v="6.2155775398998981E-4"/>
    <n v="0.81318400954509729"/>
    <s v="B"/>
    <s v="BBB"/>
    <n v="2.2360679774997894"/>
    <s v="Z"/>
    <x v="10"/>
  </r>
  <r>
    <x v="474"/>
    <n v="1"/>
    <n v="0"/>
    <n v="0.94"/>
    <s v="B"/>
    <n v="317"/>
    <n v="8.6119742212764075E-4"/>
    <n v="0.81767220941493612"/>
    <s v="B"/>
    <n v="6"/>
    <n v="6.2155775398998981E-4"/>
    <n v="0.81380556729908726"/>
    <s v="B"/>
    <s v="BBB"/>
    <n v="2.2360679774997894"/>
    <s v="Z"/>
    <x v="10"/>
  </r>
  <r>
    <x v="475"/>
    <n v="1"/>
    <n v="0"/>
    <n v="0.76"/>
    <s v="A"/>
    <n v="315"/>
    <n v="8.5576399990601524E-4"/>
    <n v="0.81938645412585898"/>
    <s v="B"/>
    <n v="6"/>
    <n v="6.2155775398998981E-4"/>
    <n v="0.81442712505307724"/>
    <s v="B"/>
    <s v="ABB"/>
    <n v="2.2360679774997894"/>
    <s v="Z"/>
    <x v="8"/>
  </r>
  <r>
    <x v="476"/>
    <n v="1"/>
    <n v="0"/>
    <n v="0.81"/>
    <s v="B"/>
    <n v="313"/>
    <n v="8.5033057768438974E-4"/>
    <n v="0.82023678470354333"/>
    <s v="B"/>
    <n v="6"/>
    <n v="6.2155775398998981E-4"/>
    <n v="0.81504868280706722"/>
    <s v="B"/>
    <s v="BBB"/>
    <n v="2.2360679774997894"/>
    <s v="Z"/>
    <x v="10"/>
  </r>
  <r>
    <x v="477"/>
    <n v="1"/>
    <n v="0"/>
    <n v="0.82"/>
    <s v="B"/>
    <n v="310.5"/>
    <n v="8.4353879990735781E-4"/>
    <n v="0.82108032350345073"/>
    <s v="B"/>
    <n v="6"/>
    <n v="6.2155775398998981E-4"/>
    <n v="0.81567024056105719"/>
    <s v="B"/>
    <s v="BBB"/>
    <n v="2.2360679774997894"/>
    <s v="Z"/>
    <x v="10"/>
  </r>
  <r>
    <x v="478"/>
    <n v="1"/>
    <n v="0"/>
    <n v="0.87"/>
    <s v="B"/>
    <n v="309"/>
    <n v="8.3946373324113874E-4"/>
    <n v="0.82275925096993308"/>
    <s v="B"/>
    <n v="6"/>
    <n v="6.2155775398998981E-4"/>
    <n v="0.81629179831504717"/>
    <s v="B"/>
    <s v="BBB"/>
    <n v="2.2360679774997894"/>
    <s v="Z"/>
    <x v="10"/>
  </r>
  <r>
    <x v="479"/>
    <n v="1"/>
    <n v="0"/>
    <n v="0.97"/>
    <s v="C"/>
    <n v="308"/>
    <n v="8.3674702213032599E-4"/>
    <n v="0.82443274501419372"/>
    <s v="B"/>
    <n v="6"/>
    <n v="6.2155775398998981E-4"/>
    <n v="0.81691335606903714"/>
    <s v="B"/>
    <s v="CBB"/>
    <n v="2.2360679774997894"/>
    <s v="Z"/>
    <x v="9"/>
  </r>
  <r>
    <x v="480"/>
    <n v="1"/>
    <n v="0"/>
    <n v="0.7"/>
    <s v="A"/>
    <n v="307"/>
    <n v="8.3403031101951324E-4"/>
    <n v="0.82610080563623267"/>
    <s v="B"/>
    <n v="6"/>
    <n v="6.2155775398998981E-4"/>
    <n v="0.81753491382302712"/>
    <s v="B"/>
    <s v="ABB"/>
    <n v="2.2360679774997894"/>
    <s v="Z"/>
    <x v="8"/>
  </r>
  <r>
    <x v="481"/>
    <n v="1"/>
    <n v="0"/>
    <n v="0.72"/>
    <s v="A"/>
    <n v="306"/>
    <n v="8.3131359990870049E-4"/>
    <n v="0.82776343283605014"/>
    <s v="B"/>
    <n v="6"/>
    <n v="6.2155775398998981E-4"/>
    <n v="0.8181564715770171"/>
    <s v="B"/>
    <s v="ABB"/>
    <n v="2.2360679774997894"/>
    <s v="Z"/>
    <x v="8"/>
  </r>
  <r>
    <x v="482"/>
    <n v="1"/>
    <n v="0"/>
    <n v="0.98"/>
    <s v="C"/>
    <n v="306"/>
    <n v="8.3131359990870049E-4"/>
    <n v="0.82859474643595887"/>
    <s v="B"/>
    <n v="6"/>
    <n v="6.2155775398998981E-4"/>
    <n v="0.81877802933100707"/>
    <s v="B"/>
    <s v="CBB"/>
    <n v="2.2360679774997894"/>
    <s v="Z"/>
    <x v="9"/>
  </r>
  <r>
    <x v="483"/>
    <n v="1"/>
    <n v="0"/>
    <n v="0.83"/>
    <s v="B"/>
    <n v="302"/>
    <n v="8.2044675546544949E-4"/>
    <n v="0.83106695354679849"/>
    <s v="B"/>
    <n v="6"/>
    <n v="6.2155775398998981E-4"/>
    <n v="0.81939958708499705"/>
    <s v="B"/>
    <s v="BBB"/>
    <n v="2.2360679774997894"/>
    <s v="Z"/>
    <x v="10"/>
  </r>
  <r>
    <x v="484"/>
    <n v="1"/>
    <n v="0"/>
    <n v="0.72"/>
    <s v="A"/>
    <n v="300"/>
    <n v="8.1501333324382399E-4"/>
    <n v="0.8326969802132862"/>
    <s v="B"/>
    <n v="6"/>
    <n v="6.2155775398998981E-4"/>
    <n v="0.82002114483898703"/>
    <s v="B"/>
    <s v="ABB"/>
    <n v="2.2360679774997894"/>
    <s v="Z"/>
    <x v="8"/>
  </r>
  <r>
    <x v="485"/>
    <n v="1"/>
    <n v="0"/>
    <n v="0.84"/>
    <s v="B"/>
    <n v="298"/>
    <n v="8.0957991102219848E-4"/>
    <n v="0.83350656012430835"/>
    <s v="B"/>
    <n v="6"/>
    <n v="6.2155775398998981E-4"/>
    <n v="0.820642702592977"/>
    <s v="B"/>
    <s v="BBB"/>
    <n v="2.2360679774997894"/>
    <s v="Z"/>
    <x v="10"/>
  </r>
  <r>
    <x v="486"/>
    <n v="1"/>
    <n v="0"/>
    <n v="0.89"/>
    <s v="B"/>
    <n v="298"/>
    <n v="8.0957991102219848E-4"/>
    <n v="0.8343161400353305"/>
    <s v="B"/>
    <n v="6"/>
    <n v="6.2155775398998981E-4"/>
    <n v="0.82126426034696698"/>
    <s v="B"/>
    <s v="BBB"/>
    <n v="2.2360679774997894"/>
    <s v="Z"/>
    <x v="10"/>
  </r>
  <r>
    <x v="487"/>
    <n v="1"/>
    <n v="0"/>
    <n v="0.91"/>
    <s v="B"/>
    <n v="295"/>
    <n v="8.0142977768976023E-4"/>
    <n v="0.8367264876341769"/>
    <s v="B"/>
    <n v="6"/>
    <n v="6.2155775398998981E-4"/>
    <n v="0.82188581810095696"/>
    <s v="B"/>
    <s v="BBB"/>
    <n v="2.2360679774997894"/>
    <s v="Z"/>
    <x v="10"/>
  </r>
  <r>
    <x v="488"/>
    <n v="1"/>
    <n v="0"/>
    <n v="0.81"/>
    <s v="B"/>
    <n v="288"/>
    <n v="7.8241279991407109E-4"/>
    <n v="0.84224141118912665"/>
    <s v="B"/>
    <n v="6"/>
    <n v="6.2155775398998981E-4"/>
    <n v="0.82250737585494693"/>
    <s v="B"/>
    <s v="BBB"/>
    <n v="2.2360679774997894"/>
    <s v="Z"/>
    <x v="10"/>
  </r>
  <r>
    <x v="489"/>
    <n v="1"/>
    <n v="0"/>
    <n v="0.88"/>
    <s v="B"/>
    <n v="286"/>
    <n v="7.7697937769244559E-4"/>
    <n v="0.84457234932220415"/>
    <s v="B"/>
    <n v="6"/>
    <n v="6.2155775398998981E-4"/>
    <n v="0.82312893360893691"/>
    <s v="B"/>
    <s v="BBB"/>
    <n v="2.2360679774997894"/>
    <s v="Z"/>
    <x v="10"/>
  </r>
  <r>
    <x v="490"/>
    <n v="1"/>
    <n v="0"/>
    <n v="0.92"/>
    <s v="B"/>
    <n v="286"/>
    <n v="7.7697937769244559E-4"/>
    <n v="0.84534932869989665"/>
    <s v="B"/>
    <n v="6"/>
    <n v="6.2155775398998981E-4"/>
    <n v="0.82375049136292688"/>
    <s v="B"/>
    <s v="BBB"/>
    <n v="2.2360679774997894"/>
    <s v="Z"/>
    <x v="10"/>
  </r>
  <r>
    <x v="491"/>
    <n v="1"/>
    <n v="0"/>
    <n v="0.93"/>
    <s v="B"/>
    <n v="285"/>
    <n v="7.7426266658163284E-4"/>
    <n v="0.8461235913664783"/>
    <s v="B"/>
    <n v="6"/>
    <n v="6.2155775398998981E-4"/>
    <n v="0.82437204911691686"/>
    <s v="B"/>
    <s v="BBB"/>
    <n v="2.2360679774997894"/>
    <s v="Z"/>
    <x v="10"/>
  </r>
  <r>
    <x v="492"/>
    <n v="1"/>
    <n v="0"/>
    <n v="0.83"/>
    <s v="B"/>
    <n v="284"/>
    <n v="7.7154595547082008E-4"/>
    <n v="0.8468951373219491"/>
    <s v="B"/>
    <n v="6"/>
    <n v="6.2155775398998981E-4"/>
    <n v="0.82499360687090684"/>
    <s v="B"/>
    <s v="BBB"/>
    <n v="2.2360679774997894"/>
    <s v="Z"/>
    <x v="10"/>
  </r>
  <r>
    <x v="493"/>
    <n v="1"/>
    <n v="0"/>
    <n v="0.73"/>
    <s v="A"/>
    <n v="282"/>
    <n v="7.6611253324919458E-4"/>
    <n v="0.84842736238844751"/>
    <s v="B"/>
    <n v="6"/>
    <n v="6.2155775398998981E-4"/>
    <n v="0.82561516462489681"/>
    <s v="B"/>
    <s v="ABB"/>
    <n v="2.2360679774997894"/>
    <s v="Z"/>
    <x v="8"/>
  </r>
  <r>
    <x v="494"/>
    <n v="1"/>
    <n v="0"/>
    <n v="0.94"/>
    <s v="B"/>
    <n v="282"/>
    <n v="7.6611253324919458E-4"/>
    <n v="0.84919347492169672"/>
    <s v="B"/>
    <n v="6"/>
    <n v="6.2155775398998981E-4"/>
    <n v="0.82623672237888679"/>
    <s v="B"/>
    <s v="BBB"/>
    <n v="2.2360679774997894"/>
    <s v="Z"/>
    <x v="10"/>
  </r>
  <r>
    <x v="495"/>
    <n v="1"/>
    <n v="0"/>
    <n v="0.89"/>
    <s v="B"/>
    <n v="280"/>
    <n v="7.6067911102756908E-4"/>
    <n v="0.85071483314375196"/>
    <s v="B"/>
    <n v="6"/>
    <n v="6.2155775398998981E-4"/>
    <n v="0.82685828013287677"/>
    <s v="B"/>
    <s v="BBB"/>
    <n v="2.2360679774997894"/>
    <s v="Z"/>
    <x v="10"/>
  </r>
  <r>
    <x v="496"/>
    <n v="1"/>
    <n v="0"/>
    <n v="0.88"/>
    <s v="B"/>
    <n v="279"/>
    <n v="7.5796239991675633E-4"/>
    <n v="0.85147279554366873"/>
    <s v="B"/>
    <n v="6"/>
    <n v="6.2155775398998981E-4"/>
    <n v="0.82747983788686674"/>
    <s v="B"/>
    <s v="BBB"/>
    <n v="2.2360679774997894"/>
    <s v="Z"/>
    <x v="10"/>
  </r>
  <r>
    <x v="497"/>
    <n v="1"/>
    <n v="0"/>
    <n v="0.92"/>
    <s v="B"/>
    <n v="279"/>
    <n v="7.5796239991675633E-4"/>
    <n v="0.85223075794358549"/>
    <s v="B"/>
    <n v="6"/>
    <n v="6.2155775398998981E-4"/>
    <n v="0.82810139564085672"/>
    <s v="B"/>
    <s v="BBB"/>
    <n v="2.2360679774997894"/>
    <s v="Z"/>
    <x v="10"/>
  </r>
  <r>
    <x v="498"/>
    <n v="1"/>
    <n v="0"/>
    <n v="0.79"/>
    <s v="A"/>
    <n v="278"/>
    <n v="7.5524568880594358E-4"/>
    <n v="0.85298600363239141"/>
    <s v="B"/>
    <n v="6"/>
    <n v="6.2155775398998981E-4"/>
    <n v="0.8287229533948467"/>
    <s v="B"/>
    <s v="ABB"/>
    <n v="2.2360679774997894"/>
    <s v="Z"/>
    <x v="8"/>
  </r>
  <r>
    <x v="499"/>
    <n v="1"/>
    <n v="0"/>
    <n v="0.91"/>
    <s v="B"/>
    <n v="276"/>
    <n v="7.4981226658431808E-4"/>
    <n v="0.85373581589897574"/>
    <s v="B"/>
    <n v="6"/>
    <n v="6.2155775398998981E-4"/>
    <n v="0.82934451114883667"/>
    <s v="B"/>
    <s v="BBB"/>
    <n v="2.2360679774997894"/>
    <s v="Z"/>
    <x v="10"/>
  </r>
  <r>
    <x v="500"/>
    <n v="1"/>
    <n v="0"/>
    <n v="0.8"/>
    <s v="A"/>
    <n v="275"/>
    <n v="7.4709555547350533E-4"/>
    <n v="0.85448291145444921"/>
    <s v="B"/>
    <n v="6"/>
    <n v="6.2155775398998981E-4"/>
    <n v="0.82996606890282665"/>
    <s v="B"/>
    <s v="ABB"/>
    <n v="2.2360679774997894"/>
    <s v="Z"/>
    <x v="8"/>
  </r>
  <r>
    <x v="501"/>
    <n v="1"/>
    <n v="0"/>
    <n v="0.86"/>
    <s v="B"/>
    <n v="275"/>
    <n v="7.4709555547350533E-4"/>
    <n v="0.85523000700992269"/>
    <s v="B"/>
    <n v="6"/>
    <n v="6.2155775398998981E-4"/>
    <n v="0.83058762665681662"/>
    <s v="B"/>
    <s v="BBB"/>
    <n v="2.2360679774997894"/>
    <s v="Z"/>
    <x v="10"/>
  </r>
  <r>
    <x v="502"/>
    <n v="1"/>
    <n v="0"/>
    <n v="0.92"/>
    <s v="B"/>
    <n v="274"/>
    <n v="7.4437884436269258E-4"/>
    <n v="0.85671876469864816"/>
    <s v="B"/>
    <n v="6"/>
    <n v="6.2155775398998981E-4"/>
    <n v="0.8312091844108066"/>
    <s v="B"/>
    <s v="BBB"/>
    <n v="2.2360679774997894"/>
    <s v="Z"/>
    <x v="10"/>
  </r>
  <r>
    <x v="503"/>
    <n v="1"/>
    <n v="0"/>
    <n v="0.71"/>
    <s v="A"/>
    <n v="273"/>
    <n v="7.4166213325187983E-4"/>
    <n v="0.85820208900223505"/>
    <s v="B"/>
    <n v="6"/>
    <n v="6.2155775398998981E-4"/>
    <n v="0.83183074216479658"/>
    <s v="B"/>
    <s v="ABB"/>
    <n v="2.2360679774997894"/>
    <s v="Z"/>
    <x v="8"/>
  </r>
  <r>
    <x v="504"/>
    <n v="1"/>
    <n v="0"/>
    <n v="0.95"/>
    <s v="C"/>
    <n v="273"/>
    <n v="7.4166213325187983E-4"/>
    <n v="0.85894375113548693"/>
    <s v="B"/>
    <n v="6"/>
    <n v="6.2155775398998981E-4"/>
    <n v="0.83245229991878655"/>
    <s v="B"/>
    <s v="CBB"/>
    <n v="2.2360679774997894"/>
    <s v="Z"/>
    <x v="9"/>
  </r>
  <r>
    <x v="505"/>
    <n v="1"/>
    <n v="0"/>
    <n v="0.78"/>
    <s v="A"/>
    <n v="272"/>
    <n v="7.3894542214106708E-4"/>
    <n v="0.860421641979769"/>
    <s v="B"/>
    <n v="6"/>
    <n v="6.2155775398998981E-4"/>
    <n v="0.83307385767277653"/>
    <s v="B"/>
    <s v="ABB"/>
    <n v="2.2360679774997894"/>
    <s v="Z"/>
    <x v="8"/>
  </r>
  <r>
    <x v="506"/>
    <n v="1"/>
    <n v="0"/>
    <n v="0.81"/>
    <s v="B"/>
    <n v="272"/>
    <n v="7.3894542214106708E-4"/>
    <n v="0.86116058740191004"/>
    <s v="B"/>
    <n v="6"/>
    <n v="6.2155775398998981E-4"/>
    <n v="0.83369541542676651"/>
    <s v="B"/>
    <s v="BBB"/>
    <n v="2.2360679774997894"/>
    <s v="Z"/>
    <x v="10"/>
  </r>
  <r>
    <x v="507"/>
    <n v="1"/>
    <n v="0"/>
    <n v="0.89"/>
    <s v="B"/>
    <n v="271"/>
    <n v="7.3622871103025433E-4"/>
    <n v="0.86189681611294033"/>
    <s v="B"/>
    <n v="6"/>
    <n v="6.2155775398998981E-4"/>
    <n v="0.83431697318075648"/>
    <s v="B"/>
    <s v="BBB"/>
    <n v="2.2360679774997894"/>
    <s v="Z"/>
    <x v="10"/>
  </r>
  <r>
    <x v="508"/>
    <n v="1"/>
    <n v="0"/>
    <n v="0.72"/>
    <s v="A"/>
    <n v="270"/>
    <n v="7.3351199991944158E-4"/>
    <n v="0.86409735211269867"/>
    <s v="B"/>
    <n v="6"/>
    <n v="6.2155775398998981E-4"/>
    <n v="0.83493853093474646"/>
    <s v="B"/>
    <s v="ABB"/>
    <n v="2.2360679774997894"/>
    <s v="Z"/>
    <x v="8"/>
  </r>
  <r>
    <x v="509"/>
    <n v="1"/>
    <n v="0"/>
    <n v="0.75"/>
    <s v="A"/>
    <n v="270"/>
    <n v="7.3351199991944158E-4"/>
    <n v="0.86483086411261811"/>
    <s v="B"/>
    <n v="6"/>
    <n v="6.2155775398998981E-4"/>
    <n v="0.83556008868873644"/>
    <s v="B"/>
    <s v="ABB"/>
    <n v="2.2360679774997894"/>
    <s v="Z"/>
    <x v="8"/>
  </r>
  <r>
    <x v="510"/>
    <n v="1"/>
    <n v="0"/>
    <n v="0.76"/>
    <s v="A"/>
    <n v="270"/>
    <n v="7.3351199991944158E-4"/>
    <n v="0.86556437611253756"/>
    <s v="B"/>
    <n v="6"/>
    <n v="6.2155775398998981E-4"/>
    <n v="0.83618164644272641"/>
    <s v="B"/>
    <s v="ABB"/>
    <n v="2.2360679774997894"/>
    <s v="Z"/>
    <x v="8"/>
  </r>
  <r>
    <x v="511"/>
    <n v="1"/>
    <n v="0"/>
    <n v="0.87"/>
    <s v="B"/>
    <n v="270"/>
    <n v="7.3351199991944158E-4"/>
    <n v="0.866297888112457"/>
    <s v="B"/>
    <n v="6"/>
    <n v="6.2155775398998981E-4"/>
    <n v="0.83680320419671639"/>
    <s v="B"/>
    <s v="BBB"/>
    <n v="2.2360679774997894"/>
    <s v="Z"/>
    <x v="10"/>
  </r>
  <r>
    <x v="512"/>
    <n v="1"/>
    <n v="0"/>
    <n v="0.76"/>
    <s v="A"/>
    <n v="269"/>
    <n v="7.3079528880862883E-4"/>
    <n v="0.8670286834012656"/>
    <s v="B"/>
    <n v="6"/>
    <n v="6.2155775398998981E-4"/>
    <n v="0.83742476195070636"/>
    <s v="B"/>
    <s v="ABB"/>
    <n v="2.2360679774997894"/>
    <s v="Z"/>
    <x v="8"/>
  </r>
  <r>
    <x v="513"/>
    <n v="1"/>
    <n v="0"/>
    <n v="0.78"/>
    <s v="A"/>
    <n v="266"/>
    <n v="7.2264515547619057E-4"/>
    <n v="0.86847940713443961"/>
    <s v="B"/>
    <n v="6"/>
    <n v="6.2155775398998981E-4"/>
    <n v="0.83804631970469634"/>
    <s v="B"/>
    <s v="ABB"/>
    <n v="2.2360679774997894"/>
    <s v="Z"/>
    <x v="8"/>
  </r>
  <r>
    <x v="514"/>
    <n v="1"/>
    <n v="0"/>
    <n v="0.99"/>
    <s v="C"/>
    <n v="261"/>
    <n v="7.0906159992212693E-4"/>
    <n v="0.87206003237849083"/>
    <s v="B"/>
    <n v="6"/>
    <n v="6.2155775398998981E-4"/>
    <n v="0.83866787745868632"/>
    <s v="B"/>
    <s v="CBB"/>
    <n v="2.2360679774997894"/>
    <s v="Z"/>
    <x v="9"/>
  </r>
  <r>
    <x v="515"/>
    <n v="1"/>
    <n v="0"/>
    <n v="0.85"/>
    <s v="B"/>
    <n v="256"/>
    <n v="6.9547804436806318E-4"/>
    <n v="0.87275551042285893"/>
    <s v="B"/>
    <n v="6"/>
    <n v="6.2155775398998981E-4"/>
    <n v="0.83928943521267629"/>
    <s v="B"/>
    <s v="BBB"/>
    <n v="2.2360679774997894"/>
    <s v="Z"/>
    <x v="10"/>
  </r>
  <r>
    <x v="516"/>
    <n v="1"/>
    <n v="0"/>
    <n v="0.79"/>
    <s v="A"/>
    <n v="255"/>
    <n v="6.9276133325725043E-4"/>
    <n v="0.87344827175611617"/>
    <s v="B"/>
    <n v="6"/>
    <n v="6.2155775398998981E-4"/>
    <n v="0.83991099296666627"/>
    <s v="B"/>
    <s v="ABB"/>
    <n v="2.2360679774997894"/>
    <s v="Z"/>
    <x v="8"/>
  </r>
  <r>
    <x v="517"/>
    <n v="1"/>
    <n v="0"/>
    <n v="0.9"/>
    <s v="B"/>
    <n v="255"/>
    <n v="6.9276133325725043E-4"/>
    <n v="0.87414103308937341"/>
    <s v="B"/>
    <n v="6"/>
    <n v="6.2155775398998981E-4"/>
    <n v="0.84053255072065625"/>
    <s v="B"/>
    <s v="BBB"/>
    <n v="2.2360679774997894"/>
    <s v="Z"/>
    <x v="10"/>
  </r>
  <r>
    <x v="518"/>
    <n v="1"/>
    <n v="0"/>
    <n v="0.82"/>
    <s v="B"/>
    <n v="254"/>
    <n v="6.9004462214643768E-4"/>
    <n v="0.87621334032470133"/>
    <s v="B"/>
    <n v="6"/>
    <n v="6.2155775398998981E-4"/>
    <n v="0.84115410847464622"/>
    <s v="B"/>
    <s v="BBB"/>
    <n v="2.2360679774997894"/>
    <s v="Z"/>
    <x v="10"/>
  </r>
  <r>
    <x v="519"/>
    <n v="1"/>
    <n v="0"/>
    <n v="0.98"/>
    <s v="C"/>
    <n v="254"/>
    <n v="6.9004462214643768E-4"/>
    <n v="0.87690338494684772"/>
    <s v="B"/>
    <n v="6"/>
    <n v="6.2155775398998981E-4"/>
    <n v="0.8417756662286362"/>
    <s v="B"/>
    <s v="CBB"/>
    <n v="2.2360679774997894"/>
    <s v="Z"/>
    <x v="9"/>
  </r>
  <r>
    <x v="520"/>
    <n v="1"/>
    <n v="0"/>
    <n v="0.87"/>
    <s v="B"/>
    <n v="253"/>
    <n v="6.8732791103562492E-4"/>
    <n v="0.87759071285788337"/>
    <s v="B"/>
    <n v="6"/>
    <n v="6.2155775398998981E-4"/>
    <n v="0.84239722398262618"/>
    <s v="B"/>
    <s v="BBB"/>
    <n v="2.2360679774997894"/>
    <s v="Z"/>
    <x v="10"/>
  </r>
  <r>
    <x v="521"/>
    <n v="1"/>
    <n v="0"/>
    <n v="0.88"/>
    <s v="B"/>
    <n v="252"/>
    <n v="6.8461119992481217E-4"/>
    <n v="0.87895993525773297"/>
    <s v="B"/>
    <n v="6"/>
    <n v="6.2155775398998981E-4"/>
    <n v="0.84301878173661615"/>
    <s v="B"/>
    <s v="BBB"/>
    <n v="2.2360679774997894"/>
    <s v="Z"/>
    <x v="10"/>
  </r>
  <r>
    <x v="522"/>
    <n v="1"/>
    <n v="0"/>
    <n v="0.76"/>
    <s v="A"/>
    <n v="249"/>
    <n v="6.7646106659237392E-4"/>
    <n v="0.88031285739091769"/>
    <s v="B"/>
    <n v="6"/>
    <n v="6.2155775398998981E-4"/>
    <n v="0.84364033949060613"/>
    <s v="B"/>
    <s v="ABB"/>
    <n v="2.2360679774997894"/>
    <s v="Z"/>
    <x v="8"/>
  </r>
  <r>
    <x v="523"/>
    <n v="1"/>
    <n v="0"/>
    <n v="0.81"/>
    <s v="B"/>
    <n v="247"/>
    <n v="6.7102764437074842E-4"/>
    <n v="0.88098388503528846"/>
    <s v="B"/>
    <n v="6"/>
    <n v="6.2155775398998981E-4"/>
    <n v="0.8442618972445961"/>
    <s v="B"/>
    <s v="BBB"/>
    <n v="2.2360679774997894"/>
    <s v="Z"/>
    <x v="10"/>
  </r>
  <r>
    <x v="524"/>
    <n v="1"/>
    <n v="0"/>
    <n v="0.82"/>
    <s v="B"/>
    <n v="247"/>
    <n v="6.7102764437074842E-4"/>
    <n v="0.88165491267965923"/>
    <s v="B"/>
    <n v="6"/>
    <n v="6.2155775398998981E-4"/>
    <n v="0.84488345499858608"/>
    <s v="B"/>
    <s v="BBB"/>
    <n v="2.2360679774997894"/>
    <s v="Z"/>
    <x v="10"/>
  </r>
  <r>
    <x v="525"/>
    <n v="1"/>
    <n v="0"/>
    <n v="0.82"/>
    <s v="B"/>
    <n v="245"/>
    <n v="6.6559422214912292E-4"/>
    <n v="0.88298610112395737"/>
    <s v="B"/>
    <n v="6"/>
    <n v="6.2155775398998981E-4"/>
    <n v="0.84550501275257606"/>
    <s v="B"/>
    <s v="BBB"/>
    <n v="2.2360679774997894"/>
    <s v="Z"/>
    <x v="10"/>
  </r>
  <r>
    <x v="526"/>
    <n v="1"/>
    <n v="0"/>
    <n v="0.95"/>
    <s v="B"/>
    <n v="245"/>
    <n v="6.6559422214912292E-4"/>
    <n v="0.88365169534610644"/>
    <s v="B"/>
    <n v="6"/>
    <n v="6.2155775398998981E-4"/>
    <n v="0.84612657050656603"/>
    <s v="B"/>
    <s v="BBB"/>
    <n v="2.2360679774997894"/>
    <s v="Z"/>
    <x v="10"/>
  </r>
  <r>
    <x v="527"/>
    <n v="1"/>
    <n v="0"/>
    <n v="0.8"/>
    <s v="A"/>
    <n v="240"/>
    <n v="6.5201066659505917E-4"/>
    <n v="0.88495571667929651"/>
    <s v="B"/>
    <n v="6"/>
    <n v="6.2155775398998981E-4"/>
    <n v="0.84674812826055601"/>
    <s v="B"/>
    <s v="ABB"/>
    <n v="2.2360679774997894"/>
    <s v="Z"/>
    <x v="8"/>
  </r>
  <r>
    <x v="528"/>
    <n v="1"/>
    <n v="0"/>
    <n v="0.81"/>
    <s v="B"/>
    <n v="240"/>
    <n v="6.5201066659505917E-4"/>
    <n v="0.88560772734589155"/>
    <s v="B"/>
    <n v="6"/>
    <n v="6.2155775398998981E-4"/>
    <n v="0.84736968601454599"/>
    <s v="B"/>
    <s v="BBB"/>
    <n v="2.2360679774997894"/>
    <s v="Z"/>
    <x v="10"/>
  </r>
  <r>
    <x v="529"/>
    <n v="1"/>
    <n v="0"/>
    <n v="0.86"/>
    <s v="B"/>
    <n v="240"/>
    <n v="6.5201066659505917E-4"/>
    <n v="0.88625973801248659"/>
    <s v="B"/>
    <n v="6"/>
    <n v="6.2155775398998981E-4"/>
    <n v="0.84799124376853596"/>
    <s v="B"/>
    <s v="BBB"/>
    <n v="2.2360679774997894"/>
    <s v="Z"/>
    <x v="10"/>
  </r>
  <r>
    <x v="530"/>
    <n v="1"/>
    <n v="0"/>
    <n v="0.86"/>
    <s v="B"/>
    <n v="239"/>
    <n v="6.4929395548424642E-4"/>
    <n v="0.88690903196797088"/>
    <s v="B"/>
    <n v="6"/>
    <n v="6.2155775398998981E-4"/>
    <n v="0.84861280152252594"/>
    <s v="B"/>
    <s v="BBB"/>
    <n v="2.2360679774997894"/>
    <s v="Z"/>
    <x v="10"/>
  </r>
  <r>
    <x v="531"/>
    <n v="1"/>
    <n v="0"/>
    <n v="0.86"/>
    <s v="B"/>
    <n v="236"/>
    <n v="6.4114382215180827E-4"/>
    <n v="0.88819675303449619"/>
    <s v="B"/>
    <n v="6"/>
    <n v="6.2155775398998981E-4"/>
    <n v="0.84923435927651592"/>
    <s v="B"/>
    <s v="BBB"/>
    <n v="2.2360679774997894"/>
    <s v="Z"/>
    <x v="10"/>
  </r>
  <r>
    <x v="532"/>
    <n v="1"/>
    <n v="0"/>
    <n v="0.83"/>
    <s v="B"/>
    <n v="235"/>
    <n v="6.3842711104099552E-4"/>
    <n v="0.8888351801455372"/>
    <s v="B"/>
    <n v="6"/>
    <n v="6.2155775398998981E-4"/>
    <n v="0.84985591703050589"/>
    <s v="B"/>
    <s v="BBB"/>
    <n v="2.2360679774997894"/>
    <s v="Z"/>
    <x v="10"/>
  </r>
  <r>
    <x v="533"/>
    <n v="1"/>
    <n v="0"/>
    <n v="0.77"/>
    <s v="A"/>
    <n v="233"/>
    <n v="6.3299368881937002E-4"/>
    <n v="0.89073959463421692"/>
    <s v="B"/>
    <n v="6"/>
    <n v="6.2155775398998981E-4"/>
    <n v="0.85047747478449587"/>
    <s v="B"/>
    <s v="ABB"/>
    <n v="2.2360679774997894"/>
    <s v="Z"/>
    <x v="8"/>
  </r>
  <r>
    <x v="534"/>
    <n v="1"/>
    <n v="0"/>
    <n v="0.76"/>
    <s v="A"/>
    <n v="231"/>
    <n v="6.2756026659774452E-4"/>
    <n v="0.89199743187852321"/>
    <s v="B"/>
    <n v="6"/>
    <n v="6.2155775398998981E-4"/>
    <n v="0.85109903253848584"/>
    <s v="B"/>
    <s v="ABB"/>
    <n v="2.2360679774997894"/>
    <s v="Z"/>
    <x v="8"/>
  </r>
  <r>
    <x v="535"/>
    <n v="1"/>
    <n v="0"/>
    <n v="0.88"/>
    <s v="B"/>
    <n v="227"/>
    <n v="6.1669342215449352E-4"/>
    <n v="0.89323896885616472"/>
    <s v="B"/>
    <n v="6"/>
    <n v="6.2155775398998981E-4"/>
    <n v="0.85172059029247582"/>
    <s v="B"/>
    <s v="BBB"/>
    <n v="2.2360679774997894"/>
    <s v="Z"/>
    <x v="10"/>
  </r>
  <r>
    <x v="536"/>
    <n v="1"/>
    <n v="0"/>
    <n v="0.93"/>
    <s v="B"/>
    <n v="226"/>
    <n v="6.1397671104368077E-4"/>
    <n v="0.8938529455672084"/>
    <s v="B"/>
    <n v="6"/>
    <n v="6.2155775398998981E-4"/>
    <n v="0.8523421480464658"/>
    <s v="B"/>
    <s v="BBB"/>
    <n v="2.2360679774997894"/>
    <s v="Z"/>
    <x v="10"/>
  </r>
  <r>
    <x v="537"/>
    <n v="1"/>
    <n v="0"/>
    <n v="0.84"/>
    <s v="B"/>
    <n v="224"/>
    <n v="6.0854328882205527E-4"/>
    <n v="0.8944614888560305"/>
    <s v="B"/>
    <n v="6"/>
    <n v="6.2155775398998981E-4"/>
    <n v="0.85296370580045577"/>
    <s v="B"/>
    <s v="BBB"/>
    <n v="2.2360679774997894"/>
    <s v="Z"/>
    <x v="10"/>
  </r>
  <r>
    <x v="538"/>
    <n v="1"/>
    <n v="0"/>
    <n v="0.77"/>
    <s v="A"/>
    <n v="222"/>
    <n v="6.0310986660042976E-4"/>
    <n v="0.89566770858923128"/>
    <s v="B"/>
    <n v="6"/>
    <n v="6.2155775398998981E-4"/>
    <n v="0.85358526355444575"/>
    <s v="B"/>
    <s v="ABB"/>
    <n v="2.2360679774997894"/>
    <s v="Z"/>
    <x v="8"/>
  </r>
  <r>
    <x v="539"/>
    <n v="1"/>
    <n v="0"/>
    <n v="0.8"/>
    <s v="A"/>
    <n v="222"/>
    <n v="6.0310986660042976E-4"/>
    <n v="0.89627081845583167"/>
    <s v="B"/>
    <n v="6"/>
    <n v="6.2155775398998981E-4"/>
    <n v="0.85420682130843573"/>
    <s v="B"/>
    <s v="ABB"/>
    <n v="2.2360679774997894"/>
    <s v="Z"/>
    <x v="8"/>
  </r>
  <r>
    <x v="540"/>
    <n v="1"/>
    <n v="0"/>
    <n v="0.78"/>
    <s v="A"/>
    <n v="221"/>
    <n v="6.0039315548961701E-4"/>
    <n v="0.89747160476681098"/>
    <s v="B"/>
    <n v="6"/>
    <n v="6.2155775398998981E-4"/>
    <n v="0.8548283790624257"/>
    <s v="B"/>
    <s v="ABB"/>
    <n v="2.2360679774997894"/>
    <s v="Z"/>
    <x v="8"/>
  </r>
  <r>
    <x v="541"/>
    <n v="1"/>
    <n v="0"/>
    <n v="0.98"/>
    <s v="C"/>
    <n v="219"/>
    <n v="5.9495973326799151E-4"/>
    <n v="0.89866152423334689"/>
    <s v="B"/>
    <n v="6"/>
    <n v="6.2155775398998981E-4"/>
    <n v="0.85544993681641568"/>
    <s v="B"/>
    <s v="CBB"/>
    <n v="2.2360679774997894"/>
    <s v="Z"/>
    <x v="9"/>
  </r>
  <r>
    <x v="542"/>
    <n v="1"/>
    <n v="0"/>
    <n v="0.74"/>
    <s v="A"/>
    <n v="218"/>
    <n v="5.9224302215717876E-4"/>
    <n v="0.8992537672555041"/>
    <s v="B"/>
    <n v="6"/>
    <n v="6.2155775398998981E-4"/>
    <n v="0.85607149457040566"/>
    <s v="B"/>
    <s v="ABB"/>
    <n v="2.2360679774997894"/>
    <s v="Z"/>
    <x v="8"/>
  </r>
  <r>
    <x v="543"/>
    <n v="1"/>
    <n v="0"/>
    <n v="0.8"/>
    <s v="A"/>
    <n v="218"/>
    <n v="5.9224302215717876E-4"/>
    <n v="0.89984601027766131"/>
    <s v="B"/>
    <n v="6"/>
    <n v="6.2155775398998981E-4"/>
    <n v="0.85669305232439563"/>
    <s v="B"/>
    <s v="ABB"/>
    <n v="2.2360679774997894"/>
    <s v="Z"/>
    <x v="8"/>
  </r>
  <r>
    <x v="544"/>
    <n v="1"/>
    <n v="0"/>
    <n v="0.87"/>
    <s v="B"/>
    <n v="217"/>
    <n v="5.8952631104636601E-4"/>
    <n v="0.90043553658870767"/>
    <s v="B"/>
    <n v="6"/>
    <n v="6.2155775398998981E-4"/>
    <n v="0.85731461007838561"/>
    <s v="B"/>
    <s v="BBB"/>
    <n v="2.2360679774997894"/>
    <s v="Z"/>
    <x v="10"/>
  </r>
  <r>
    <x v="545"/>
    <n v="1"/>
    <n v="0"/>
    <n v="0.69"/>
    <s v="A"/>
    <n v="216"/>
    <n v="5.8680959993555326E-4"/>
    <n v="0.90102234618864319"/>
    <s v="B"/>
    <n v="6"/>
    <n v="6.2155775398998981E-4"/>
    <n v="0.85793616783237558"/>
    <s v="B"/>
    <s v="ABB"/>
    <n v="2.2360679774997894"/>
    <s v="Z"/>
    <x v="8"/>
  </r>
  <r>
    <x v="546"/>
    <n v="1"/>
    <n v="0"/>
    <n v="0.82"/>
    <s v="B"/>
    <n v="214"/>
    <n v="5.8137617771392776E-4"/>
    <n v="0.90160372236635711"/>
    <s v="B"/>
    <n v="6"/>
    <n v="6.2155775398998981E-4"/>
    <n v="0.85855772558636556"/>
    <s v="B"/>
    <s v="BBB"/>
    <n v="2.2360679774997894"/>
    <s v="Z"/>
    <x v="10"/>
  </r>
  <r>
    <x v="547"/>
    <n v="1"/>
    <n v="0"/>
    <n v="0.86"/>
    <s v="B"/>
    <n v="214"/>
    <n v="5.8137617771392776E-4"/>
    <n v="0.90218509854407103"/>
    <s v="B"/>
    <n v="6"/>
    <n v="6.2155775398998981E-4"/>
    <n v="0.85917928334035554"/>
    <s v="B"/>
    <s v="BBB"/>
    <n v="2.2360679774997894"/>
    <s v="Z"/>
    <x v="10"/>
  </r>
  <r>
    <x v="548"/>
    <n v="1"/>
    <n v="0"/>
    <n v="0.97"/>
    <s v="C"/>
    <n v="214"/>
    <n v="5.8137617771392776E-4"/>
    <n v="0.90276647472178495"/>
    <s v="B"/>
    <n v="6"/>
    <n v="6.2155775398998981E-4"/>
    <n v="0.85980084109434551"/>
    <s v="B"/>
    <s v="CBB"/>
    <n v="2.2360679774997894"/>
    <s v="Z"/>
    <x v="9"/>
  </r>
  <r>
    <x v="549"/>
    <n v="1"/>
    <n v="0"/>
    <n v="0.69"/>
    <s v="A"/>
    <n v="213"/>
    <n v="5.7865946660311501E-4"/>
    <n v="0.90392379365499109"/>
    <s v="B"/>
    <n v="6"/>
    <n v="6.2155775398998981E-4"/>
    <n v="0.86042239884833549"/>
    <s v="B"/>
    <s v="ABB"/>
    <n v="2.2360679774997894"/>
    <s v="Z"/>
    <x v="8"/>
  </r>
  <r>
    <x v="550"/>
    <n v="1"/>
    <n v="0"/>
    <n v="0.91"/>
    <s v="B"/>
    <n v="211"/>
    <n v="5.7322604438148951E-4"/>
    <n v="0.9050729624548649"/>
    <s v="B"/>
    <n v="6"/>
    <n v="6.2155775398998981E-4"/>
    <n v="0.86104395660232547"/>
    <s v="B"/>
    <s v="BBB"/>
    <n v="2.2360679774997894"/>
    <s v="Z"/>
    <x v="10"/>
  </r>
  <r>
    <x v="551"/>
    <n v="1"/>
    <n v="0"/>
    <n v="0.83"/>
    <s v="B"/>
    <n v="209"/>
    <n v="5.6779262215986401E-4"/>
    <n v="0.90735228307683669"/>
    <s v="B"/>
    <n v="6"/>
    <n v="6.2155775398998981E-4"/>
    <n v="0.86166551435631544"/>
    <s v="B"/>
    <s v="BBB"/>
    <n v="2.2360679774997894"/>
    <s v="Z"/>
    <x v="10"/>
  </r>
  <r>
    <x v="552"/>
    <n v="1"/>
    <n v="0"/>
    <n v="0.82"/>
    <s v="B"/>
    <n v="207"/>
    <n v="5.6235919993823861E-4"/>
    <n v="0.90791464227677487"/>
    <s v="B"/>
    <n v="6"/>
    <n v="6.2155775398998981E-4"/>
    <n v="0.86228707211030542"/>
    <s v="B"/>
    <s v="BBB"/>
    <n v="2.2360679774997894"/>
    <s v="Z"/>
    <x v="10"/>
  </r>
  <r>
    <x v="553"/>
    <n v="1"/>
    <n v="0"/>
    <n v="0.93"/>
    <s v="B"/>
    <n v="207"/>
    <n v="5.6235919993823861E-4"/>
    <n v="0.90847700147671306"/>
    <s v="B"/>
    <n v="6"/>
    <n v="6.2155775398998981E-4"/>
    <n v="0.8629086298642954"/>
    <s v="B"/>
    <s v="BBB"/>
    <n v="2.2360679774997894"/>
    <s v="Z"/>
    <x v="10"/>
  </r>
  <r>
    <x v="554"/>
    <n v="1"/>
    <n v="0"/>
    <n v="0.75"/>
    <s v="A"/>
    <n v="206"/>
    <n v="5.5964248882742586E-4"/>
    <n v="0.90959628645436796"/>
    <s v="B"/>
    <n v="6"/>
    <n v="6.2155775398998981E-4"/>
    <n v="0.86353018761828537"/>
    <s v="B"/>
    <s v="ABB"/>
    <n v="2.2360679774997894"/>
    <s v="Z"/>
    <x v="8"/>
  </r>
  <r>
    <x v="555"/>
    <n v="1"/>
    <n v="0"/>
    <n v="0.96"/>
    <s v="C"/>
    <n v="206"/>
    <n v="5.5964248882742586E-4"/>
    <n v="0.91015592894319541"/>
    <s v="B"/>
    <n v="6"/>
    <n v="6.2155775398998981E-4"/>
    <n v="0.86415174537227535"/>
    <s v="B"/>
    <s v="CBB"/>
    <n v="2.2360679774997894"/>
    <s v="Z"/>
    <x v="9"/>
  </r>
  <r>
    <x v="556"/>
    <n v="1"/>
    <n v="0"/>
    <n v="0.78"/>
    <s v="A"/>
    <n v="203"/>
    <n v="5.5149235549498761E-4"/>
    <n v="0.91126163036529617"/>
    <s v="B"/>
    <n v="6"/>
    <n v="6.2155775398998981E-4"/>
    <n v="0.86477330312626532"/>
    <s v="B"/>
    <s v="ABB"/>
    <n v="2.2360679774997894"/>
    <s v="Z"/>
    <x v="8"/>
  </r>
  <r>
    <x v="557"/>
    <n v="1"/>
    <n v="0"/>
    <n v="0.88"/>
    <s v="B"/>
    <n v="200"/>
    <n v="5.4334222216254936E-4"/>
    <n v="0.91234831480962131"/>
    <s v="B"/>
    <n v="6"/>
    <n v="6.2155775398998981E-4"/>
    <n v="0.8653948608802553"/>
    <s v="B"/>
    <s v="BBB"/>
    <n v="2.2360679774997894"/>
    <s v="Z"/>
    <x v="10"/>
  </r>
  <r>
    <x v="558"/>
    <n v="1"/>
    <n v="0"/>
    <n v="0.92"/>
    <s v="B"/>
    <n v="199"/>
    <n v="5.4062551105173661E-4"/>
    <n v="0.91342956583172474"/>
    <s v="B"/>
    <n v="6"/>
    <n v="6.2155775398998981E-4"/>
    <n v="0.86601641863424528"/>
    <s v="B"/>
    <s v="BBB"/>
    <n v="2.2360679774997894"/>
    <s v="Z"/>
    <x v="10"/>
  </r>
  <r>
    <x v="559"/>
    <n v="1"/>
    <n v="0"/>
    <n v="0.69"/>
    <s v="A"/>
    <n v="195"/>
    <n v="5.2975866660848561E-4"/>
    <n v="0.91395932449833328"/>
    <s v="B"/>
    <n v="6"/>
    <n v="6.2155775398998981E-4"/>
    <n v="0.86663797638823525"/>
    <s v="B"/>
    <s v="ABB"/>
    <n v="2.2360679774997894"/>
    <s v="Z"/>
    <x v="8"/>
  </r>
  <r>
    <x v="560"/>
    <n v="1"/>
    <n v="0"/>
    <n v="0.86"/>
    <s v="B"/>
    <n v="195"/>
    <n v="5.2975866660848561E-4"/>
    <n v="0.91448908316494182"/>
    <s v="B"/>
    <n v="6"/>
    <n v="6.2155775398998981E-4"/>
    <n v="0.86725953414222523"/>
    <s v="B"/>
    <s v="BBB"/>
    <n v="2.2360679774997894"/>
    <s v="Z"/>
    <x v="10"/>
  </r>
  <r>
    <x v="561"/>
    <n v="1"/>
    <n v="0"/>
    <n v="0.97"/>
    <s v="C"/>
    <n v="192"/>
    <n v="5.2160853327604736E-4"/>
    <n v="0.91657551729804621"/>
    <s v="B"/>
    <n v="6"/>
    <n v="6.2155775398998981E-4"/>
    <n v="0.86788109189621521"/>
    <s v="B"/>
    <s v="CBB"/>
    <n v="2.2360679774997894"/>
    <s v="Z"/>
    <x v="9"/>
  </r>
  <r>
    <x v="562"/>
    <n v="1"/>
    <n v="0"/>
    <n v="0.93"/>
    <s v="B"/>
    <n v="189"/>
    <n v="5.134583999436091E-4"/>
    <n v="0.91760515080904426"/>
    <s v="B"/>
    <n v="6"/>
    <n v="6.2155775398998981E-4"/>
    <n v="0.86850264965020518"/>
    <s v="B"/>
    <s v="BBB"/>
    <n v="2.2360679774997894"/>
    <s v="Z"/>
    <x v="10"/>
  </r>
  <r>
    <x v="563"/>
    <n v="1"/>
    <n v="0"/>
    <n v="0.78"/>
    <s v="A"/>
    <n v="188"/>
    <n v="5.1074168883279635E-4"/>
    <n v="0.91862663418670987"/>
    <s v="B"/>
    <n v="6"/>
    <n v="6.2155775398998981E-4"/>
    <n v="0.86912420740419516"/>
    <s v="B"/>
    <s v="ABB"/>
    <n v="2.2360679774997894"/>
    <s v="Z"/>
    <x v="8"/>
  </r>
  <r>
    <x v="564"/>
    <n v="1"/>
    <n v="0"/>
    <n v="0.74"/>
    <s v="A"/>
    <n v="185"/>
    <n v="5.025915555003581E-4"/>
    <n v="0.92064243384098488"/>
    <s v="B"/>
    <n v="6"/>
    <n v="6.2155775398998981E-4"/>
    <n v="0.86974576515818514"/>
    <s v="B"/>
    <s v="ABB"/>
    <n v="2.2360679774997894"/>
    <s v="Z"/>
    <x v="8"/>
  </r>
  <r>
    <x v="565"/>
    <n v="1"/>
    <n v="0"/>
    <n v="0.93"/>
    <s v="B"/>
    <n v="183"/>
    <n v="4.971581332787326E-4"/>
    <n v="0.92113959197426365"/>
    <s v="B"/>
    <n v="6"/>
    <n v="6.2155775398998981E-4"/>
    <n v="0.87036732291217511"/>
    <s v="B"/>
    <s v="BBB"/>
    <n v="2.2360679774997894"/>
    <s v="Z"/>
    <x v="10"/>
  </r>
  <r>
    <x v="566"/>
    <n v="1"/>
    <n v="0"/>
    <n v="0.77"/>
    <s v="A"/>
    <n v="178"/>
    <n v="4.835745777246689E-4"/>
    <n v="0.92210674112971291"/>
    <s v="B"/>
    <n v="6"/>
    <n v="6.2155775398998981E-4"/>
    <n v="0.87098888066616509"/>
    <s v="B"/>
    <s v="ABB"/>
    <n v="2.2360679774997894"/>
    <s v="Z"/>
    <x v="8"/>
  </r>
  <r>
    <x v="567"/>
    <n v="1"/>
    <n v="0"/>
    <n v="0.99"/>
    <s v="C"/>
    <n v="177"/>
    <n v="4.8085786661385615E-4"/>
    <n v="0.9230684568629407"/>
    <s v="B"/>
    <n v="6"/>
    <n v="6.2155775398998981E-4"/>
    <n v="0.87161043842015506"/>
    <s v="B"/>
    <s v="CBB"/>
    <n v="2.2360679774997894"/>
    <s v="Z"/>
    <x v="9"/>
  </r>
  <r>
    <x v="568"/>
    <n v="1"/>
    <n v="0"/>
    <n v="0.79"/>
    <s v="A"/>
    <n v="176"/>
    <n v="4.781411555030434E-4"/>
    <n v="0.92354659801844374"/>
    <s v="B"/>
    <n v="6"/>
    <n v="6.2155775398998981E-4"/>
    <n v="0.87223199617414504"/>
    <s v="B"/>
    <s v="ABB"/>
    <n v="2.2360679774997894"/>
    <s v="Z"/>
    <x v="8"/>
  </r>
  <r>
    <x v="569"/>
    <n v="1"/>
    <n v="0"/>
    <n v="0.95"/>
    <s v="B"/>
    <n v="175.5"/>
    <n v="4.7678279994763702E-4"/>
    <n v="0.92402338081839142"/>
    <s v="B"/>
    <n v="6"/>
    <n v="6.2155775398998981E-4"/>
    <n v="0.87285355392813502"/>
    <s v="B"/>
    <s v="BBB"/>
    <n v="2.2360679774997894"/>
    <s v="Z"/>
    <x v="10"/>
  </r>
  <r>
    <x v="570"/>
    <n v="1"/>
    <n v="0"/>
    <n v="0.97"/>
    <s v="C"/>
    <n v="175"/>
    <n v="4.7542444439223065E-4"/>
    <n v="0.9249742297071758"/>
    <s v="B"/>
    <n v="6"/>
    <n v="6.2155775398998981E-4"/>
    <n v="0.87347511168212499"/>
    <s v="B"/>
    <s v="CBB"/>
    <n v="2.2360679774997894"/>
    <s v="Z"/>
    <x v="9"/>
  </r>
  <r>
    <x v="571"/>
    <n v="1"/>
    <n v="0"/>
    <n v="0.93"/>
    <s v="B"/>
    <n v="172"/>
    <n v="4.6727431105979245E-4"/>
    <n v="0.92685419379585821"/>
    <s v="B"/>
    <n v="6"/>
    <n v="6.2155775398998981E-4"/>
    <n v="0.87409666943611497"/>
    <s v="B"/>
    <s v="BBB"/>
    <n v="2.2360679774997894"/>
    <s v="Z"/>
    <x v="10"/>
  </r>
  <r>
    <x v="572"/>
    <n v="1"/>
    <n v="0"/>
    <n v="0.74"/>
    <s v="A"/>
    <n v="170"/>
    <n v="4.6184088883816695E-4"/>
    <n v="0.92731603468469637"/>
    <s v="B"/>
    <n v="6"/>
    <n v="6.2155775398998981E-4"/>
    <n v="0.87471822719010495"/>
    <s v="B"/>
    <s v="ABB"/>
    <n v="2.2360679774997894"/>
    <s v="Z"/>
    <x v="8"/>
  </r>
  <r>
    <x v="573"/>
    <n v="1"/>
    <n v="0"/>
    <n v="0.78"/>
    <s v="A"/>
    <n v="170"/>
    <n v="4.6184088883816695E-4"/>
    <n v="0.92777787557353453"/>
    <s v="B"/>
    <n v="6"/>
    <n v="6.2155775398998981E-4"/>
    <n v="0.87533978494409492"/>
    <s v="B"/>
    <s v="ABB"/>
    <n v="2.2360679774997894"/>
    <s v="Z"/>
    <x v="8"/>
  </r>
  <r>
    <x v="574"/>
    <n v="1"/>
    <n v="0"/>
    <n v="0.71"/>
    <s v="A"/>
    <n v="169"/>
    <n v="4.591241777273542E-4"/>
    <n v="0.92823699975126184"/>
    <s v="B"/>
    <n v="6"/>
    <n v="6.2155775398998981E-4"/>
    <n v="0.8759613426980849"/>
    <s v="B"/>
    <s v="ABB"/>
    <n v="2.2360679774997894"/>
    <s v="Z"/>
    <x v="8"/>
  </r>
  <r>
    <x v="575"/>
    <n v="1"/>
    <n v="0"/>
    <n v="0.88"/>
    <s v="B"/>
    <n v="168"/>
    <n v="4.5640746661654145E-4"/>
    <n v="0.92914981468449498"/>
    <s v="B"/>
    <n v="6"/>
    <n v="6.2155775398998981E-4"/>
    <n v="0.87658290045207488"/>
    <s v="B"/>
    <s v="BBB"/>
    <n v="2.2360679774997894"/>
    <s v="Z"/>
    <x v="10"/>
  </r>
  <r>
    <x v="576"/>
    <n v="1"/>
    <n v="0"/>
    <n v="0.71"/>
    <s v="A"/>
    <n v="167"/>
    <n v="4.536907555057287E-4"/>
    <n v="0.9296035054400007"/>
    <s v="B"/>
    <n v="6"/>
    <n v="6.2155775398998981E-4"/>
    <n v="0.87720445820606485"/>
    <s v="B"/>
    <s v="ABB"/>
    <n v="2.2360679774997894"/>
    <s v="Z"/>
    <x v="8"/>
  </r>
  <r>
    <x v="577"/>
    <n v="1"/>
    <n v="0"/>
    <n v="0.86"/>
    <s v="B"/>
    <n v="164"/>
    <n v="4.4554062217329045E-4"/>
    <n v="0.93140262020602527"/>
    <s v="B"/>
    <n v="6"/>
    <n v="6.2155775398998981E-4"/>
    <n v="0.87782601596005483"/>
    <s v="B"/>
    <s v="BBB"/>
    <n v="2.2360679774997894"/>
    <s v="Z"/>
    <x v="10"/>
  </r>
  <r>
    <x v="578"/>
    <n v="1"/>
    <n v="0"/>
    <n v="0.85"/>
    <s v="B"/>
    <n v="162"/>
    <n v="4.4010719995166495E-4"/>
    <n v="0.93184272740597696"/>
    <s v="B"/>
    <n v="6"/>
    <n v="6.2155775398998981E-4"/>
    <n v="0.8784475737140448"/>
    <s v="B"/>
    <s v="BBB"/>
    <n v="2.2360679774997894"/>
    <s v="Z"/>
    <x v="10"/>
  </r>
  <r>
    <x v="579"/>
    <n v="1"/>
    <n v="0"/>
    <n v="0.98"/>
    <s v="C"/>
    <n v="161"/>
    <n v="4.373904888408522E-4"/>
    <n v="0.93228011789481779"/>
    <s v="B"/>
    <n v="6"/>
    <n v="6.2155775398998981E-4"/>
    <n v="0.87906913146803478"/>
    <s v="B"/>
    <s v="CBB"/>
    <n v="2.2360679774997894"/>
    <s v="Z"/>
    <x v="9"/>
  </r>
  <r>
    <x v="580"/>
    <n v="1"/>
    <n v="0"/>
    <n v="0.72"/>
    <s v="A"/>
    <n v="160"/>
    <n v="4.346737777300395E-4"/>
    <n v="0.93271479167254778"/>
    <s v="B"/>
    <n v="6"/>
    <n v="6.2155775398998981E-4"/>
    <n v="0.87969068922202476"/>
    <s v="B"/>
    <s v="ABB"/>
    <n v="2.2360679774997894"/>
    <s v="Z"/>
    <x v="8"/>
  </r>
  <r>
    <x v="581"/>
    <n v="1"/>
    <n v="0"/>
    <n v="0.95"/>
    <s v="B"/>
    <n v="159"/>
    <n v="4.3195706661922675E-4"/>
    <n v="0.93314674873916703"/>
    <s v="B"/>
    <n v="6"/>
    <n v="6.2155775398998981E-4"/>
    <n v="0.88031224697601473"/>
    <s v="B"/>
    <s v="BBB"/>
    <n v="2.2360679774997894"/>
    <s v="Z"/>
    <x v="10"/>
  </r>
  <r>
    <x v="582"/>
    <n v="1"/>
    <n v="0"/>
    <n v="0.97"/>
    <s v="C"/>
    <n v="157"/>
    <n v="4.2652364439760125E-4"/>
    <n v="0.93357327238356458"/>
    <s v="B"/>
    <n v="6"/>
    <n v="6.2155775398998981E-4"/>
    <n v="0.88093380473000471"/>
    <s v="B"/>
    <s v="CBB"/>
    <n v="2.2360679774997894"/>
    <s v="Z"/>
    <x v="9"/>
  </r>
  <r>
    <x v="583"/>
    <n v="1"/>
    <n v="0"/>
    <n v="0.69"/>
    <s v="A"/>
    <n v="156"/>
    <n v="4.238069332867885E-4"/>
    <n v="0.93442088625013819"/>
    <s v="B"/>
    <n v="6"/>
    <n v="6.2155775398998981E-4"/>
    <n v="0.88155536248399469"/>
    <s v="B"/>
    <s v="ABB"/>
    <n v="2.2360679774997894"/>
    <s v="Z"/>
    <x v="8"/>
  </r>
  <r>
    <x v="584"/>
    <n v="1"/>
    <n v="0"/>
    <n v="0.98"/>
    <s v="C"/>
    <n v="156"/>
    <n v="4.238069332867885E-4"/>
    <n v="0.934844693183425"/>
    <s v="B"/>
    <n v="6"/>
    <n v="6.2155775398998981E-4"/>
    <n v="0.88217692023798466"/>
    <s v="B"/>
    <s v="CBB"/>
    <n v="2.2360679774997894"/>
    <s v="Z"/>
    <x v="9"/>
  </r>
  <r>
    <x v="585"/>
    <n v="1"/>
    <n v="0"/>
    <n v="0.93"/>
    <s v="B"/>
    <n v="155"/>
    <n v="4.2109022217597575E-4"/>
    <n v="0.93526578340560096"/>
    <s v="B"/>
    <n v="6"/>
    <n v="6.2155775398998981E-4"/>
    <n v="0.88279847799197464"/>
    <s v="B"/>
    <s v="BBB"/>
    <n v="2.2360679774997894"/>
    <s v="Z"/>
    <x v="10"/>
  </r>
  <r>
    <x v="586"/>
    <n v="1"/>
    <n v="0"/>
    <n v="0.94"/>
    <s v="B"/>
    <n v="155"/>
    <n v="4.2109022217597575E-4"/>
    <n v="0.93568687362777692"/>
    <s v="B"/>
    <n v="6"/>
    <n v="6.2155775398998981E-4"/>
    <n v="0.88342003574596462"/>
    <s v="B"/>
    <s v="BBB"/>
    <n v="2.2360679774997894"/>
    <s v="Z"/>
    <x v="10"/>
  </r>
  <r>
    <x v="587"/>
    <n v="1"/>
    <n v="0"/>
    <n v="0.71"/>
    <s v="A"/>
    <n v="154"/>
    <n v="4.18373511065163E-4"/>
    <n v="0.93652362064990735"/>
    <s v="B"/>
    <n v="6"/>
    <n v="6.2155775398998981E-4"/>
    <n v="0.88404159349995459"/>
    <s v="B"/>
    <s v="ABB"/>
    <n v="2.2360679774997894"/>
    <s v="Z"/>
    <x v="8"/>
  </r>
  <r>
    <x v="588"/>
    <n v="1"/>
    <n v="0"/>
    <n v="0.83"/>
    <s v="B"/>
    <n v="154"/>
    <n v="4.18373511065163E-4"/>
    <n v="0.93694199416097257"/>
    <s v="B"/>
    <n v="6"/>
    <n v="6.2155775398998981E-4"/>
    <n v="0.88466315125394457"/>
    <s v="B"/>
    <s v="BBB"/>
    <n v="2.2360679774997894"/>
    <s v="Z"/>
    <x v="10"/>
  </r>
  <r>
    <x v="589"/>
    <n v="1"/>
    <n v="0"/>
    <n v="0.75"/>
    <s v="A"/>
    <n v="153"/>
    <n v="4.1565679995435024E-4"/>
    <n v="0.93735765096092694"/>
    <s v="B"/>
    <n v="6"/>
    <n v="6.2155775398998981E-4"/>
    <n v="0.88528470900793454"/>
    <s v="B"/>
    <s v="ABB"/>
    <n v="2.2360679774997894"/>
    <s v="Z"/>
    <x v="8"/>
  </r>
  <r>
    <x v="590"/>
    <n v="1"/>
    <n v="0"/>
    <n v="0.88"/>
    <s v="B"/>
    <n v="153"/>
    <n v="4.1565679995435024E-4"/>
    <n v="0.9377733077608813"/>
    <s v="B"/>
    <n v="6"/>
    <n v="6.2155775398998981E-4"/>
    <n v="0.88590626676192452"/>
    <s v="B"/>
    <s v="BBB"/>
    <n v="2.2360679774997894"/>
    <s v="Z"/>
    <x v="10"/>
  </r>
  <r>
    <x v="591"/>
    <n v="1"/>
    <n v="0"/>
    <n v="0.99"/>
    <s v="C"/>
    <n v="153"/>
    <n v="4.1565679995435024E-4"/>
    <n v="0.93818896456083567"/>
    <s v="B"/>
    <n v="6"/>
    <n v="6.2155775398998981E-4"/>
    <n v="0.8865278245159145"/>
    <s v="B"/>
    <s v="CBB"/>
    <n v="2.2360679774997894"/>
    <s v="Z"/>
    <x v="9"/>
  </r>
  <r>
    <x v="592"/>
    <n v="1"/>
    <n v="0"/>
    <n v="0.8"/>
    <s v="B"/>
    <n v="152.96"/>
    <n v="4.1554813150991777E-4"/>
    <n v="0.93860451269234557"/>
    <s v="B"/>
    <n v="6"/>
    <n v="6.2155775398998981E-4"/>
    <n v="0.88714938226990447"/>
    <s v="B"/>
    <s v="BBB"/>
    <n v="2.2360679774997894"/>
    <s v="Z"/>
    <x v="10"/>
  </r>
  <r>
    <x v="593"/>
    <n v="1"/>
    <n v="0"/>
    <n v="0.77"/>
    <s v="A"/>
    <n v="150"/>
    <n v="4.0750666662191199E-4"/>
    <n v="0.93983789953665453"/>
    <s v="B"/>
    <n v="6"/>
    <n v="6.2155775398998981E-4"/>
    <n v="0.88777094002389445"/>
    <s v="B"/>
    <s v="ABB"/>
    <n v="2.2360679774997894"/>
    <s v="Z"/>
    <x v="8"/>
  </r>
  <r>
    <x v="594"/>
    <n v="1"/>
    <n v="0"/>
    <n v="0.92"/>
    <s v="B"/>
    <n v="149"/>
    <n v="4.0478995551109924E-4"/>
    <n v="0.94024268949216561"/>
    <s v="B"/>
    <n v="6"/>
    <n v="6.2155775398998981E-4"/>
    <n v="0.88839249777788443"/>
    <s v="B"/>
    <s v="BBB"/>
    <n v="2.2360679774997894"/>
    <s v="Z"/>
    <x v="10"/>
  </r>
  <r>
    <x v="595"/>
    <n v="1"/>
    <n v="0"/>
    <n v="0.97"/>
    <s v="C"/>
    <n v="149"/>
    <n v="4.0478995551109924E-4"/>
    <n v="0.94064747944767668"/>
    <s v="B"/>
    <n v="6"/>
    <n v="6.2155775398998981E-4"/>
    <n v="0.8890140555318744"/>
    <s v="B"/>
    <s v="CBB"/>
    <n v="2.2360679774997894"/>
    <s v="Z"/>
    <x v="9"/>
  </r>
  <r>
    <x v="596"/>
    <n v="1"/>
    <n v="0"/>
    <n v="0.71"/>
    <s v="A"/>
    <n v="148"/>
    <n v="4.0207324440028649E-4"/>
    <n v="0.94104955269207702"/>
    <s v="B"/>
    <n v="6"/>
    <n v="6.2155775398998981E-4"/>
    <n v="0.88963561328586438"/>
    <s v="B"/>
    <s v="ABB"/>
    <n v="2.2360679774997894"/>
    <s v="Z"/>
    <x v="8"/>
  </r>
  <r>
    <x v="597"/>
    <n v="1"/>
    <n v="0"/>
    <n v="0.7"/>
    <s v="A"/>
    <n v="146"/>
    <n v="3.9663982217866104E-4"/>
    <n v="0.94184554904754514"/>
    <s v="B"/>
    <n v="6"/>
    <n v="6.2155775398998981E-4"/>
    <n v="0.89025717103985436"/>
    <s v="B"/>
    <s v="ABB"/>
    <n v="2.2360679774997894"/>
    <s v="Z"/>
    <x v="8"/>
  </r>
  <r>
    <x v="598"/>
    <n v="1"/>
    <n v="0"/>
    <n v="0.7"/>
    <s v="A"/>
    <n v="145"/>
    <n v="3.9392311106784829E-4"/>
    <n v="0.94223947215861303"/>
    <s v="B"/>
    <n v="6"/>
    <n v="6.2155775398998981E-4"/>
    <n v="0.89087872879384433"/>
    <s v="B"/>
    <s v="ABB"/>
    <n v="2.2360679774997894"/>
    <s v="Z"/>
    <x v="8"/>
  </r>
  <r>
    <x v="599"/>
    <n v="1"/>
    <n v="0"/>
    <n v="0.8"/>
    <s v="B"/>
    <n v="142"/>
    <n v="3.8577297773541004E-4"/>
    <n v="0.94340765793626258"/>
    <s v="B"/>
    <n v="6"/>
    <n v="6.2155775398998981E-4"/>
    <n v="0.89150028654783431"/>
    <s v="B"/>
    <s v="BBB"/>
    <n v="2.2360679774997894"/>
    <s v="Z"/>
    <x v="10"/>
  </r>
  <r>
    <x v="600"/>
    <n v="1"/>
    <n v="0"/>
    <n v="0.9"/>
    <s v="B"/>
    <n v="142"/>
    <n v="3.8577297773541004E-4"/>
    <n v="0.94379343091399803"/>
    <s v="B"/>
    <n v="6"/>
    <n v="6.2155775398998981E-4"/>
    <n v="0.89212184430182428"/>
    <s v="B"/>
    <s v="BBB"/>
    <n v="2.2360679774997894"/>
    <s v="Z"/>
    <x v="10"/>
  </r>
  <r>
    <x v="601"/>
    <n v="1"/>
    <n v="0"/>
    <n v="0.96"/>
    <s v="C"/>
    <n v="142"/>
    <n v="3.8577297773541004E-4"/>
    <n v="0.94417920389173349"/>
    <s v="B"/>
    <n v="6"/>
    <n v="6.2155775398998981E-4"/>
    <n v="0.89274340205581426"/>
    <s v="B"/>
    <s v="CBB"/>
    <n v="2.2360679774997894"/>
    <s v="Z"/>
    <x v="9"/>
  </r>
  <r>
    <x v="602"/>
    <n v="1"/>
    <n v="0"/>
    <n v="0.79"/>
    <s v="A"/>
    <n v="141"/>
    <n v="3.8305626662459729E-4"/>
    <n v="0.94456226015835809"/>
    <s v="B"/>
    <n v="6"/>
    <n v="6.2155775398998981E-4"/>
    <n v="0.89336495980980424"/>
    <s v="B"/>
    <s v="ABB"/>
    <n v="2.2360679774997894"/>
    <s v="Z"/>
    <x v="8"/>
  </r>
  <r>
    <x v="603"/>
    <n v="1"/>
    <n v="0"/>
    <n v="0.79"/>
    <s v="A"/>
    <n v="141"/>
    <n v="3.8305626662459729E-4"/>
    <n v="0.9449453164249827"/>
    <s v="B"/>
    <n v="6"/>
    <n v="6.2155775398998981E-4"/>
    <n v="0.89398651756379421"/>
    <s v="B"/>
    <s v="ABB"/>
    <n v="2.2360679774997894"/>
    <s v="Z"/>
    <x v="8"/>
  </r>
  <r>
    <x v="604"/>
    <n v="1"/>
    <n v="0"/>
    <n v="0.75"/>
    <s v="A"/>
    <n v="139"/>
    <n v="3.7762284440297179E-4"/>
    <n v="0.94608361838041322"/>
    <s v="B"/>
    <n v="6"/>
    <n v="6.2155775398998981E-4"/>
    <n v="0.89460807531778419"/>
    <s v="B"/>
    <s v="ABB"/>
    <n v="2.2360679774997894"/>
    <s v="Z"/>
    <x v="8"/>
  </r>
  <r>
    <x v="605"/>
    <n v="1"/>
    <n v="0"/>
    <n v="0.74"/>
    <s v="A"/>
    <n v="138"/>
    <n v="3.7490613329215904E-4"/>
    <n v="0.94645852451370538"/>
    <s v="B"/>
    <n v="6"/>
    <n v="6.2155775398998981E-4"/>
    <n v="0.89522963307177417"/>
    <s v="B"/>
    <s v="ABB"/>
    <n v="2.2360679774997894"/>
    <s v="Z"/>
    <x v="8"/>
  </r>
  <r>
    <x v="606"/>
    <n v="1"/>
    <n v="0"/>
    <n v="0.76"/>
    <s v="A"/>
    <n v="137"/>
    <n v="3.7218942218134629E-4"/>
    <n v="0.94683071393588669"/>
    <s v="B"/>
    <n v="6"/>
    <n v="6.2155775398998981E-4"/>
    <n v="0.89585119082576414"/>
    <s v="B"/>
    <s v="ABB"/>
    <n v="2.2360679774997894"/>
    <s v="Z"/>
    <x v="8"/>
  </r>
  <r>
    <x v="607"/>
    <n v="1"/>
    <n v="0"/>
    <n v="0.76"/>
    <s v="A"/>
    <n v="137"/>
    <n v="3.7218942218134629E-4"/>
    <n v="0.947202903358068"/>
    <s v="B"/>
    <n v="6"/>
    <n v="6.2155775398998981E-4"/>
    <n v="0.89647274857975412"/>
    <s v="B"/>
    <s v="ABB"/>
    <n v="2.2360679774997894"/>
    <s v="Z"/>
    <x v="8"/>
  </r>
  <r>
    <x v="608"/>
    <n v="1"/>
    <n v="0"/>
    <n v="0.81"/>
    <s v="B"/>
    <n v="137"/>
    <n v="3.7218942218134629E-4"/>
    <n v="0.94757509278024932"/>
    <s v="B"/>
    <n v="6"/>
    <n v="6.2155775398998981E-4"/>
    <n v="0.8970943063337441"/>
    <s v="B"/>
    <s v="BBB"/>
    <n v="2.2360679774997894"/>
    <s v="Z"/>
    <x v="10"/>
  </r>
  <r>
    <x v="609"/>
    <n v="1"/>
    <n v="0"/>
    <n v="0.74"/>
    <s v="A"/>
    <n v="136"/>
    <n v="3.6947271107053354E-4"/>
    <n v="0.94794456549131989"/>
    <s v="B"/>
    <n v="6"/>
    <n v="6.2155775398998981E-4"/>
    <n v="0.89771586408773407"/>
    <s v="B"/>
    <s v="ABB"/>
    <n v="2.2360679774997894"/>
    <s v="Z"/>
    <x v="8"/>
  </r>
  <r>
    <x v="610"/>
    <n v="1"/>
    <n v="0"/>
    <n v="0.87"/>
    <s v="B"/>
    <n v="136"/>
    <n v="3.6947271107053354E-4"/>
    <n v="0.94831403820239046"/>
    <s v="B"/>
    <n v="6"/>
    <n v="6.2155775398998981E-4"/>
    <n v="0.89833742184172405"/>
    <s v="B"/>
    <s v="BBB"/>
    <n v="2.2360679774997894"/>
    <s v="Z"/>
    <x v="10"/>
  </r>
  <r>
    <x v="611"/>
    <n v="1"/>
    <n v="0"/>
    <n v="0.72"/>
    <s v="A"/>
    <n v="135"/>
    <n v="3.6675599995972079E-4"/>
    <n v="0.94868079420235019"/>
    <s v="B"/>
    <n v="6"/>
    <n v="6.2155775398998981E-4"/>
    <n v="0.89895897959571403"/>
    <s v="B"/>
    <s v="ABB"/>
    <n v="2.2360679774997894"/>
    <s v="Z"/>
    <x v="8"/>
  </r>
  <r>
    <x v="612"/>
    <n v="1"/>
    <n v="0"/>
    <n v="0.79"/>
    <s v="A"/>
    <n v="133"/>
    <n v="3.6132257773809529E-4"/>
    <n v="0.94940343935782645"/>
    <s v="B"/>
    <n v="6"/>
    <n v="6.2155775398998981E-4"/>
    <n v="0.899580537349704"/>
    <s v="B"/>
    <s v="ABB"/>
    <n v="2.2360679774997894"/>
    <s v="Z"/>
    <x v="8"/>
  </r>
  <r>
    <x v="613"/>
    <n v="1"/>
    <n v="0"/>
    <n v="0.9"/>
    <s v="B"/>
    <n v="133"/>
    <n v="3.6132257773809529E-4"/>
    <n v="0.94976476193556458"/>
    <s v="B"/>
    <n v="6"/>
    <n v="6.2155775398998981E-4"/>
    <n v="0.90020209510369398"/>
    <s v="B"/>
    <s v="BBB"/>
    <n v="2.2360679774997894"/>
    <s v="Z"/>
    <x v="10"/>
  </r>
  <r>
    <x v="614"/>
    <n v="1"/>
    <n v="0"/>
    <n v="0.98"/>
    <s v="C"/>
    <n v="133"/>
    <n v="3.6132257773809529E-4"/>
    <n v="0.95012608451330272"/>
    <s v="C"/>
    <n v="6"/>
    <n v="6.2155775398998981E-4"/>
    <n v="0.90082365285768395"/>
    <s v="B"/>
    <s v="CCB"/>
    <n v="2.2360679774997894"/>
    <s v="Z"/>
    <x v="11"/>
  </r>
  <r>
    <x v="615"/>
    <n v="1"/>
    <n v="0"/>
    <n v="0.8"/>
    <s v="B"/>
    <n v="129"/>
    <n v="3.5045573329484434E-4"/>
    <n v="0.95224783589084749"/>
    <s v="C"/>
    <n v="6"/>
    <n v="6.2155775398998981E-4"/>
    <n v="0.90144521061167393"/>
    <s v="B"/>
    <s v="BCB"/>
    <n v="2.2360679774997894"/>
    <s v="Z"/>
    <x v="12"/>
  </r>
  <r>
    <x v="616"/>
    <n v="1"/>
    <n v="0"/>
    <n v="0.69"/>
    <s v="A"/>
    <n v="128"/>
    <n v="3.4773902218403159E-4"/>
    <n v="0.95294472662499319"/>
    <s v="C"/>
    <n v="6"/>
    <n v="6.2155775398998981E-4"/>
    <n v="0.90206676836566391"/>
    <s v="B"/>
    <s v="ACB"/>
    <n v="2.2360679774997894"/>
    <s v="Z"/>
    <x v="13"/>
  </r>
  <r>
    <x v="617"/>
    <n v="1"/>
    <n v="0"/>
    <n v="0.83"/>
    <s v="B"/>
    <n v="127"/>
    <n v="3.4502231107321884E-4"/>
    <n v="0.95328974893606644"/>
    <s v="C"/>
    <n v="6"/>
    <n v="6.2155775398998981E-4"/>
    <n v="0.90268832611965388"/>
    <s v="B"/>
    <s v="BCB"/>
    <n v="2.2360679774997894"/>
    <s v="Z"/>
    <x v="12"/>
  </r>
  <r>
    <x v="618"/>
    <n v="1"/>
    <n v="0"/>
    <n v="0.95"/>
    <s v="B"/>
    <n v="127"/>
    <n v="3.4502231107321884E-4"/>
    <n v="0.95363477124713969"/>
    <s v="C"/>
    <n v="6"/>
    <n v="6.2155775398998981E-4"/>
    <n v="0.90330988387364386"/>
    <s v="B"/>
    <s v="BCB"/>
    <n v="2.2360679774997894"/>
    <s v="Z"/>
    <x v="12"/>
  </r>
  <r>
    <x v="619"/>
    <n v="1"/>
    <n v="0"/>
    <n v="0.98"/>
    <s v="C"/>
    <n v="127"/>
    <n v="3.4502231107321884E-4"/>
    <n v="0.95397979355821294"/>
    <s v="C"/>
    <n v="6"/>
    <n v="6.2155775398998981E-4"/>
    <n v="0.90393144162763384"/>
    <s v="B"/>
    <s v="CCB"/>
    <n v="2.2360679774997894"/>
    <s v="Z"/>
    <x v="11"/>
  </r>
  <r>
    <x v="620"/>
    <n v="1"/>
    <n v="0"/>
    <n v="0.73"/>
    <s v="A"/>
    <n v="126"/>
    <n v="3.4230559996240609E-4"/>
    <n v="0.95500671035810014"/>
    <s v="C"/>
    <n v="6"/>
    <n v="6.2155775398998981E-4"/>
    <n v="0.90455299938162381"/>
    <s v="B"/>
    <s v="ACB"/>
    <n v="2.2360679774997894"/>
    <s v="Z"/>
    <x v="13"/>
  </r>
  <r>
    <x v="621"/>
    <n v="1"/>
    <n v="0"/>
    <n v="0.81"/>
    <s v="B"/>
    <n v="123"/>
    <n v="3.3415546662996784E-4"/>
    <n v="0.95635691578017401"/>
    <s v="C"/>
    <n v="6"/>
    <n v="6.2155775398998981E-4"/>
    <n v="0.90517455713561379"/>
    <s v="B"/>
    <s v="BCB"/>
    <n v="2.2360679774997894"/>
    <s v="Z"/>
    <x v="12"/>
  </r>
  <r>
    <x v="622"/>
    <n v="1"/>
    <n v="0"/>
    <n v="0.69"/>
    <s v="A"/>
    <n v="122"/>
    <n v="3.3143875551915508E-4"/>
    <n v="0.95668835453569312"/>
    <s v="C"/>
    <n v="6"/>
    <n v="6.2155775398998981E-4"/>
    <n v="0.90579611488960377"/>
    <s v="B"/>
    <s v="ACB"/>
    <n v="2.2360679774997894"/>
    <s v="Z"/>
    <x v="13"/>
  </r>
  <r>
    <x v="623"/>
    <n v="1"/>
    <n v="0"/>
    <n v="0.72"/>
    <s v="A"/>
    <n v="122"/>
    <n v="3.3143875551915508E-4"/>
    <n v="0.95701979329121223"/>
    <s v="C"/>
    <n v="6"/>
    <n v="6.2155775398998981E-4"/>
    <n v="0.90641767264359374"/>
    <s v="B"/>
    <s v="ACB"/>
    <n v="2.2360679774997894"/>
    <s v="Z"/>
    <x v="13"/>
  </r>
  <r>
    <x v="624"/>
    <n v="1"/>
    <n v="0"/>
    <n v="0.8"/>
    <s v="B"/>
    <n v="122"/>
    <n v="3.3143875551915508E-4"/>
    <n v="0.95735123204673134"/>
    <s v="C"/>
    <n v="6"/>
    <n v="6.2155775398998981E-4"/>
    <n v="0.90703923039758372"/>
    <s v="B"/>
    <s v="BCB"/>
    <n v="2.2360679774997894"/>
    <s v="Z"/>
    <x v="12"/>
  </r>
  <r>
    <x v="625"/>
    <n v="1"/>
    <n v="0"/>
    <n v="0.93"/>
    <s v="B"/>
    <n v="122"/>
    <n v="3.3143875551915508E-4"/>
    <n v="0.95768267080225045"/>
    <s v="C"/>
    <n v="6"/>
    <n v="6.2155775398998981E-4"/>
    <n v="0.90766078815157369"/>
    <s v="B"/>
    <s v="BCB"/>
    <n v="2.2360679774997894"/>
    <s v="Z"/>
    <x v="12"/>
  </r>
  <r>
    <x v="626"/>
    <n v="1"/>
    <n v="0"/>
    <n v="0.95"/>
    <s v="C"/>
    <n v="122"/>
    <n v="3.3143875551915508E-4"/>
    <n v="0.95801410955776956"/>
    <s v="C"/>
    <n v="6"/>
    <n v="6.2155775398998981E-4"/>
    <n v="0.90828234590556367"/>
    <s v="B"/>
    <s v="CCB"/>
    <n v="2.2360679774997894"/>
    <s v="Z"/>
    <x v="11"/>
  </r>
  <r>
    <x v="627"/>
    <n v="1"/>
    <n v="0"/>
    <n v="0.98"/>
    <s v="C"/>
    <n v="122"/>
    <n v="3.3143875551915508E-4"/>
    <n v="0.95834554831328866"/>
    <s v="C"/>
    <n v="6"/>
    <n v="6.2155775398998981E-4"/>
    <n v="0.90890390365955365"/>
    <s v="B"/>
    <s v="CCB"/>
    <n v="2.2360679774997894"/>
    <s v="Z"/>
    <x v="11"/>
  </r>
  <r>
    <x v="628"/>
    <n v="1"/>
    <n v="0"/>
    <n v="0.97"/>
    <s v="C"/>
    <n v="121"/>
    <n v="3.2872204440834233E-4"/>
    <n v="0.95867427035769703"/>
    <s v="C"/>
    <n v="6"/>
    <n v="6.2155775398998981E-4"/>
    <n v="0.90952546141354362"/>
    <s v="B"/>
    <s v="CCB"/>
    <n v="2.2360679774997894"/>
    <s v="Z"/>
    <x v="11"/>
  </r>
  <r>
    <x v="629"/>
    <n v="1"/>
    <n v="0"/>
    <n v="0.69"/>
    <s v="A"/>
    <n v="120"/>
    <n v="3.2600533329752958E-4"/>
    <n v="0.95932628102429207"/>
    <s v="C"/>
    <n v="6"/>
    <n v="6.2155775398998981E-4"/>
    <n v="0.9101470191675336"/>
    <s v="B"/>
    <s v="ACB"/>
    <n v="2.2360679774997894"/>
    <s v="Z"/>
    <x v="13"/>
  </r>
  <r>
    <x v="630"/>
    <n v="1"/>
    <n v="0"/>
    <n v="0.8"/>
    <s v="A"/>
    <n v="120"/>
    <n v="3.2600533329752958E-4"/>
    <n v="0.95965228635758959"/>
    <s v="C"/>
    <n v="6"/>
    <n v="6.2155775398998981E-4"/>
    <n v="0.91076857692152358"/>
    <s v="B"/>
    <s v="ACB"/>
    <n v="2.2360679774997894"/>
    <s v="Z"/>
    <x v="13"/>
  </r>
  <r>
    <x v="631"/>
    <n v="1"/>
    <n v="0"/>
    <n v="0.92"/>
    <s v="B"/>
    <n v="120"/>
    <n v="3.2600533329752958E-4"/>
    <n v="0.95997829169088711"/>
    <s v="C"/>
    <n v="6"/>
    <n v="6.2155775398998981E-4"/>
    <n v="0.91139013467551355"/>
    <s v="B"/>
    <s v="BCB"/>
    <n v="2.2360679774997894"/>
    <s v="Z"/>
    <x v="12"/>
  </r>
  <r>
    <x v="632"/>
    <n v="1"/>
    <n v="0"/>
    <n v="0.71"/>
    <s v="A"/>
    <n v="119"/>
    <n v="3.2328862218671683E-4"/>
    <n v="0.96062701513703808"/>
    <s v="C"/>
    <n v="6"/>
    <n v="6.2155775398998981E-4"/>
    <n v="0.91201169242950353"/>
    <s v="B"/>
    <s v="ACB"/>
    <n v="2.2360679774997894"/>
    <s v="Z"/>
    <x v="13"/>
  </r>
  <r>
    <x v="633"/>
    <n v="1"/>
    <n v="0"/>
    <n v="0.71"/>
    <s v="A"/>
    <n v="118"/>
    <n v="3.2057191107590414E-4"/>
    <n v="0.960947587048114"/>
    <s v="C"/>
    <n v="6"/>
    <n v="6.2155775398998981E-4"/>
    <n v="0.91263325018349351"/>
    <s v="B"/>
    <s v="ACB"/>
    <n v="2.2360679774997894"/>
    <s v="Z"/>
    <x v="13"/>
  </r>
  <r>
    <x v="634"/>
    <n v="1"/>
    <n v="0"/>
    <n v="0.8"/>
    <s v="A"/>
    <n v="117"/>
    <n v="3.1785519996509139E-4"/>
    <n v="0.96190278267467577"/>
    <s v="C"/>
    <n v="6"/>
    <n v="6.2155775398998981E-4"/>
    <n v="0.91325480793748348"/>
    <s v="B"/>
    <s v="ACB"/>
    <n v="2.2360679774997894"/>
    <s v="Z"/>
    <x v="13"/>
  </r>
  <r>
    <x v="635"/>
    <n v="1"/>
    <n v="0"/>
    <n v="0.79"/>
    <s v="A"/>
    <n v="115"/>
    <n v="3.1242177774346588E-4"/>
    <n v="0.96221520445241926"/>
    <s v="C"/>
    <n v="6"/>
    <n v="6.2155775398998981E-4"/>
    <n v="0.91387636569147346"/>
    <s v="B"/>
    <s v="ACB"/>
    <n v="2.2360679774997894"/>
    <s v="Z"/>
    <x v="13"/>
  </r>
  <r>
    <x v="636"/>
    <n v="1"/>
    <n v="0"/>
    <n v="0.81"/>
    <s v="B"/>
    <n v="115"/>
    <n v="3.1242177774346588E-4"/>
    <n v="0.96252762623016275"/>
    <s v="C"/>
    <n v="6"/>
    <n v="6.2155775398998981E-4"/>
    <n v="0.91449792344546343"/>
    <s v="B"/>
    <s v="BCB"/>
    <n v="2.2360679774997894"/>
    <s v="Z"/>
    <x v="12"/>
  </r>
  <r>
    <x v="637"/>
    <n v="1"/>
    <n v="0"/>
    <n v="0.88"/>
    <s v="B"/>
    <n v="111"/>
    <n v="3.0155493330021488E-4"/>
    <n v="0.96344044116339578"/>
    <s v="C"/>
    <n v="6"/>
    <n v="6.2155775398998981E-4"/>
    <n v="0.91511948119945341"/>
    <s v="B"/>
    <s v="BCB"/>
    <n v="2.2360679774997894"/>
    <s v="Z"/>
    <x v="12"/>
  </r>
  <r>
    <x v="638"/>
    <n v="1"/>
    <n v="0"/>
    <n v="0.83"/>
    <s v="B"/>
    <n v="110"/>
    <n v="2.9883822218940213E-4"/>
    <n v="0.96373927938558523"/>
    <s v="C"/>
    <n v="6"/>
    <n v="6.2155775398998981E-4"/>
    <n v="0.91574103895344339"/>
    <s v="B"/>
    <s v="BCB"/>
    <n v="2.2360679774997894"/>
    <s v="Z"/>
    <x v="12"/>
  </r>
  <r>
    <x v="639"/>
    <n v="1"/>
    <n v="0"/>
    <n v="0.71"/>
    <s v="A"/>
    <n v="109"/>
    <n v="2.9612151107858938E-4"/>
    <n v="0.96403540089666384"/>
    <s v="C"/>
    <n v="6"/>
    <n v="6.2155775398998981E-4"/>
    <n v="0.91636259670743336"/>
    <s v="B"/>
    <s v="ACB"/>
    <n v="2.2360679774997894"/>
    <s v="Z"/>
    <x v="13"/>
  </r>
  <r>
    <x v="640"/>
    <n v="1"/>
    <n v="0"/>
    <n v="0.8"/>
    <s v="A"/>
    <n v="109"/>
    <n v="2.9612151107858938E-4"/>
    <n v="0.96433152240774245"/>
    <s v="C"/>
    <n v="6"/>
    <n v="6.2155775398998981E-4"/>
    <n v="0.91698415446142334"/>
    <s v="B"/>
    <s v="ACB"/>
    <n v="2.2360679774997894"/>
    <s v="Z"/>
    <x v="13"/>
  </r>
  <r>
    <x v="641"/>
    <n v="1"/>
    <n v="0"/>
    <n v="0.74"/>
    <s v="A"/>
    <n v="108"/>
    <n v="2.9340479996777663E-4"/>
    <n v="0.96521570320586747"/>
    <s v="C"/>
    <n v="6"/>
    <n v="6.2155775398998981E-4"/>
    <n v="0.91760571221541332"/>
    <s v="B"/>
    <s v="ACB"/>
    <n v="2.2360679774997894"/>
    <s v="Z"/>
    <x v="13"/>
  </r>
  <r>
    <x v="642"/>
    <n v="1"/>
    <n v="0"/>
    <n v="0.83"/>
    <s v="B"/>
    <n v="107"/>
    <n v="2.9068808885696388E-4"/>
    <n v="0.96579925275247014"/>
    <s v="C"/>
    <n v="6"/>
    <n v="6.2155775398998981E-4"/>
    <n v="0.91822726996940329"/>
    <s v="B"/>
    <s v="BCB"/>
    <n v="2.2360679774997894"/>
    <s v="Z"/>
    <x v="12"/>
  </r>
  <r>
    <x v="643"/>
    <n v="1"/>
    <n v="0"/>
    <n v="0.96"/>
    <s v="C"/>
    <n v="107"/>
    <n v="2.9068808885696388E-4"/>
    <n v="0.96608994084132715"/>
    <s v="C"/>
    <n v="6"/>
    <n v="6.2155775398998981E-4"/>
    <n v="0.91884882772339327"/>
    <s v="B"/>
    <s v="CCB"/>
    <n v="2.2360679774997894"/>
    <s v="Z"/>
    <x v="11"/>
  </r>
  <r>
    <x v="644"/>
    <n v="1"/>
    <n v="0"/>
    <n v="0.94"/>
    <s v="B"/>
    <n v="106"/>
    <n v="2.8797137774615113E-4"/>
    <n v="0.96695385497456565"/>
    <s v="C"/>
    <n v="6"/>
    <n v="6.2155775398998981E-4"/>
    <n v="0.91947038547738325"/>
    <s v="B"/>
    <s v="BCB"/>
    <n v="2.2360679774997894"/>
    <s v="Z"/>
    <x v="12"/>
  </r>
  <r>
    <x v="645"/>
    <n v="1"/>
    <n v="0"/>
    <n v="0.69"/>
    <s v="A"/>
    <n v="105"/>
    <n v="2.8525466663533838E-4"/>
    <n v="0.96723910964120097"/>
    <s v="C"/>
    <n v="6"/>
    <n v="6.2155775398998981E-4"/>
    <n v="0.92009194323137322"/>
    <s v="B"/>
    <s v="ACB"/>
    <n v="2.2360679774997894"/>
    <s v="Z"/>
    <x v="13"/>
  </r>
  <r>
    <x v="646"/>
    <n v="1"/>
    <n v="0"/>
    <n v="0.83"/>
    <s v="B"/>
    <n v="104"/>
    <n v="2.8253795552452568E-4"/>
    <n v="0.96780418555225012"/>
    <s v="C"/>
    <n v="6"/>
    <n v="6.2155775398998981E-4"/>
    <n v="0.9207135009853632"/>
    <s v="B"/>
    <s v="BCB"/>
    <n v="2.2360679774997894"/>
    <s v="Z"/>
    <x v="12"/>
  </r>
  <r>
    <x v="647"/>
    <n v="1"/>
    <n v="0"/>
    <n v="0.86"/>
    <s v="B"/>
    <n v="104"/>
    <n v="2.8253795552452568E-4"/>
    <n v="0.96808672350777469"/>
    <s v="C"/>
    <n v="6"/>
    <n v="6.2155775398998981E-4"/>
    <n v="0.92133505873935317"/>
    <s v="B"/>
    <s v="BCB"/>
    <n v="2.2360679774997894"/>
    <s v="Z"/>
    <x v="12"/>
  </r>
  <r>
    <x v="648"/>
    <n v="1"/>
    <n v="0"/>
    <n v="0.84"/>
    <s v="B"/>
    <n v="103"/>
    <n v="2.7982124441371293E-4"/>
    <n v="0.96836654475218842"/>
    <s v="C"/>
    <n v="6"/>
    <n v="6.2155775398998981E-4"/>
    <n v="0.92195661649334315"/>
    <s v="B"/>
    <s v="BCB"/>
    <n v="2.2360679774997894"/>
    <s v="Z"/>
    <x v="12"/>
  </r>
  <r>
    <x v="649"/>
    <n v="1"/>
    <n v="0"/>
    <n v="0.98"/>
    <s v="C"/>
    <n v="103"/>
    <n v="2.7982124441371293E-4"/>
    <n v="0.96864636599660214"/>
    <s v="C"/>
    <n v="6"/>
    <n v="6.2155775398998981E-4"/>
    <n v="0.92257817424733313"/>
    <s v="B"/>
    <s v="CCB"/>
    <n v="2.2360679774997894"/>
    <s v="Z"/>
    <x v="11"/>
  </r>
  <r>
    <x v="650"/>
    <n v="1"/>
    <n v="0"/>
    <n v="0.71"/>
    <s v="A"/>
    <n v="102"/>
    <n v="2.7710453330290018E-4"/>
    <n v="0.96947767959651077"/>
    <s v="C"/>
    <n v="6"/>
    <n v="6.2155775398998981E-4"/>
    <n v="0.9231997320013231"/>
    <s v="B"/>
    <s v="ACB"/>
    <n v="2.2360679774997894"/>
    <s v="Z"/>
    <x v="13"/>
  </r>
  <r>
    <x v="651"/>
    <n v="1"/>
    <n v="0"/>
    <n v="0.75"/>
    <s v="A"/>
    <n v="102"/>
    <n v="2.7710453330290018E-4"/>
    <n v="0.96975478412981364"/>
    <s v="C"/>
    <n v="6"/>
    <n v="6.2155775398998981E-4"/>
    <n v="0.92382128975531308"/>
    <s v="B"/>
    <s v="ACB"/>
    <n v="2.2360679774997894"/>
    <s v="Z"/>
    <x v="13"/>
  </r>
  <r>
    <x v="652"/>
    <n v="1"/>
    <n v="0"/>
    <n v="0.77"/>
    <s v="A"/>
    <n v="102"/>
    <n v="2.7710453330290018E-4"/>
    <n v="0.97003188866311651"/>
    <s v="C"/>
    <n v="6"/>
    <n v="6.2155775398998981E-4"/>
    <n v="0.92444284750930306"/>
    <s v="B"/>
    <s v="ACB"/>
    <n v="2.2360679774997894"/>
    <s v="Z"/>
    <x v="13"/>
  </r>
  <r>
    <x v="653"/>
    <n v="1"/>
    <n v="0"/>
    <n v="0.98"/>
    <s v="C"/>
    <n v="102"/>
    <n v="2.7710453330290018E-4"/>
    <n v="0.97030899319641939"/>
    <s v="C"/>
    <n v="6"/>
    <n v="6.2155775398998981E-4"/>
    <n v="0.92506440526329303"/>
    <s v="B"/>
    <s v="CCB"/>
    <n v="2.2360679774997894"/>
    <s v="Z"/>
    <x v="11"/>
  </r>
  <r>
    <x v="654"/>
    <n v="1"/>
    <n v="0"/>
    <n v="0.72"/>
    <s v="A"/>
    <n v="101"/>
    <n v="2.7438782219208743E-4"/>
    <n v="0.97058338101861152"/>
    <s v="C"/>
    <n v="6"/>
    <n v="6.2155775398998981E-4"/>
    <n v="0.92568596301728301"/>
    <s v="B"/>
    <s v="ACB"/>
    <n v="2.2360679774997894"/>
    <s v="Z"/>
    <x v="13"/>
  </r>
  <r>
    <x v="655"/>
    <n v="1"/>
    <n v="0"/>
    <n v="0.82"/>
    <s v="B"/>
    <n v="101"/>
    <n v="2.7438782219208743E-4"/>
    <n v="0.97085776884080366"/>
    <s v="C"/>
    <n v="6"/>
    <n v="6.2155775398998981E-4"/>
    <n v="0.92630752077127299"/>
    <s v="B"/>
    <s v="BCB"/>
    <n v="2.2360679774997894"/>
    <s v="Z"/>
    <x v="12"/>
  </r>
  <r>
    <x v="656"/>
    <n v="1"/>
    <n v="0"/>
    <n v="0.91"/>
    <s v="B"/>
    <n v="101"/>
    <n v="2.7438782219208743E-4"/>
    <n v="0.97113215666299579"/>
    <s v="C"/>
    <n v="6"/>
    <n v="6.2155775398998981E-4"/>
    <n v="0.92692907852526296"/>
    <s v="B"/>
    <s v="BCB"/>
    <n v="2.2360679774997894"/>
    <s v="Z"/>
    <x v="12"/>
  </r>
  <r>
    <x v="657"/>
    <n v="1"/>
    <n v="0"/>
    <n v="0.91"/>
    <s v="B"/>
    <n v="101"/>
    <n v="2.7438782219208743E-4"/>
    <n v="0.97140654448518793"/>
    <s v="C"/>
    <n v="6"/>
    <n v="6.2155775398998981E-4"/>
    <n v="0.92755063627925294"/>
    <s v="B"/>
    <s v="BCB"/>
    <n v="2.2360679774997894"/>
    <s v="Z"/>
    <x v="12"/>
  </r>
  <r>
    <x v="658"/>
    <n v="1"/>
    <n v="0"/>
    <n v="0.83"/>
    <s v="B"/>
    <n v="100"/>
    <n v="2.7167111108127468E-4"/>
    <n v="0.97249322892951306"/>
    <s v="C"/>
    <n v="6"/>
    <n v="6.2155775398998981E-4"/>
    <n v="0.92817219403324291"/>
    <s v="B"/>
    <s v="BCB"/>
    <n v="2.2360679774997894"/>
    <s v="Z"/>
    <x v="12"/>
  </r>
  <r>
    <x v="659"/>
    <n v="1"/>
    <n v="0"/>
    <n v="0.86"/>
    <s v="B"/>
    <n v="100"/>
    <n v="2.7167111108127468E-4"/>
    <n v="0.97276490004059435"/>
    <s v="C"/>
    <n v="6"/>
    <n v="6.2155775398998981E-4"/>
    <n v="0.92879375178723289"/>
    <s v="B"/>
    <s v="BCB"/>
    <n v="2.2360679774997894"/>
    <s v="Z"/>
    <x v="12"/>
  </r>
  <r>
    <x v="660"/>
    <n v="1"/>
    <n v="0"/>
    <n v="0.95"/>
    <s v="B"/>
    <n v="100"/>
    <n v="2.7167111108127468E-4"/>
    <n v="0.97303657115167563"/>
    <s v="C"/>
    <n v="6"/>
    <n v="6.2155775398998981E-4"/>
    <n v="0.92941530954122287"/>
    <s v="B"/>
    <s v="BCB"/>
    <n v="2.2360679774997894"/>
    <s v="Z"/>
    <x v="12"/>
  </r>
  <r>
    <x v="661"/>
    <n v="1"/>
    <n v="0"/>
    <n v="0.95"/>
    <s v="B"/>
    <n v="99"/>
    <n v="2.6895439997046193E-4"/>
    <n v="0.97330552555164607"/>
    <s v="C"/>
    <n v="6"/>
    <n v="6.2155775398998981E-4"/>
    <n v="0.93003686729521284"/>
    <s v="B"/>
    <s v="BCB"/>
    <n v="2.2360679774997894"/>
    <s v="Z"/>
    <x v="12"/>
  </r>
  <r>
    <x v="662"/>
    <n v="1"/>
    <n v="0"/>
    <n v="0.7"/>
    <s v="A"/>
    <n v="98"/>
    <n v="2.6623768885964918E-4"/>
    <n v="0.97357176324050576"/>
    <s v="C"/>
    <n v="6"/>
    <n v="6.2155775398998981E-4"/>
    <n v="0.93065842504920282"/>
    <s v="B"/>
    <s v="ACB"/>
    <n v="2.2360679774997894"/>
    <s v="Z"/>
    <x v="13"/>
  </r>
  <r>
    <x v="663"/>
    <n v="1"/>
    <n v="0"/>
    <n v="0.74"/>
    <s v="A"/>
    <n v="98"/>
    <n v="2.6623768885964918E-4"/>
    <n v="0.97383800092936545"/>
    <s v="C"/>
    <n v="6"/>
    <n v="6.2155775398998981E-4"/>
    <n v="0.9312799828031928"/>
    <s v="B"/>
    <s v="ACB"/>
    <n v="2.2360679774997894"/>
    <s v="Z"/>
    <x v="13"/>
  </r>
  <r>
    <x v="664"/>
    <n v="1"/>
    <n v="0"/>
    <n v="0.86"/>
    <s v="B"/>
    <n v="98"/>
    <n v="2.6623768885964918E-4"/>
    <n v="0.97410423861822515"/>
    <s v="C"/>
    <n v="6"/>
    <n v="6.2155775398998981E-4"/>
    <n v="0.93190154055718277"/>
    <s v="B"/>
    <s v="BCB"/>
    <n v="2.2360679774997894"/>
    <s v="Z"/>
    <x v="12"/>
  </r>
  <r>
    <x v="665"/>
    <n v="1"/>
    <n v="0"/>
    <n v="0.98"/>
    <s v="C"/>
    <n v="98"/>
    <n v="2.6623768885964918E-4"/>
    <n v="0.97437047630708484"/>
    <s v="C"/>
    <n v="6"/>
    <n v="6.2155775398998981E-4"/>
    <n v="0.93252309831117275"/>
    <s v="B"/>
    <s v="CCB"/>
    <n v="2.2360679774997894"/>
    <s v="Z"/>
    <x v="11"/>
  </r>
  <r>
    <x v="666"/>
    <n v="1"/>
    <n v="0"/>
    <n v="0.79"/>
    <s v="A"/>
    <n v="97"/>
    <n v="2.6352097774883643E-4"/>
    <n v="0.97463399728483369"/>
    <s v="C"/>
    <n v="6"/>
    <n v="6.2155775398998981E-4"/>
    <n v="0.93314465606516273"/>
    <s v="B"/>
    <s v="ACB"/>
    <n v="2.2360679774997894"/>
    <s v="Z"/>
    <x v="13"/>
  </r>
  <r>
    <x v="667"/>
    <n v="1"/>
    <n v="0"/>
    <n v="0.96"/>
    <s v="C"/>
    <n v="97"/>
    <n v="2.6352097774883643E-4"/>
    <n v="0.97489751826258253"/>
    <s v="C"/>
    <n v="6"/>
    <n v="6.2155775398998981E-4"/>
    <n v="0.9337662138191527"/>
    <s v="B"/>
    <s v="CCB"/>
    <n v="2.2360679774997894"/>
    <s v="Z"/>
    <x v="11"/>
  </r>
  <r>
    <x v="668"/>
    <n v="1"/>
    <n v="0"/>
    <n v="0.73"/>
    <s v="A"/>
    <n v="96"/>
    <n v="2.6080426663802368E-4"/>
    <n v="0.9759407353291345"/>
    <s v="C"/>
    <n v="6"/>
    <n v="6.2155775398998981E-4"/>
    <n v="0.93438777157314268"/>
    <s v="B"/>
    <s v="ACB"/>
    <n v="2.2360679774997894"/>
    <s v="Z"/>
    <x v="13"/>
  </r>
  <r>
    <x v="669"/>
    <n v="1"/>
    <n v="0"/>
    <n v="0.84"/>
    <s v="B"/>
    <n v="95"/>
    <n v="2.5808755552721093E-4"/>
    <n v="0.97619882288466175"/>
    <s v="C"/>
    <n v="6"/>
    <n v="6.2155775398998981E-4"/>
    <n v="0.93500932932713265"/>
    <s v="B"/>
    <s v="BCB"/>
    <n v="2.2360679774997894"/>
    <s v="Z"/>
    <x v="12"/>
  </r>
  <r>
    <x v="670"/>
    <n v="1"/>
    <n v="0"/>
    <n v="0.85"/>
    <s v="B"/>
    <n v="93"/>
    <n v="2.5265413330558543E-4"/>
    <n v="0.9769597464996892"/>
    <s v="C"/>
    <n v="6"/>
    <n v="6.2155775398998981E-4"/>
    <n v="0.93563088708112263"/>
    <s v="B"/>
    <s v="BCB"/>
    <n v="2.2360679774997894"/>
    <s v="Z"/>
    <x v="12"/>
  </r>
  <r>
    <x v="671"/>
    <n v="1"/>
    <n v="0"/>
    <n v="0.84"/>
    <s v="B"/>
    <n v="92"/>
    <n v="2.4993742219477268E-4"/>
    <n v="0.97745962134407882"/>
    <s v="C"/>
    <n v="6"/>
    <n v="6.2155775398998981E-4"/>
    <n v="0.93625244483511261"/>
    <s v="B"/>
    <s v="BCB"/>
    <n v="2.2360679774997894"/>
    <s v="Z"/>
    <x v="12"/>
  </r>
  <r>
    <x v="672"/>
    <n v="1"/>
    <n v="0"/>
    <n v="0.87"/>
    <s v="B"/>
    <n v="91"/>
    <n v="2.4722071108395992E-4"/>
    <n v="0.97770684205516278"/>
    <s v="C"/>
    <n v="6"/>
    <n v="6.2155775398998981E-4"/>
    <n v="0.93687400258910258"/>
    <s v="B"/>
    <s v="BCB"/>
    <n v="2.2360679774997894"/>
    <s v="Z"/>
    <x v="12"/>
  </r>
  <r>
    <x v="673"/>
    <n v="1"/>
    <n v="0"/>
    <n v="0.96"/>
    <s v="C"/>
    <n v="91"/>
    <n v="2.4722071108395992E-4"/>
    <n v="0.97795406276624675"/>
    <s v="C"/>
    <n v="6"/>
    <n v="6.2155775398998981E-4"/>
    <n v="0.93749556034309256"/>
    <s v="B"/>
    <s v="CCB"/>
    <n v="2.2360679774997894"/>
    <s v="Z"/>
    <x v="11"/>
  </r>
  <r>
    <x v="674"/>
    <n v="1"/>
    <n v="0"/>
    <n v="0.69"/>
    <s v="A"/>
    <n v="89"/>
    <n v="2.4178728886233445E-4"/>
    <n v="0.97819585005510912"/>
    <s v="C"/>
    <n v="6"/>
    <n v="6.2155775398998981E-4"/>
    <n v="0.93811711809708254"/>
    <s v="B"/>
    <s v="ACB"/>
    <n v="2.2360679774997894"/>
    <s v="Z"/>
    <x v="13"/>
  </r>
  <r>
    <x v="675"/>
    <n v="1"/>
    <n v="0"/>
    <n v="0.99"/>
    <s v="C"/>
    <n v="88"/>
    <n v="2.390705777515217E-4"/>
    <n v="0.97939419132608863"/>
    <s v="C"/>
    <n v="6"/>
    <n v="6.2155775398998981E-4"/>
    <n v="0.93873867585107251"/>
    <s v="B"/>
    <s v="CCB"/>
    <n v="2.2360679774997894"/>
    <s v="Z"/>
    <x v="11"/>
  </r>
  <r>
    <x v="676"/>
    <n v="1"/>
    <n v="0"/>
    <n v="0.85"/>
    <s v="B"/>
    <n v="87"/>
    <n v="2.3635386664070898E-4"/>
    <n v="0.97986689905936997"/>
    <s v="C"/>
    <n v="6"/>
    <n v="6.2155775398998981E-4"/>
    <n v="0.93936023360506249"/>
    <s v="B"/>
    <s v="BCB"/>
    <n v="2.2360679774997894"/>
    <s v="Z"/>
    <x v="12"/>
  </r>
  <r>
    <x v="677"/>
    <n v="1"/>
    <n v="0"/>
    <n v="0.89"/>
    <s v="B"/>
    <n v="87"/>
    <n v="2.3635386664070898E-4"/>
    <n v="0.98010325292601064"/>
    <s v="C"/>
    <n v="6"/>
    <n v="6.2155775398998981E-4"/>
    <n v="0.93998179135905247"/>
    <s v="B"/>
    <s v="BCB"/>
    <n v="2.2360679774997894"/>
    <s v="Z"/>
    <x v="12"/>
  </r>
  <r>
    <x v="678"/>
    <n v="1"/>
    <n v="0"/>
    <n v="0.94"/>
    <s v="B"/>
    <n v="87"/>
    <n v="2.3635386664070898E-4"/>
    <n v="0.98033960679265131"/>
    <s v="C"/>
    <n v="6"/>
    <n v="6.2155775398998981E-4"/>
    <n v="0.94060334911304244"/>
    <s v="B"/>
    <s v="BCB"/>
    <n v="2.2360679774997894"/>
    <s v="Z"/>
    <x v="12"/>
  </r>
  <r>
    <x v="679"/>
    <n v="1"/>
    <n v="0"/>
    <n v="0.96"/>
    <s v="C"/>
    <n v="84"/>
    <n v="2.2820373330827072E-4"/>
    <n v="0.98080144768148947"/>
    <s v="C"/>
    <n v="6"/>
    <n v="6.2155775398998981E-4"/>
    <n v="0.94122490686703242"/>
    <s v="B"/>
    <s v="CCB"/>
    <n v="2.2360679774997894"/>
    <s v="Z"/>
    <x v="11"/>
  </r>
  <r>
    <x v="680"/>
    <n v="1"/>
    <n v="0"/>
    <n v="0.77"/>
    <s v="A"/>
    <n v="83"/>
    <n v="2.2548702219745797E-4"/>
    <n v="0.98125242172588445"/>
    <s v="C"/>
    <n v="6"/>
    <n v="6.2155775398998981E-4"/>
    <n v="0.94184646462102239"/>
    <s v="B"/>
    <s v="ACB"/>
    <n v="2.2360679774997894"/>
    <s v="Z"/>
    <x v="13"/>
  </r>
  <r>
    <x v="681"/>
    <n v="1"/>
    <n v="0"/>
    <n v="0.87"/>
    <s v="B"/>
    <n v="83"/>
    <n v="2.2548702219745797E-4"/>
    <n v="0.98147790874808194"/>
    <s v="C"/>
    <n v="6"/>
    <n v="6.2155775398998981E-4"/>
    <n v="0.94246802237501237"/>
    <s v="B"/>
    <s v="BCB"/>
    <n v="2.2360679774997894"/>
    <s v="Z"/>
    <x v="12"/>
  </r>
  <r>
    <x v="682"/>
    <n v="1"/>
    <n v="0"/>
    <n v="0.99"/>
    <s v="C"/>
    <n v="83"/>
    <n v="2.2548702219745797E-4"/>
    <n v="0.98170339577027943"/>
    <s v="C"/>
    <n v="6"/>
    <n v="6.2155775398998981E-4"/>
    <n v="0.94308958012900235"/>
    <s v="B"/>
    <s v="CCB"/>
    <n v="2.2360679774997894"/>
    <s v="Z"/>
    <x v="11"/>
  </r>
  <r>
    <x v="683"/>
    <n v="1"/>
    <n v="0"/>
    <n v="0.84"/>
    <s v="B"/>
    <n v="82"/>
    <n v="2.2277031108664522E-4"/>
    <n v="0.98259447701462599"/>
    <s v="C"/>
    <n v="6"/>
    <n v="6.2155775398998981E-4"/>
    <n v="0.94371113788299232"/>
    <s v="B"/>
    <s v="BCB"/>
    <n v="2.2360679774997894"/>
    <s v="Z"/>
    <x v="12"/>
  </r>
  <r>
    <x v="684"/>
    <n v="1"/>
    <n v="0"/>
    <n v="0.83"/>
    <s v="B"/>
    <n v="81"/>
    <n v="2.2005359997583247E-4"/>
    <n v="0.98281453061460178"/>
    <s v="C"/>
    <n v="6"/>
    <n v="6.2155775398998981E-4"/>
    <n v="0.9443326956369823"/>
    <s v="B"/>
    <s v="BCB"/>
    <n v="2.2360679774997894"/>
    <s v="Z"/>
    <x v="12"/>
  </r>
  <r>
    <x v="685"/>
    <n v="1"/>
    <n v="0"/>
    <n v="0.88"/>
    <s v="B"/>
    <n v="81"/>
    <n v="2.2005359997583247E-4"/>
    <n v="0.98303458421457757"/>
    <s v="C"/>
    <n v="6"/>
    <n v="6.2155775398998981E-4"/>
    <n v="0.94495425339097228"/>
    <s v="B"/>
    <s v="BCB"/>
    <n v="2.2360679774997894"/>
    <s v="Z"/>
    <x v="12"/>
  </r>
  <r>
    <x v="686"/>
    <n v="1"/>
    <n v="0"/>
    <n v="0.92"/>
    <s v="B"/>
    <n v="81"/>
    <n v="2.2005359997583247E-4"/>
    <n v="0.98325463781455336"/>
    <s v="C"/>
    <n v="6"/>
    <n v="6.2155775398998981E-4"/>
    <n v="0.94557581114496225"/>
    <s v="B"/>
    <s v="BCB"/>
    <n v="2.2360679774997894"/>
    <s v="Z"/>
    <x v="12"/>
  </r>
  <r>
    <x v="687"/>
    <n v="1"/>
    <n v="0"/>
    <n v="0.76"/>
    <s v="A"/>
    <n v="80"/>
    <n v="2.1733688886501975E-4"/>
    <n v="0.9839066484811485"/>
    <s v="C"/>
    <n v="6"/>
    <n v="6.2155775398998981E-4"/>
    <n v="0.94619736889895223"/>
    <s v="B"/>
    <s v="ACB"/>
    <n v="2.2360679774997894"/>
    <s v="Z"/>
    <x v="13"/>
  </r>
  <r>
    <x v="688"/>
    <n v="1"/>
    <n v="0"/>
    <n v="0.87"/>
    <s v="B"/>
    <n v="79"/>
    <n v="2.14620177754207E-4"/>
    <n v="0.9841212686589027"/>
    <s v="C"/>
    <n v="6"/>
    <n v="6.2155775398998981E-4"/>
    <n v="0.94681892665294221"/>
    <s v="B"/>
    <s v="BCB"/>
    <n v="2.2360679774997894"/>
    <s v="Z"/>
    <x v="12"/>
  </r>
  <r>
    <x v="689"/>
    <n v="1"/>
    <n v="0"/>
    <n v="0.9"/>
    <s v="B"/>
    <n v="79"/>
    <n v="2.14620177754207E-4"/>
    <n v="0.9843358888366569"/>
    <s v="C"/>
    <n v="6"/>
    <n v="6.2155775398998981E-4"/>
    <n v="0.94744048440693218"/>
    <s v="B"/>
    <s v="BCB"/>
    <n v="2.2360679774997894"/>
    <s v="Z"/>
    <x v="12"/>
  </r>
  <r>
    <x v="690"/>
    <n v="1"/>
    <n v="0"/>
    <n v="0.79"/>
    <s v="A"/>
    <n v="78"/>
    <n v="2.1190346664339425E-4"/>
    <n v="0.9851835027032303"/>
    <s v="C"/>
    <n v="6"/>
    <n v="6.2155775398998981E-4"/>
    <n v="0.94806204216092216"/>
    <s v="B"/>
    <s v="ACB"/>
    <n v="2.2360679774997894"/>
    <s v="Z"/>
    <x v="13"/>
  </r>
  <r>
    <x v="691"/>
    <n v="1"/>
    <n v="0"/>
    <n v="0.77"/>
    <s v="A"/>
    <n v="77"/>
    <n v="2.091867555325815E-4"/>
    <n v="0.98560187621429551"/>
    <s v="C"/>
    <n v="6"/>
    <n v="6.2155775398998981E-4"/>
    <n v="0.94868359991491213"/>
    <s v="B"/>
    <s v="ACB"/>
    <n v="2.2360679774997894"/>
    <s v="Z"/>
    <x v="13"/>
  </r>
  <r>
    <x v="692"/>
    <n v="1"/>
    <n v="0"/>
    <n v="0.7"/>
    <s v="A"/>
    <n v="76"/>
    <n v="2.0647004442176875E-4"/>
    <n v="0.98622128634756079"/>
    <s v="C"/>
    <n v="6"/>
    <n v="6.2155775398998981E-4"/>
    <n v="0.94930515766890211"/>
    <s v="B"/>
    <s v="ACB"/>
    <n v="2.2360679774997894"/>
    <s v="Z"/>
    <x v="13"/>
  </r>
  <r>
    <x v="693"/>
    <n v="1"/>
    <n v="0"/>
    <n v="0.73"/>
    <s v="A"/>
    <n v="76"/>
    <n v="2.0647004442176875E-4"/>
    <n v="0.98642775639198255"/>
    <s v="C"/>
    <n v="6"/>
    <n v="6.2155775398998981E-4"/>
    <n v="0.94992671542289209"/>
    <s v="B"/>
    <s v="ACB"/>
    <n v="2.2360679774997894"/>
    <s v="Z"/>
    <x v="13"/>
  </r>
  <r>
    <x v="694"/>
    <n v="1"/>
    <n v="0"/>
    <n v="0.79"/>
    <s v="A"/>
    <n v="76"/>
    <n v="2.0647004442176875E-4"/>
    <n v="0.9866342264364043"/>
    <s v="C"/>
    <n v="6"/>
    <n v="6.2155775398998981E-4"/>
    <n v="0.95054827317688206"/>
    <s v="C"/>
    <s v="ACC"/>
    <n v="2.2360679774997894"/>
    <s v="Z"/>
    <x v="14"/>
  </r>
  <r>
    <x v="695"/>
    <n v="1"/>
    <n v="0"/>
    <n v="0.89"/>
    <s v="B"/>
    <n v="76"/>
    <n v="2.0647004442176875E-4"/>
    <n v="0.98684069648082606"/>
    <s v="C"/>
    <n v="6"/>
    <n v="6.2155775398998981E-4"/>
    <n v="0.95116983093087204"/>
    <s v="C"/>
    <s v="BCC"/>
    <n v="2.2360679774997894"/>
    <s v="Z"/>
    <x v="15"/>
  </r>
  <r>
    <x v="696"/>
    <n v="1"/>
    <n v="0"/>
    <n v="0.97"/>
    <s v="C"/>
    <n v="75"/>
    <n v="2.03753333310956E-4"/>
    <n v="0.98745440152075858"/>
    <s v="C"/>
    <n v="6"/>
    <n v="6.2155775398998981E-4"/>
    <n v="0.95179138868486202"/>
    <s v="C"/>
    <s v="CCC"/>
    <n v="2.2360679774997894"/>
    <s v="Z"/>
    <x v="16"/>
  </r>
  <r>
    <x v="697"/>
    <n v="1"/>
    <n v="0"/>
    <n v="0.73"/>
    <s v="A"/>
    <n v="74"/>
    <n v="2.0103662220014325E-4"/>
    <n v="0.98785647476515892"/>
    <s v="C"/>
    <n v="6"/>
    <n v="6.2155775398998981E-4"/>
    <n v="0.95241294643885199"/>
    <s v="C"/>
    <s v="ACC"/>
    <n v="2.2360679774997894"/>
    <s v="Z"/>
    <x v="14"/>
  </r>
  <r>
    <x v="698"/>
    <n v="1"/>
    <n v="0"/>
    <n v="0.81"/>
    <s v="B"/>
    <n v="74"/>
    <n v="2.0103662220014325E-4"/>
    <n v="0.98805751138735909"/>
    <s v="C"/>
    <n v="6"/>
    <n v="6.2155775398998981E-4"/>
    <n v="0.95303450419284197"/>
    <s v="C"/>
    <s v="BCC"/>
    <n v="2.2360679774997894"/>
    <s v="Z"/>
    <x v="15"/>
  </r>
  <r>
    <x v="699"/>
    <n v="1"/>
    <n v="0"/>
    <n v="0.94"/>
    <s v="B"/>
    <n v="74"/>
    <n v="2.0103662220014325E-4"/>
    <n v="0.98825854800955926"/>
    <s v="C"/>
    <n v="6"/>
    <n v="6.2155775398998981E-4"/>
    <n v="0.95365606194683195"/>
    <s v="C"/>
    <s v="BCC"/>
    <n v="2.2360679774997894"/>
    <s v="Z"/>
    <x v="15"/>
  </r>
  <r>
    <x v="700"/>
    <n v="1"/>
    <n v="0"/>
    <n v="0.75"/>
    <s v="A"/>
    <n v="73"/>
    <n v="1.9831991108933052E-4"/>
    <n v="0.98845686792064857"/>
    <s v="C"/>
    <n v="6"/>
    <n v="6.2155775398998981E-4"/>
    <n v="0.95427761970082192"/>
    <s v="C"/>
    <s v="ACC"/>
    <n v="2.2360679774997894"/>
    <s v="Z"/>
    <x v="14"/>
  </r>
  <r>
    <x v="701"/>
    <n v="1"/>
    <n v="0"/>
    <n v="0.89"/>
    <s v="B"/>
    <n v="73"/>
    <n v="1.9831991108933052E-4"/>
    <n v="0.98865518783173789"/>
    <s v="C"/>
    <n v="6"/>
    <n v="6.2155775398998981E-4"/>
    <n v="0.9548991774548119"/>
    <s v="C"/>
    <s v="BCC"/>
    <n v="2.2360679774997894"/>
    <s v="Z"/>
    <x v="15"/>
  </r>
  <r>
    <x v="702"/>
    <n v="1"/>
    <n v="0"/>
    <n v="0.71"/>
    <s v="A"/>
    <n v="72.5"/>
    <n v="1.9696155553392415E-4"/>
    <n v="0.98885214938727184"/>
    <s v="C"/>
    <n v="6"/>
    <n v="6.2155775398998981E-4"/>
    <n v="0.95552073520880187"/>
    <s v="C"/>
    <s v="ACC"/>
    <n v="2.2360679774997894"/>
    <s v="Z"/>
    <x v="14"/>
  </r>
  <r>
    <x v="703"/>
    <n v="1"/>
    <n v="0"/>
    <n v="0.97"/>
    <s v="C"/>
    <n v="72"/>
    <n v="1.9560319997851777E-4"/>
    <n v="0.98943895898720724"/>
    <s v="C"/>
    <n v="6"/>
    <n v="6.2155775398998981E-4"/>
    <n v="0.95614229296279185"/>
    <s v="C"/>
    <s v="CCC"/>
    <n v="2.2360679774997894"/>
    <s v="Z"/>
    <x v="16"/>
  </r>
  <r>
    <x v="704"/>
    <n v="1"/>
    <n v="0"/>
    <n v="0.99"/>
    <s v="C"/>
    <n v="71"/>
    <n v="1.9288648886770502E-4"/>
    <n v="0.98963184547607497"/>
    <s v="C"/>
    <n v="6"/>
    <n v="6.2155775398998981E-4"/>
    <n v="0.95676385071678183"/>
    <s v="C"/>
    <s v="CCC"/>
    <n v="2.2360679774997894"/>
    <s v="Z"/>
    <x v="16"/>
  </r>
  <r>
    <x v="705"/>
    <n v="1"/>
    <n v="0"/>
    <n v="0.99"/>
    <s v="C"/>
    <n v="70"/>
    <n v="1.9016977775689227E-4"/>
    <n v="0.98982201525383184"/>
    <s v="C"/>
    <n v="6"/>
    <n v="6.2155775398998981E-4"/>
    <n v="0.9573854084707718"/>
    <s v="C"/>
    <s v="CCC"/>
    <n v="2.2360679774997894"/>
    <s v="Z"/>
    <x v="16"/>
  </r>
  <r>
    <x v="706"/>
    <n v="1"/>
    <n v="0"/>
    <n v="0.72"/>
    <s v="A"/>
    <n v="69"/>
    <n v="1.8745306664607952E-4"/>
    <n v="0.99000946832047787"/>
    <s v="C"/>
    <n v="6"/>
    <n v="6.2155775398998981E-4"/>
    <n v="0.95800696622476178"/>
    <s v="C"/>
    <s v="ACC"/>
    <n v="2.2360679774997894"/>
    <s v="Z"/>
    <x v="14"/>
  </r>
  <r>
    <x v="707"/>
    <n v="1"/>
    <n v="0"/>
    <n v="0.9"/>
    <s v="B"/>
    <n v="68"/>
    <n v="1.8473635553526677E-4"/>
    <n v="0.99019420467601316"/>
    <s v="C"/>
    <n v="6"/>
    <n v="6.2155775398998981E-4"/>
    <n v="0.95862852397875176"/>
    <s v="C"/>
    <s v="BCC"/>
    <n v="2.2360679774997894"/>
    <s v="Z"/>
    <x v="15"/>
  </r>
  <r>
    <x v="708"/>
    <n v="1"/>
    <n v="0"/>
    <n v="0.92"/>
    <s v="B"/>
    <n v="68"/>
    <n v="1.8473635553526677E-4"/>
    <n v="0.99037894103154844"/>
    <s v="C"/>
    <n v="6"/>
    <n v="6.2155775398998981E-4"/>
    <n v="0.95925008173274173"/>
    <s v="C"/>
    <s v="BCC"/>
    <n v="2.2360679774997894"/>
    <s v="Z"/>
    <x v="15"/>
  </r>
  <r>
    <x v="709"/>
    <n v="1"/>
    <n v="0"/>
    <n v="0.75"/>
    <s v="A"/>
    <n v="66"/>
    <n v="1.793029333136413E-4"/>
    <n v="0.99091831685548937"/>
    <s v="C"/>
    <n v="6"/>
    <n v="6.2155775398998981E-4"/>
    <n v="0.95987163948673171"/>
    <s v="C"/>
    <s v="ACC"/>
    <n v="2.2360679774997894"/>
    <s v="Z"/>
    <x v="14"/>
  </r>
  <r>
    <x v="710"/>
    <n v="1"/>
    <n v="0"/>
    <n v="0.88"/>
    <s v="B"/>
    <n v="66"/>
    <n v="1.793029333136413E-4"/>
    <n v="0.99109761978880306"/>
    <s v="C"/>
    <n v="6"/>
    <n v="6.2155775398998981E-4"/>
    <n v="0.96049319724072169"/>
    <s v="C"/>
    <s v="BCC"/>
    <n v="2.2360679774997894"/>
    <s v="Z"/>
    <x v="15"/>
  </r>
  <r>
    <x v="711"/>
    <n v="1"/>
    <n v="0"/>
    <n v="0.87"/>
    <s v="B"/>
    <n v="65"/>
    <n v="1.7658622220282854E-4"/>
    <n v="0.99127420601100591"/>
    <s v="C"/>
    <n v="6"/>
    <n v="6.2155775398998981E-4"/>
    <n v="0.96111475499471166"/>
    <s v="C"/>
    <s v="BCC"/>
    <n v="2.2360679774997894"/>
    <s v="Z"/>
    <x v="15"/>
  </r>
  <r>
    <x v="712"/>
    <n v="1"/>
    <n v="0"/>
    <n v="0.71"/>
    <s v="A"/>
    <n v="64"/>
    <n v="1.7386951109201579E-4"/>
    <n v="0.99232106347044646"/>
    <s v="C"/>
    <n v="6"/>
    <n v="6.2155775398998981E-4"/>
    <n v="0.96173631274870164"/>
    <s v="C"/>
    <s v="ACC"/>
    <n v="2.2360679774997894"/>
    <s v="Z"/>
    <x v="14"/>
  </r>
  <r>
    <x v="713"/>
    <n v="1"/>
    <n v="0"/>
    <n v="0.75"/>
    <s v="A"/>
    <n v="59"/>
    <n v="1.6028595553795207E-4"/>
    <n v="0.99248134942598443"/>
    <s v="C"/>
    <n v="6"/>
    <n v="6.2155775398998981E-4"/>
    <n v="0.96235787050269161"/>
    <s v="C"/>
    <s v="ACC"/>
    <n v="2.2360679774997894"/>
    <s v="Z"/>
    <x v="14"/>
  </r>
  <r>
    <x v="714"/>
    <n v="1"/>
    <n v="0"/>
    <n v="0.82"/>
    <s v="B"/>
    <n v="59"/>
    <n v="1.6028595553795207E-4"/>
    <n v="0.99264163538152239"/>
    <s v="C"/>
    <n v="6"/>
    <n v="6.2155775398998981E-4"/>
    <n v="0.96297942825668159"/>
    <s v="C"/>
    <s v="BCC"/>
    <n v="2.2360679774997894"/>
    <s v="Z"/>
    <x v="15"/>
  </r>
  <r>
    <x v="715"/>
    <n v="1"/>
    <n v="0"/>
    <n v="0.85"/>
    <s v="B"/>
    <n v="57"/>
    <n v="1.5485253331632657E-4"/>
    <n v="0.99279648791483877"/>
    <s v="C"/>
    <n v="6"/>
    <n v="6.2155775398998981E-4"/>
    <n v="0.96360098601067157"/>
    <s v="C"/>
    <s v="BCC"/>
    <n v="2.2360679774997894"/>
    <s v="Z"/>
    <x v="15"/>
  </r>
  <r>
    <x v="716"/>
    <n v="1"/>
    <n v="0"/>
    <n v="0.9"/>
    <s v="B"/>
    <n v="57"/>
    <n v="1.5485253331632657E-4"/>
    <n v="0.99295134044815514"/>
    <s v="C"/>
    <n v="6"/>
    <n v="6.2155775398998981E-4"/>
    <n v="0.96422254376466154"/>
    <s v="C"/>
    <s v="BCC"/>
    <n v="2.2360679774997894"/>
    <s v="Z"/>
    <x v="15"/>
  </r>
  <r>
    <x v="717"/>
    <n v="1"/>
    <n v="0"/>
    <n v="0.84"/>
    <s v="B"/>
    <n v="56.1"/>
    <n v="1.5240749331659509E-4"/>
    <n v="0.99310374794147172"/>
    <s v="C"/>
    <n v="6"/>
    <n v="6.2155775398998981E-4"/>
    <n v="0.96484410151865152"/>
    <s v="C"/>
    <s v="BCC"/>
    <n v="2.2360679774997894"/>
    <s v="Z"/>
    <x v="15"/>
  </r>
  <r>
    <x v="718"/>
    <n v="1"/>
    <n v="0"/>
    <n v="0.74"/>
    <s v="A"/>
    <n v="56"/>
    <n v="1.5213582220551382E-4"/>
    <n v="0.99371242706584939"/>
    <s v="C"/>
    <n v="6"/>
    <n v="6.2155775398998981E-4"/>
    <n v="0.9654656592726415"/>
    <s v="C"/>
    <s v="ACC"/>
    <n v="2.2360679774997894"/>
    <s v="Z"/>
    <x v="14"/>
  </r>
  <r>
    <x v="719"/>
    <n v="1"/>
    <n v="0"/>
    <n v="0.78"/>
    <s v="A"/>
    <n v="55"/>
    <n v="1.4941911109470107E-4"/>
    <n v="0.99386184617694406"/>
    <s v="C"/>
    <n v="6"/>
    <n v="6.2155775398998981E-4"/>
    <n v="0.96608721702663147"/>
    <s v="C"/>
    <s v="ACC"/>
    <n v="2.2360679774997894"/>
    <s v="Z"/>
    <x v="14"/>
  </r>
  <r>
    <x v="720"/>
    <n v="1"/>
    <n v="0"/>
    <n v="0.84"/>
    <s v="B"/>
    <n v="55"/>
    <n v="1.4941911109470107E-4"/>
    <n v="0.99401126528803874"/>
    <s v="C"/>
    <n v="6"/>
    <n v="6.2155775398998981E-4"/>
    <n v="0.96670877478062145"/>
    <s v="C"/>
    <s v="BCC"/>
    <n v="2.2360679774997894"/>
    <s v="Z"/>
    <x v="15"/>
  </r>
  <r>
    <x v="721"/>
    <n v="1"/>
    <n v="0"/>
    <n v="0.86"/>
    <s v="B"/>
    <n v="54"/>
    <n v="1.4670239998388832E-4"/>
    <n v="0.99415796768802267"/>
    <s v="C"/>
    <n v="6"/>
    <n v="6.2155775398998981E-4"/>
    <n v="0.96733033253461143"/>
    <s v="C"/>
    <s v="BCC"/>
    <n v="2.2360679774997894"/>
    <s v="Z"/>
    <x v="15"/>
  </r>
  <r>
    <x v="722"/>
    <n v="1"/>
    <n v="0"/>
    <n v="0.91"/>
    <s v="B"/>
    <n v="54"/>
    <n v="1.4670239998388832E-4"/>
    <n v="0.9943046700880066"/>
    <s v="C"/>
    <n v="6"/>
    <n v="6.2155775398998981E-4"/>
    <n v="0.9679518902886014"/>
    <s v="C"/>
    <s v="BCC"/>
    <n v="2.2360679774997894"/>
    <s v="Z"/>
    <x v="15"/>
  </r>
  <r>
    <x v="723"/>
    <n v="1"/>
    <n v="0"/>
    <n v="0.78"/>
    <s v="A"/>
    <n v="53"/>
    <n v="1.4398568887307556E-4"/>
    <n v="0.99444865577687969"/>
    <s v="C"/>
    <n v="6"/>
    <n v="6.2155775398998981E-4"/>
    <n v="0.96857344804259138"/>
    <s v="C"/>
    <s v="ACC"/>
    <n v="2.2360679774997894"/>
    <s v="Z"/>
    <x v="14"/>
  </r>
  <r>
    <x v="724"/>
    <n v="1"/>
    <n v="0"/>
    <n v="0.9"/>
    <s v="B"/>
    <n v="52"/>
    <n v="1.4126897776226284E-4"/>
    <n v="0.99473119373240415"/>
    <s v="C"/>
    <n v="6"/>
    <n v="6.2155775398998981E-4"/>
    <n v="0.96919500579658135"/>
    <s v="C"/>
    <s v="BCC"/>
    <n v="2.2360679774997894"/>
    <s v="Z"/>
    <x v="15"/>
  </r>
  <r>
    <x v="725"/>
    <n v="1"/>
    <n v="0"/>
    <n v="0.85"/>
    <s v="B"/>
    <n v="51"/>
    <n v="1.3855226665145009E-4"/>
    <n v="0.99501023843646075"/>
    <s v="C"/>
    <n v="6"/>
    <n v="6.2155775398998981E-4"/>
    <n v="0.96981656355057133"/>
    <s v="C"/>
    <s v="BCC"/>
    <n v="2.2360679774997894"/>
    <s v="Z"/>
    <x v="15"/>
  </r>
  <r>
    <x v="726"/>
    <n v="1"/>
    <n v="0"/>
    <n v="0.98"/>
    <s v="C"/>
    <n v="50"/>
    <n v="1.3583555554063734E-4"/>
    <n v="0.99541774510308267"/>
    <s v="C"/>
    <n v="6"/>
    <n v="6.2155775398998981E-4"/>
    <n v="0.97043812130456131"/>
    <s v="C"/>
    <s v="CCC"/>
    <n v="2.2360679774997894"/>
    <s v="Z"/>
    <x v="16"/>
  </r>
  <r>
    <x v="727"/>
    <n v="1"/>
    <n v="0"/>
    <n v="0.69"/>
    <s v="A"/>
    <n v="49"/>
    <n v="1.3311884442982459E-4"/>
    <n v="0.99555086394751247"/>
    <s v="C"/>
    <n v="6"/>
    <n v="6.2155775398998981E-4"/>
    <n v="0.97105967905855128"/>
    <s v="C"/>
    <s v="ACC"/>
    <n v="2.2360679774997894"/>
    <s v="Z"/>
    <x v="14"/>
  </r>
  <r>
    <x v="728"/>
    <n v="1"/>
    <n v="0"/>
    <n v="0.94"/>
    <s v="B"/>
    <n v="49"/>
    <n v="1.3311884442982459E-4"/>
    <n v="0.99568398279194226"/>
    <s v="C"/>
    <n v="6"/>
    <n v="6.2155775398998981E-4"/>
    <n v="0.97168123681254126"/>
    <s v="C"/>
    <s v="BCC"/>
    <n v="2.2360679774997894"/>
    <s v="Z"/>
    <x v="15"/>
  </r>
  <r>
    <x v="729"/>
    <n v="1"/>
    <n v="0"/>
    <n v="0.96"/>
    <s v="C"/>
    <n v="47"/>
    <n v="1.2768542220819909E-4"/>
    <n v="0.99594207034746951"/>
    <s v="C"/>
    <n v="6"/>
    <n v="6.2155775398998981E-4"/>
    <n v="0.97230279456653124"/>
    <s v="C"/>
    <s v="CCC"/>
    <n v="2.2360679774997894"/>
    <s v="Z"/>
    <x v="16"/>
  </r>
  <r>
    <x v="730"/>
    <n v="1"/>
    <n v="0"/>
    <n v="0.71"/>
    <s v="A"/>
    <n v="46"/>
    <n v="1.2496871109738634E-4"/>
    <n v="0.99619200776966421"/>
    <s v="C"/>
    <n v="6"/>
    <n v="6.2155775398998981E-4"/>
    <n v="0.97292435232052121"/>
    <s v="C"/>
    <s v="ACC"/>
    <n v="2.2360679774997894"/>
    <s v="Z"/>
    <x v="14"/>
  </r>
  <r>
    <x v="731"/>
    <n v="1"/>
    <n v="0"/>
    <n v="0.84"/>
    <s v="B"/>
    <n v="46"/>
    <n v="1.2496871109738634E-4"/>
    <n v="0.99631697648076156"/>
    <s v="C"/>
    <n v="6"/>
    <n v="6.2155775398998981E-4"/>
    <n v="0.97354591007451119"/>
    <s v="C"/>
    <s v="BCC"/>
    <n v="2.2360679774997894"/>
    <s v="Z"/>
    <x v="15"/>
  </r>
  <r>
    <x v="732"/>
    <n v="1"/>
    <n v="0"/>
    <n v="0.88"/>
    <s v="B"/>
    <n v="45"/>
    <n v="1.2225199998657361E-4"/>
    <n v="0.99643922848074817"/>
    <s v="C"/>
    <n v="6"/>
    <n v="6.2155775398998981E-4"/>
    <n v="0.97416746782850117"/>
    <s v="C"/>
    <s v="BCC"/>
    <n v="2.2360679774997894"/>
    <s v="Z"/>
    <x v="15"/>
  </r>
  <r>
    <x v="733"/>
    <n v="1"/>
    <n v="0"/>
    <n v="0.92"/>
    <s v="B"/>
    <n v="44"/>
    <n v="1.1953528887576085E-4"/>
    <n v="0.99679783434737546"/>
    <s v="C"/>
    <n v="6"/>
    <n v="6.2155775398998981E-4"/>
    <n v="0.97478902558249114"/>
    <s v="C"/>
    <s v="BCC"/>
    <n v="2.2360679774997894"/>
    <s v="Z"/>
    <x v="15"/>
  </r>
  <r>
    <x v="734"/>
    <n v="1"/>
    <n v="0"/>
    <n v="0.75"/>
    <s v="A"/>
    <n v="43"/>
    <n v="1.1681857776494811E-4"/>
    <n v="0.99691465292514037"/>
    <s v="C"/>
    <n v="6"/>
    <n v="6.2155775398998981E-4"/>
    <n v="0.97541058333648112"/>
    <s v="C"/>
    <s v="ACC"/>
    <n v="2.2360679774997894"/>
    <s v="Z"/>
    <x v="14"/>
  </r>
  <r>
    <x v="735"/>
    <n v="1"/>
    <n v="0"/>
    <n v="0.93"/>
    <s v="B"/>
    <n v="41"/>
    <n v="1.1138515554332261E-4"/>
    <n v="0.99702603808068369"/>
    <s v="C"/>
    <n v="6"/>
    <n v="6.2155775398998981E-4"/>
    <n v="0.97603214109047109"/>
    <s v="C"/>
    <s v="BCC"/>
    <n v="2.2360679774997894"/>
    <s v="Z"/>
    <x v="15"/>
  </r>
  <r>
    <x v="736"/>
    <n v="1"/>
    <n v="0"/>
    <n v="0.7"/>
    <s v="A"/>
    <n v="40"/>
    <n v="1.0866844443250987E-4"/>
    <n v="0.99724574394163734"/>
    <s v="C"/>
    <n v="6"/>
    <n v="6.2155775398998981E-4"/>
    <n v="0.97665369884446107"/>
    <s v="C"/>
    <s v="ACC"/>
    <n v="2.2360679774997894"/>
    <s v="Z"/>
    <x v="14"/>
  </r>
  <r>
    <x v="737"/>
    <n v="1"/>
    <n v="0"/>
    <n v="0.89"/>
    <s v="B"/>
    <n v="40"/>
    <n v="1.0866844443250987E-4"/>
    <n v="0.99735441238606981"/>
    <s v="C"/>
    <n v="6"/>
    <n v="6.2155775398998981E-4"/>
    <n v="0.97727525659845105"/>
    <s v="C"/>
    <s v="BCC"/>
    <n v="2.2360679774997894"/>
    <s v="Z"/>
    <x v="15"/>
  </r>
  <r>
    <x v="738"/>
    <n v="1"/>
    <n v="0"/>
    <n v="0.93"/>
    <s v="B"/>
    <n v="40"/>
    <n v="1.0866844443250987E-4"/>
    <n v="0.99746308083050228"/>
    <s v="C"/>
    <n v="6"/>
    <n v="6.2155775398998981E-4"/>
    <n v="0.97789681435244102"/>
    <s v="C"/>
    <s v="BCC"/>
    <n v="2.2360679774997894"/>
    <s v="Z"/>
    <x v="15"/>
  </r>
  <r>
    <x v="739"/>
    <n v="1"/>
    <n v="0"/>
    <n v="0.7"/>
    <s v="A"/>
    <n v="39"/>
    <n v="1.0595173332169712E-4"/>
    <n v="0.99756903256382401"/>
    <s v="C"/>
    <n v="6"/>
    <n v="6.2155775398998981E-4"/>
    <n v="0.978518372106431"/>
    <s v="C"/>
    <s v="ACC"/>
    <n v="2.2360679774997894"/>
    <s v="Z"/>
    <x v="14"/>
  </r>
  <r>
    <x v="740"/>
    <n v="1"/>
    <n v="0"/>
    <n v="0.74"/>
    <s v="A"/>
    <n v="39"/>
    <n v="1.0595173332169712E-4"/>
    <n v="0.99767498429714574"/>
    <s v="C"/>
    <n v="6"/>
    <n v="6.2155775398998981E-4"/>
    <n v="0.97913992986042098"/>
    <s v="C"/>
    <s v="ACC"/>
    <n v="2.2360679774997894"/>
    <s v="Z"/>
    <x v="14"/>
  </r>
  <r>
    <x v="741"/>
    <n v="1"/>
    <n v="0"/>
    <n v="0.81"/>
    <s v="B"/>
    <n v="39"/>
    <n v="1.0595173332169712E-4"/>
    <n v="0.99778093603046747"/>
    <s v="C"/>
    <n v="6"/>
    <n v="6.2155775398998981E-4"/>
    <n v="0.97976148761441095"/>
    <s v="C"/>
    <s v="BCC"/>
    <n v="2.2360679774997894"/>
    <s v="Z"/>
    <x v="15"/>
  </r>
  <r>
    <x v="742"/>
    <n v="1"/>
    <n v="0"/>
    <n v="0.74"/>
    <s v="A"/>
    <n v="37"/>
    <n v="1.0051831110007162E-4"/>
    <n v="0.99798468936377838"/>
    <s v="C"/>
    <n v="6"/>
    <n v="6.2155775398998981E-4"/>
    <n v="0.98038304536840093"/>
    <s v="C"/>
    <s v="ACC"/>
    <n v="2.2360679774997894"/>
    <s v="Z"/>
    <x v="14"/>
  </r>
  <r>
    <x v="743"/>
    <n v="1"/>
    <n v="0"/>
    <n v="0.99"/>
    <s v="C"/>
    <n v="37"/>
    <n v="1.0051831110007162E-4"/>
    <n v="0.99808520767487841"/>
    <s v="C"/>
    <n v="6"/>
    <n v="6.2155775398998981E-4"/>
    <n v="0.98100460312239091"/>
    <s v="C"/>
    <s v="CCC"/>
    <n v="2.2360679774997894"/>
    <s v="Z"/>
    <x v="16"/>
  </r>
  <r>
    <x v="744"/>
    <n v="1"/>
    <n v="0"/>
    <n v="0.72"/>
    <s v="A"/>
    <n v="36"/>
    <n v="9.7801599989258886E-5"/>
    <n v="0.99837861247484627"/>
    <s v="C"/>
    <n v="6"/>
    <n v="6.2155775398998981E-4"/>
    <n v="0.98162616087638088"/>
    <s v="C"/>
    <s v="ACC"/>
    <n v="2.2360679774997894"/>
    <s v="Z"/>
    <x v="14"/>
  </r>
  <r>
    <x v="745"/>
    <n v="1"/>
    <n v="0"/>
    <n v="0.74"/>
    <s v="A"/>
    <n v="35"/>
    <n v="9.5084888878446135E-5"/>
    <n v="0.99847369736372471"/>
    <s v="C"/>
    <n v="6"/>
    <n v="6.2155775398998981E-4"/>
    <n v="0.98224771863037086"/>
    <s v="C"/>
    <s v="ACC"/>
    <n v="2.2360679774997894"/>
    <s v="Z"/>
    <x v="14"/>
  </r>
  <r>
    <x v="746"/>
    <n v="1"/>
    <n v="0"/>
    <n v="0.83"/>
    <s v="B"/>
    <n v="35"/>
    <n v="9.5084888878446135E-5"/>
    <n v="0.99856878225260315"/>
    <s v="C"/>
    <n v="6"/>
    <n v="6.2155775398998981E-4"/>
    <n v="0.98286927638436083"/>
    <s v="C"/>
    <s v="BCC"/>
    <n v="2.2360679774997894"/>
    <s v="Z"/>
    <x v="15"/>
  </r>
  <r>
    <x v="747"/>
    <n v="1"/>
    <n v="0"/>
    <n v="0.97"/>
    <s v="C"/>
    <n v="32"/>
    <n v="8.6934755546007897E-5"/>
    <n v="0.99883501994146273"/>
    <s v="C"/>
    <n v="6"/>
    <n v="6.2155775398998981E-4"/>
    <n v="0.98349083413835081"/>
    <s v="C"/>
    <s v="CCC"/>
    <n v="2.2360679774997894"/>
    <s v="Z"/>
    <x v="16"/>
  </r>
  <r>
    <x v="748"/>
    <n v="1"/>
    <n v="0"/>
    <n v="0.76"/>
    <s v="A"/>
    <n v="30"/>
    <n v="8.1501333324382396E-5"/>
    <n v="0.99891652127478714"/>
    <s v="C"/>
    <n v="6"/>
    <n v="6.2155775398998981E-4"/>
    <n v="0.98411239189234079"/>
    <s v="C"/>
    <s v="ACC"/>
    <n v="2.2360679774997894"/>
    <s v="Z"/>
    <x v="14"/>
  </r>
  <r>
    <x v="749"/>
    <n v="1"/>
    <n v="0"/>
    <n v="0.78"/>
    <s v="A"/>
    <n v="30"/>
    <n v="8.1501333324382396E-5"/>
    <n v="0.99899802260811155"/>
    <s v="C"/>
    <n v="6"/>
    <n v="6.2155775398998981E-4"/>
    <n v="0.98473394964633076"/>
    <s v="C"/>
    <s v="ACC"/>
    <n v="2.2360679774997894"/>
    <s v="Z"/>
    <x v="14"/>
  </r>
  <r>
    <x v="750"/>
    <n v="1"/>
    <n v="0"/>
    <n v="0.82"/>
    <s v="B"/>
    <n v="29.9"/>
    <n v="8.1229662213301126E-5"/>
    <n v="0.9990792522703249"/>
    <s v="C"/>
    <n v="6"/>
    <n v="6.2155775398998981E-4"/>
    <n v="0.98535550740032074"/>
    <s v="C"/>
    <s v="BCC"/>
    <n v="2.2360679774997894"/>
    <s v="Z"/>
    <x v="15"/>
  </r>
  <r>
    <x v="751"/>
    <n v="1"/>
    <n v="0"/>
    <n v="0.97"/>
    <s v="C"/>
    <n v="29"/>
    <n v="7.8784622213569659E-5"/>
    <n v="0.99915803689253846"/>
    <s v="C"/>
    <n v="6"/>
    <n v="6.2155775398998981E-4"/>
    <n v="0.98597706515431072"/>
    <s v="C"/>
    <s v="CCC"/>
    <n v="2.2360679774997894"/>
    <s v="Z"/>
    <x v="16"/>
  </r>
  <r>
    <x v="752"/>
    <n v="1"/>
    <n v="0"/>
    <n v="0.72"/>
    <s v="A"/>
    <n v="28"/>
    <n v="7.6067911102756908E-5"/>
    <n v="0.99931017271474387"/>
    <s v="C"/>
    <n v="6"/>
    <n v="6.2155775398998981E-4"/>
    <n v="0.98659862290830069"/>
    <s v="C"/>
    <s v="ACC"/>
    <n v="2.2360679774997894"/>
    <s v="Z"/>
    <x v="14"/>
  </r>
  <r>
    <x v="753"/>
    <n v="1"/>
    <n v="0"/>
    <n v="0.97"/>
    <s v="C"/>
    <n v="28"/>
    <n v="7.6067911102756908E-5"/>
    <n v="0.99938624062584658"/>
    <s v="C"/>
    <n v="6"/>
    <n v="6.2155775398998981E-4"/>
    <n v="0.98722018066229067"/>
    <s v="C"/>
    <s v="CCC"/>
    <n v="2.2360679774997894"/>
    <s v="Z"/>
    <x v="16"/>
  </r>
  <r>
    <x v="754"/>
    <n v="1"/>
    <n v="0"/>
    <n v="0.76"/>
    <s v="A"/>
    <n v="26"/>
    <n v="7.0634488881131421E-5"/>
    <n v="0.99945687511472769"/>
    <s v="C"/>
    <n v="6"/>
    <n v="6.2155775398998981E-4"/>
    <n v="0.98784173841628065"/>
    <s v="C"/>
    <s v="ACC"/>
    <n v="2.2360679774997894"/>
    <s v="Z"/>
    <x v="14"/>
  </r>
  <r>
    <x v="755"/>
    <n v="1"/>
    <n v="0"/>
    <n v="0.74"/>
    <s v="A"/>
    <n v="25"/>
    <n v="6.791777777031867E-5"/>
    <n v="0.99959488403915697"/>
    <s v="C"/>
    <n v="6"/>
    <n v="6.2155775398998981E-4"/>
    <n v="0.98846329617027062"/>
    <s v="C"/>
    <s v="ACC"/>
    <n v="2.2360679774997894"/>
    <s v="Z"/>
    <x v="14"/>
  </r>
  <r>
    <x v="756"/>
    <n v="1"/>
    <n v="0"/>
    <n v="0.92"/>
    <s v="B"/>
    <n v="25"/>
    <n v="6.791777777031867E-5"/>
    <n v="0.99966280181692724"/>
    <s v="C"/>
    <n v="6"/>
    <n v="6.2155775398998981E-4"/>
    <n v="0.9890848539242606"/>
    <s v="C"/>
    <s v="BCC"/>
    <n v="2.2360679774997894"/>
    <s v="Z"/>
    <x v="15"/>
  </r>
  <r>
    <x v="757"/>
    <n v="1"/>
    <n v="0"/>
    <n v="0.71"/>
    <s v="A"/>
    <n v="24"/>
    <n v="6.5201066659505919E-5"/>
    <n v="0.99972800288358676"/>
    <s v="C"/>
    <n v="6"/>
    <n v="6.2155775398998981E-4"/>
    <n v="0.98970641167825057"/>
    <s v="C"/>
    <s v="ACC"/>
    <n v="2.2360679774997894"/>
    <s v="Z"/>
    <x v="14"/>
  </r>
  <r>
    <x v="758"/>
    <n v="1"/>
    <n v="0"/>
    <n v="0.72"/>
    <s v="A"/>
    <n v="23"/>
    <n v="6.2484355548693169E-5"/>
    <n v="0.99979048723913544"/>
    <s v="C"/>
    <n v="6"/>
    <n v="6.2155775398998981E-4"/>
    <n v="0.99032796943224055"/>
    <s v="C"/>
    <s v="ACC"/>
    <n v="2.2360679774997894"/>
    <s v="Z"/>
    <x v="14"/>
  </r>
  <r>
    <x v="759"/>
    <n v="1"/>
    <n v="0"/>
    <n v="0.99"/>
    <s v="C"/>
    <n v="20"/>
    <n v="5.4334222216254937E-5"/>
    <n v="0.99984482146135167"/>
    <s v="C"/>
    <n v="6"/>
    <n v="6.2155775398998981E-4"/>
    <n v="0.99094952718623053"/>
    <s v="C"/>
    <s v="CCC"/>
    <n v="2.2360679774997894"/>
    <s v="Z"/>
    <x v="16"/>
  </r>
  <r>
    <x v="760"/>
    <n v="1"/>
    <n v="0"/>
    <n v="0.92"/>
    <s v="B"/>
    <n v="17"/>
    <n v="4.6184088883816692E-5"/>
    <n v="0.99989100555023547"/>
    <s v="C"/>
    <n v="6"/>
    <n v="6.2155775398998981E-4"/>
    <n v="0.9915710849402205"/>
    <s v="C"/>
    <s v="BCC"/>
    <n v="2.2360679774997894"/>
    <s v="Z"/>
    <x v="15"/>
  </r>
  <r>
    <x v="761"/>
    <n v="1"/>
    <n v="0"/>
    <n v="0.74"/>
    <s v="A"/>
    <n v="16"/>
    <n v="4.3467377773003949E-5"/>
    <n v="0.99993447292800852"/>
    <s v="C"/>
    <n v="6"/>
    <n v="6.2155775398998981E-4"/>
    <n v="0.99219264269421048"/>
    <s v="C"/>
    <s v="ACC"/>
    <n v="2.2360679774997894"/>
    <s v="Z"/>
    <x v="14"/>
  </r>
  <r>
    <x v="762"/>
    <n v="1"/>
    <n v="0"/>
    <n v="0.97"/>
    <s v="C"/>
    <n v="14"/>
    <n v="3.8033955551378454E-5"/>
    <n v="0.99997250688355988"/>
    <s v="C"/>
    <n v="6"/>
    <n v="6.2155775398998981E-4"/>
    <n v="0.99281420044820046"/>
    <s v="C"/>
    <s v="CCC"/>
    <n v="2.2360679774997894"/>
    <s v="Z"/>
    <x v="16"/>
  </r>
  <r>
    <x v="763"/>
    <n v="1"/>
    <n v="0"/>
    <n v="0.73"/>
    <s v="A"/>
    <n v="10"/>
    <n v="2.7167111108127469E-5"/>
    <n v="0.99999967399466805"/>
    <s v="C"/>
    <n v="6"/>
    <n v="6.2155775398998981E-4"/>
    <n v="0.99343575820219043"/>
    <s v="C"/>
    <s v="ACC"/>
    <n v="2.2360679774997894"/>
    <s v="Z"/>
    <x v="14"/>
  </r>
  <r>
    <x v="764"/>
    <n v="0.8"/>
    <n v="0"/>
    <n v="0.99"/>
    <s v="C"/>
    <n v="564"/>
    <n v="1.5322250664983892E-3"/>
    <n v="0.63398415362672167"/>
    <s v="A"/>
    <n v="4.8"/>
    <n v="4.9724620319199189E-4"/>
    <n v="0.99393300440538246"/>
    <s v="C"/>
    <s v="CAC"/>
    <n v="1.6298006013006627"/>
    <s v="Z"/>
    <x v="17"/>
  </r>
  <r>
    <x v="765"/>
    <n v="0.7"/>
    <n v="0"/>
    <n v="0.99"/>
    <s v="C"/>
    <n v="254.79999999999998"/>
    <n v="6.9221799103508783E-4"/>
    <n v="0.87483325108040855"/>
    <s v="B"/>
    <n v="4.1999999999999993"/>
    <n v="4.3509042779299283E-4"/>
    <n v="0.99436809483317545"/>
    <s v="C"/>
    <s v="CBC"/>
    <n v="2.2360679774997898"/>
    <s v="Z"/>
    <x v="18"/>
  </r>
  <r>
    <x v="766"/>
    <n v="0.66666665999999997"/>
    <n v="0"/>
    <n v="0.99"/>
    <s v="C"/>
    <n v="789.99999209999999"/>
    <n v="2.1462017560800522E-3"/>
    <n v="0.49579411506583071"/>
    <s v="A"/>
    <n v="3.9999999599999998"/>
    <n v="4.1437183184960821E-4"/>
    <n v="0.99478246666502501"/>
    <s v="C"/>
    <s v="CAC"/>
    <n v="2.2360679774997898"/>
    <s v="Z"/>
    <x v="17"/>
  </r>
  <r>
    <x v="767"/>
    <n v="0.53571440000000004"/>
    <n v="0"/>
    <n v="1"/>
    <s v="C"/>
    <n v="366.96436400000005"/>
    <n v="9.9693616495113318E-4"/>
    <n v="0.7802455474652692"/>
    <s v="A"/>
    <n v="3.2142864000000002"/>
    <n v="3.3297743924409502E-4"/>
    <n v="0.99511544410426911"/>
    <s v="C"/>
    <s v="CAC"/>
    <n v="1.2247447189789382"/>
    <s v="Z"/>
    <x v="17"/>
  </r>
  <r>
    <x v="768"/>
    <n v="0.5"/>
    <n v="0"/>
    <n v="1"/>
    <s v="C"/>
    <n v="1530.5"/>
    <n v="4.1579263550989088E-3"/>
    <n v="0.28366136713813073"/>
    <s v="A"/>
    <n v="3"/>
    <n v="3.1077887699499491E-4"/>
    <n v="0.99542622298126415"/>
    <s v="C"/>
    <s v="CAC"/>
    <n v="2.2360679774997894"/>
    <s v="Z"/>
    <x v="17"/>
  </r>
  <r>
    <x v="769"/>
    <n v="0.5"/>
    <n v="0"/>
    <n v="1"/>
    <s v="C"/>
    <n v="886.5"/>
    <n v="2.4083643997355E-3"/>
    <n v="0.47096337553446427"/>
    <s v="A"/>
    <n v="3"/>
    <n v="3.1077887699499491E-4"/>
    <n v="0.9957370018582592"/>
    <s v="C"/>
    <s v="CAC"/>
    <n v="2.2360679774997894"/>
    <s v="Z"/>
    <x v="17"/>
  </r>
  <r>
    <x v="770"/>
    <n v="0.5"/>
    <n v="0"/>
    <n v="1"/>
    <s v="C"/>
    <n v="328"/>
    <n v="8.9108124434658089E-4"/>
    <n v="0.81154982925560859"/>
    <s v="B"/>
    <n v="3"/>
    <n v="3.1077887699499491E-4"/>
    <n v="0.99604778073525424"/>
    <s v="C"/>
    <s v="CBC"/>
    <n v="1.3693063937629151"/>
    <s v="Z"/>
    <x v="18"/>
  </r>
  <r>
    <x v="771"/>
    <n v="0.33333333999999998"/>
    <n v="0"/>
    <n v="1"/>
    <s v="C"/>
    <n v="717.00001434000001"/>
    <n v="1.9478819054103767E-3"/>
    <n v="0.53217087687857134"/>
    <s v="A"/>
    <n v="2.0000000399999998"/>
    <n v="2.0718592214038161E-4"/>
    <n v="0.99625496665739466"/>
    <s v="C"/>
    <s v="CAC"/>
    <n v="2.2360679774997894"/>
    <s v="Z"/>
    <x v="17"/>
  </r>
  <r>
    <x v="772"/>
    <n v="0.33333333999999998"/>
    <n v="0"/>
    <n v="1"/>
    <s v="C"/>
    <n v="680.33334693999996"/>
    <n v="1.848269162688321E-3"/>
    <n v="0.54936584710624103"/>
    <s v="A"/>
    <n v="2.0000000399999998"/>
    <n v="2.0718592214038161E-4"/>
    <n v="0.99646215257953508"/>
    <s v="C"/>
    <s v="CAC"/>
    <n v="2.2360679774997894"/>
    <s v="Z"/>
    <x v="17"/>
  </r>
  <r>
    <x v="773"/>
    <n v="0.33333332999999998"/>
    <n v="0"/>
    <n v="1"/>
    <s v="C"/>
    <n v="3458.3332987499998"/>
    <n v="9.3952924976078225E-3"/>
    <n v="0.10873726768669753"/>
    <s v="A"/>
    <n v="1.9999999799999999"/>
    <n v="2.071859159248041E-4"/>
    <n v="0.99666933849545991"/>
    <s v="C"/>
    <s v="CAC"/>
    <n v="2.2360679774997898"/>
    <s v="Z"/>
    <x v="17"/>
  </r>
  <r>
    <x v="774"/>
    <n v="0.33333332999999998"/>
    <n v="0"/>
    <n v="1"/>
    <s v="C"/>
    <n v="1071.6666559499999"/>
    <n v="2.911408711306906E-3"/>
    <n v="0.41333451628055806"/>
    <s v="A"/>
    <n v="1.9999999799999999"/>
    <n v="2.071859159248041E-4"/>
    <n v="0.99687652441138475"/>
    <s v="C"/>
    <s v="CAC"/>
    <n v="2.2360679774997898"/>
    <s v="Z"/>
    <x v="17"/>
  </r>
  <r>
    <x v="775"/>
    <n v="0.33333332999999998"/>
    <n v="0"/>
    <n v="1"/>
    <s v="C"/>
    <n v="1021.99998978"/>
    <n v="2.7764787274858396E-3"/>
    <n v="0.42459256709600129"/>
    <s v="A"/>
    <n v="1.9999999799999999"/>
    <n v="2.071859159248041E-4"/>
    <n v="0.99708371032730958"/>
    <s v="C"/>
    <s v="CAC"/>
    <n v="2.2360679774997898"/>
    <s v="Z"/>
    <x v="17"/>
  </r>
  <r>
    <x v="776"/>
    <n v="0.33333332999999998"/>
    <n v="0"/>
    <n v="1"/>
    <s v="C"/>
    <n v="676.33332656999994"/>
    <n v="1.8374022629056648E-3"/>
    <n v="0.55304517950227772"/>
    <s v="A"/>
    <n v="1.9999999799999999"/>
    <n v="2.071859159248041E-4"/>
    <n v="0.99729089624323441"/>
    <s v="C"/>
    <s v="CAC"/>
    <n v="2.2360679774997898"/>
    <s v="Z"/>
    <x v="17"/>
  </r>
  <r>
    <x v="777"/>
    <n v="0.33333332999999998"/>
    <n v="0"/>
    <n v="1"/>
    <s v="C"/>
    <n v="510.33332822999995"/>
    <n v="1.3864282230204893E-3"/>
    <n v="0.6597899336915739"/>
    <s v="A"/>
    <n v="1.9999999799999999"/>
    <n v="2.071859159248041E-4"/>
    <n v="0.99749808215915925"/>
    <s v="C"/>
    <s v="CAC"/>
    <n v="2.2360679774997898"/>
    <s v="Z"/>
    <x v="17"/>
  </r>
  <r>
    <x v="778"/>
    <n v="0.33333332999999998"/>
    <n v="0"/>
    <n v="1"/>
    <s v="C"/>
    <n v="503.99999495999998"/>
    <n v="1.3692223861574003E-3"/>
    <n v="0.66665777936601645"/>
    <s v="A"/>
    <n v="1.9999999799999999"/>
    <n v="2.071859159248041E-4"/>
    <n v="0.99770526807508408"/>
    <s v="C"/>
    <s v="CAC"/>
    <n v="2.2360679774997898"/>
    <s v="Z"/>
    <x v="17"/>
  </r>
  <r>
    <x v="779"/>
    <n v="0.3"/>
    <n v="0"/>
    <n v="1"/>
    <s v="C"/>
    <n v="166.20000000000002"/>
    <n v="4.5151738661707854E-4"/>
    <n v="0.93005502282661778"/>
    <s v="B"/>
    <n v="1.7999999999999998"/>
    <n v="1.8646732619699693E-4"/>
    <n v="0.99789173540128107"/>
    <s v="C"/>
    <s v="CBC"/>
    <n v="2.2360679774997894"/>
    <s v="Z"/>
    <x v="18"/>
  </r>
  <r>
    <x v="780"/>
    <n v="0.28000000000000003"/>
    <n v="0"/>
    <n v="1"/>
    <s v="C"/>
    <n v="166.04"/>
    <n v="4.5108271283934842E-4"/>
    <n v="0.93050610553945712"/>
    <s v="B"/>
    <n v="1.6800000000000002"/>
    <n v="1.7403617111719718E-4"/>
    <n v="0.99806577157239829"/>
    <s v="C"/>
    <s v="CBC"/>
    <n v="2.2360679774997894"/>
    <s v="Z"/>
    <x v="18"/>
  </r>
  <r>
    <x v="781"/>
    <n v="0.24"/>
    <n v="0"/>
    <n v="1"/>
    <s v="C"/>
    <n v="357.12"/>
    <n v="9.7019187189344809E-4"/>
    <n v="0.79107240192096895"/>
    <s v="A"/>
    <n v="1.44"/>
    <n v="1.4917386095759756E-4"/>
    <n v="0.99821494543335587"/>
    <s v="C"/>
    <s v="CAC"/>
    <n v="2.2360679774997894"/>
    <s v="Z"/>
    <x v="17"/>
  </r>
  <r>
    <x v="782"/>
    <n v="0.21428570999999999"/>
    <n v="0"/>
    <n v="1"/>
    <s v="C"/>
    <n v="524.57141807999994"/>
    <n v="1.4251089999127344E-3"/>
    <n v="0.64574634840327694"/>
    <s v="A"/>
    <n v="1.28571426"/>
    <n v="1.331909446197503E-4"/>
    <n v="0.99834813637797559"/>
    <s v="C"/>
    <s v="CAC"/>
    <n v="2.2360679774997898"/>
    <s v="Z"/>
    <x v="17"/>
  </r>
  <r>
    <x v="783"/>
    <n v="0.2"/>
    <n v="0"/>
    <n v="1"/>
    <s v="C"/>
    <n v="389"/>
    <n v="1.0568006221061586E-3"/>
    <n v="0.76299235535543675"/>
    <s v="A"/>
    <n v="1.2"/>
    <n v="1.2431155079799797E-4"/>
    <n v="0.99847244792877354"/>
    <s v="C"/>
    <s v="CAC"/>
    <n v="2.2360679774997898"/>
    <s v="Z"/>
    <x v="17"/>
  </r>
  <r>
    <x v="784"/>
    <n v="0.2"/>
    <n v="0"/>
    <n v="1"/>
    <s v="C"/>
    <n v="367.8"/>
    <n v="9.9920634655692822E-4"/>
    <n v="0.77924861130031808"/>
    <s v="A"/>
    <n v="1.2"/>
    <n v="1.2431155079799797E-4"/>
    <n v="0.99859675947957149"/>
    <s v="C"/>
    <s v="CAC"/>
    <n v="2.2360679774997898"/>
    <s v="Z"/>
    <x v="17"/>
  </r>
  <r>
    <x v="785"/>
    <n v="0.2"/>
    <n v="0"/>
    <n v="1"/>
    <s v="C"/>
    <n v="327.60000000000002"/>
    <n v="8.8999455990225592E-4"/>
    <n v="0.81243982381551083"/>
    <s v="B"/>
    <n v="1.2"/>
    <n v="1.2431155079799797E-4"/>
    <n v="0.99872107103036944"/>
    <s v="C"/>
    <s v="CBC"/>
    <n v="2.2360679774997898"/>
    <s v="Z"/>
    <x v="18"/>
  </r>
  <r>
    <x v="786"/>
    <n v="0.2"/>
    <n v="0"/>
    <n v="1"/>
    <s v="C"/>
    <n v="108.80000000000001"/>
    <n v="2.955781688564269E-4"/>
    <n v="0.96462710057659884"/>
    <s v="C"/>
    <n v="1.2"/>
    <n v="1.2431155079799797E-4"/>
    <n v="0.9988453825811674"/>
    <s v="C"/>
    <s v="CCC"/>
    <n v="2.2360679774997898"/>
    <s v="Z"/>
    <x v="16"/>
  </r>
  <r>
    <x v="787"/>
    <n v="0.2"/>
    <n v="0"/>
    <n v="1"/>
    <s v="C"/>
    <n v="107.80000000000001"/>
    <n v="2.9286145774561415E-4"/>
    <n v="0.96550856466361312"/>
    <s v="C"/>
    <n v="1.2"/>
    <n v="1.2431155079799797E-4"/>
    <n v="0.99896969413196535"/>
    <s v="C"/>
    <s v="CCC"/>
    <n v="2.2360679774997898"/>
    <s v="Z"/>
    <x v="16"/>
  </r>
  <r>
    <x v="788"/>
    <n v="0.2"/>
    <n v="0"/>
    <n v="1"/>
    <s v="C"/>
    <n v="88.800000000000011"/>
    <n v="2.4124394664017194E-4"/>
    <n v="0.97843709400174927"/>
    <s v="C"/>
    <n v="1.2"/>
    <n v="1.2431155079799797E-4"/>
    <n v="0.9990940056827633"/>
    <s v="C"/>
    <s v="CCC"/>
    <n v="2.2360679774997898"/>
    <s v="Z"/>
    <x v="16"/>
  </r>
  <r>
    <x v="789"/>
    <n v="0.2"/>
    <n v="0"/>
    <n v="1"/>
    <s v="C"/>
    <n v="40.872000000000007"/>
    <n v="1.110374165211386E-4"/>
    <n v="0.99713707549720487"/>
    <s v="C"/>
    <n v="1.2"/>
    <n v="1.2431155079799797E-4"/>
    <n v="0.99921831723356125"/>
    <s v="C"/>
    <s v="CCC"/>
    <n v="2.2360679774997898"/>
    <s v="Z"/>
    <x v="16"/>
  </r>
  <r>
    <x v="790"/>
    <n v="0.16666666999999999"/>
    <n v="0"/>
    <n v="1"/>
    <s v="C"/>
    <n v="185.00000369999998"/>
    <n v="5.0259156555218921E-4"/>
    <n v="0.92013984228548451"/>
    <s v="B"/>
    <n v="1.0000000199999999"/>
    <n v="1.035929610701908E-4"/>
    <n v="0.99932191019463146"/>
    <s v="C"/>
    <s v="CBC"/>
    <n v="2.2360679774997894"/>
    <s v="Z"/>
    <x v="18"/>
  </r>
  <r>
    <x v="791"/>
    <n v="0.14285713999999999"/>
    <n v="0"/>
    <n v="1"/>
    <s v="C"/>
    <n v="1539.3856834979999"/>
    <n v="4.1820661901850907E-3"/>
    <n v="0.27115471586839318"/>
    <s v="A"/>
    <n v="0.85714283999999996"/>
    <n v="8.8793963079833536E-5"/>
    <n v="0.99941070415771127"/>
    <s v="C"/>
    <s v="CAC"/>
    <n v="2.2360679774997894"/>
    <s v="Z"/>
    <x v="17"/>
  </r>
  <r>
    <x v="792"/>
    <n v="0.14000000000000001"/>
    <n v="0"/>
    <n v="1"/>
    <s v="C"/>
    <n v="128.52000000000001"/>
    <n v="3.4915171196165426E-4"/>
    <n v="0.9525969876028092"/>
    <s v="C"/>
    <n v="0.84000000000000008"/>
    <n v="8.701808555859859E-5"/>
    <n v="0.99949772224326983"/>
    <s v="C"/>
    <s v="CCC"/>
    <n v="2.0422826364993996"/>
    <s v="Z"/>
    <x v="16"/>
  </r>
  <r>
    <x v="793"/>
    <n v="0.12"/>
    <n v="0"/>
    <n v="1"/>
    <s v="C"/>
    <n v="64.44"/>
    <n v="1.750648639807734E-4"/>
    <n v="0.99162558542607848"/>
    <s v="C"/>
    <n v="0.72"/>
    <n v="7.4586930478798781E-5"/>
    <n v="0.99957230917374862"/>
    <s v="C"/>
    <s v="CCC"/>
    <n v="2.2360679774997894"/>
    <s v="Z"/>
    <x v="16"/>
  </r>
  <r>
    <x v="794"/>
    <n v="0.11"/>
    <n v="0"/>
    <n v="1"/>
    <s v="C"/>
    <n v="119.79"/>
    <n v="3.2543482396425895E-4"/>
    <n v="0.96030372651485141"/>
    <s v="C"/>
    <n v="0.65999999999999992"/>
    <n v="6.8371352938898877E-5"/>
    <n v="0.99964068052668753"/>
    <s v="C"/>
    <s v="CCC"/>
    <n v="1.3787046261911911"/>
    <s v="Z"/>
    <x v="16"/>
  </r>
  <r>
    <x v="795"/>
    <n v="0.1"/>
    <n v="0"/>
    <n v="1"/>
    <s v="C"/>
    <n v="117.60000000000001"/>
    <n v="3.1948522663157906E-4"/>
    <n v="0.96126707227474562"/>
    <s v="C"/>
    <n v="0.6"/>
    <n v="6.2155775398998987E-5"/>
    <n v="0.99970283630208656"/>
    <s v="C"/>
    <s v="CCC"/>
    <n v="2.2360679774997898"/>
    <s v="Z"/>
    <x v="16"/>
  </r>
  <r>
    <x v="796"/>
    <n v="0.1"/>
    <n v="0"/>
    <n v="1"/>
    <s v="C"/>
    <n v="75.900000000000006"/>
    <n v="2.0619837331068748E-4"/>
    <n v="0.98704689485413677"/>
    <s v="C"/>
    <n v="0.6"/>
    <n v="6.2155775398998987E-5"/>
    <n v="0.99976499207748559"/>
    <s v="C"/>
    <s v="CCC"/>
    <n v="2.2360679774997898"/>
    <s v="Z"/>
    <x v="16"/>
  </r>
  <r>
    <x v="797"/>
    <n v="0.1"/>
    <n v="0"/>
    <n v="1"/>
    <s v="C"/>
    <n v="64.900000000000006"/>
    <n v="1.7631455109174728E-4"/>
    <n v="0.9914505205620977"/>
    <s v="C"/>
    <n v="0.6"/>
    <n v="6.2155775398998987E-5"/>
    <n v="0.99982714785288462"/>
    <s v="C"/>
    <s v="CCC"/>
    <n v="2.2360679774997898"/>
    <s v="Z"/>
    <x v="16"/>
  </r>
  <r>
    <x v="798"/>
    <n v="7.1428400000000003E-2"/>
    <n v="0"/>
    <n v="1"/>
    <s v="C"/>
    <n v="51.714161600000004"/>
    <n v="1.404924374050859E-4"/>
    <n v="0.99487168616980926"/>
    <s v="C"/>
    <n v="0.42857040000000002"/>
    <n v="4.4396875875098591E-5"/>
    <n v="0.99987154472875972"/>
    <s v="C"/>
    <s v="CCC"/>
    <n v="2.2360679774997894"/>
    <s v="Z"/>
    <x v="16"/>
  </r>
  <r>
    <x v="799"/>
    <n v="6.6666669999999997E-2"/>
    <n v="0"/>
    <n v="1"/>
    <s v="C"/>
    <n v="273.00001364999997"/>
    <n v="7.4166217033498649E-4"/>
    <n v="0.85746042686898316"/>
    <s v="B"/>
    <n v="0.40000001999999996"/>
    <n v="4.1437185671191831E-5"/>
    <n v="0.9999129819144309"/>
    <s v="C"/>
    <s v="CBC"/>
    <n v="2.2360679774997898"/>
    <s v="Z"/>
    <x v="18"/>
  </r>
  <r>
    <x v="800"/>
    <n v="0.05"/>
    <n v="0"/>
    <n v="1"/>
    <s v="C"/>
    <n v="88.300000000000011"/>
    <n v="2.3988559108476556E-4"/>
    <n v="0.97867697959283406"/>
    <s v="C"/>
    <n v="0.3"/>
    <n v="3.1077887699499493E-5"/>
    <n v="0.99994405980213041"/>
    <s v="C"/>
    <s v="CCC"/>
    <n v="2.2360679774997898"/>
    <s v="Z"/>
    <x v="16"/>
  </r>
  <r>
    <x v="801"/>
    <n v="0.05"/>
    <n v="0"/>
    <n v="1"/>
    <s v="C"/>
    <n v="56.050000000000004"/>
    <n v="1.5227165776105446E-4"/>
    <n v="0.99325601959923282"/>
    <s v="C"/>
    <n v="0.3"/>
    <n v="3.1077887699499493E-5"/>
    <n v="0.99997513768982993"/>
    <s v="C"/>
    <s v="CCC"/>
    <n v="2.2360679774997898"/>
    <s v="Z"/>
    <x v="16"/>
  </r>
  <r>
    <x v="802"/>
    <n v="0.04"/>
    <n v="0"/>
    <n v="1"/>
    <s v="C"/>
    <n v="25.8"/>
    <n v="7.0091146658968868E-5"/>
    <n v="0.99952696626138671"/>
    <s v="C"/>
    <n v="0.24"/>
    <n v="2.4862310159599593E-5"/>
    <n v="0.99999999999998956"/>
    <s v="C"/>
    <s v="CCC"/>
    <n v="2.2360679774997898"/>
    <s v="Z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23968-8FEB-DD49-B772-AD41FC3261B4}" name="Сводная таблица6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3" firstHeaderRow="1" firstDataRow="1" firstDataCol="1"/>
  <pivotFields count="17">
    <pivotField showAll="0">
      <items count="804">
        <item x="629"/>
        <item x="645"/>
        <item x="622"/>
        <item x="549"/>
        <item x="545"/>
        <item x="727"/>
        <item x="137"/>
        <item x="218"/>
        <item x="463"/>
        <item x="371"/>
        <item x="674"/>
        <item x="559"/>
        <item x="339"/>
        <item x="768"/>
        <item x="583"/>
        <item x="616"/>
        <item x="289"/>
        <item x="784"/>
        <item x="348"/>
        <item x="598"/>
        <item x="306"/>
        <item x="360"/>
        <item x="480"/>
        <item x="692"/>
        <item x="452"/>
        <item x="295"/>
        <item x="280"/>
        <item x="597"/>
        <item x="309"/>
        <item x="662"/>
        <item x="736"/>
        <item x="739"/>
        <item x="434"/>
        <item x="363"/>
        <item x="438"/>
        <item x="712"/>
        <item x="574"/>
        <item x="632"/>
        <item x="596"/>
        <item x="757"/>
        <item x="503"/>
        <item x="650"/>
        <item x="103"/>
        <item x="191"/>
        <item x="702"/>
        <item x="118"/>
        <item x="639"/>
        <item x="383"/>
        <item x="587"/>
        <item x="730"/>
        <item x="576"/>
        <item x="633"/>
        <item x="409"/>
        <item x="57"/>
        <item x="279"/>
        <item x="278"/>
        <item x="481"/>
        <item x="23"/>
        <item x="74"/>
        <item x="41"/>
        <item x="234"/>
        <item x="654"/>
        <item x="76"/>
        <item x="133"/>
        <item x="744"/>
        <item x="37"/>
        <item x="219"/>
        <item x="623"/>
        <item x="244"/>
        <item x="243"/>
        <item x="384"/>
        <item x="401"/>
        <item x="172"/>
        <item x="484"/>
        <item x="508"/>
        <item x="160"/>
        <item x="464"/>
        <item x="454"/>
        <item x="303"/>
        <item x="580"/>
        <item x="110"/>
        <item x="203"/>
        <item x="706"/>
        <item x="752"/>
        <item x="42"/>
        <item x="758"/>
        <item x="73"/>
        <item x="229"/>
        <item x="161"/>
        <item x="44"/>
        <item x="611"/>
        <item x="766"/>
        <item x="693"/>
        <item x="468"/>
        <item x="795"/>
        <item x="763"/>
        <item x="381"/>
        <item x="346"/>
        <item x="177"/>
        <item x="470"/>
        <item x="95"/>
        <item x="493"/>
        <item x="352"/>
        <item x="342"/>
        <item x="423"/>
        <item x="455"/>
        <item x="431"/>
        <item x="313"/>
        <item x="697"/>
        <item x="668"/>
        <item x="121"/>
        <item x="620"/>
        <item x="718"/>
        <item x="641"/>
        <item x="120"/>
        <item x="755"/>
        <item x="663"/>
        <item x="106"/>
        <item x="186"/>
        <item x="187"/>
        <item x="215"/>
        <item x="358"/>
        <item x="174"/>
        <item x="740"/>
        <item x="745"/>
        <item x="742"/>
        <item x="605"/>
        <item x="4"/>
        <item x="247"/>
        <item x="201"/>
        <item x="761"/>
        <item x="51"/>
        <item x="325"/>
        <item x="572"/>
        <item x="232"/>
        <item x="609"/>
        <item x="340"/>
        <item x="564"/>
        <item x="252"/>
        <item x="222"/>
        <item x="542"/>
        <item x="226"/>
        <item x="24"/>
        <item x="700"/>
        <item x="50"/>
        <item x="3"/>
        <item x="91"/>
        <item x="109"/>
        <item x="425"/>
        <item x="300"/>
        <item x="324"/>
        <item x="589"/>
        <item x="709"/>
        <item x="213"/>
        <item x="88"/>
        <item x="271"/>
        <item x="353"/>
        <item x="651"/>
        <item x="284"/>
        <item x="713"/>
        <item x="509"/>
        <item x="604"/>
        <item x="138"/>
        <item x="554"/>
        <item x="734"/>
        <item x="64"/>
        <item x="207"/>
        <item x="310"/>
        <item x="356"/>
        <item x="510"/>
        <item x="451"/>
        <item x="159"/>
        <item x="475"/>
        <item x="512"/>
        <item x="522"/>
        <item x="268"/>
        <item x="5"/>
        <item x="748"/>
        <item x="113"/>
        <item x="606"/>
        <item x="607"/>
        <item x="257"/>
        <item x="238"/>
        <item x="345"/>
        <item x="687"/>
        <item x="156"/>
        <item x="458"/>
        <item x="171"/>
        <item x="45"/>
        <item x="69"/>
        <item x="534"/>
        <item x="422"/>
        <item x="231"/>
        <item x="798"/>
        <item x="150"/>
        <item x="754"/>
        <item x="417"/>
        <item x="433"/>
        <item x="436"/>
        <item x="153"/>
        <item x="652"/>
        <item x="404"/>
        <item x="533"/>
        <item x="538"/>
        <item x="347"/>
        <item x="456"/>
        <item x="94"/>
        <item x="680"/>
        <item x="691"/>
        <item x="566"/>
        <item x="593"/>
        <item x="789"/>
        <item x="323"/>
        <item x="328"/>
        <item x="429"/>
        <item x="55"/>
        <item x="302"/>
        <item x="154"/>
        <item x="89"/>
        <item x="563"/>
        <item x="236"/>
        <item x="513"/>
        <item x="364"/>
        <item x="723"/>
        <item x="540"/>
        <item x="719"/>
        <item x="227"/>
        <item x="66"/>
        <item x="249"/>
        <item x="465"/>
        <item x="505"/>
        <item x="749"/>
        <item x="439"/>
        <item x="797"/>
        <item x="573"/>
        <item x="169"/>
        <item x="556"/>
        <item x="49"/>
        <item x="54"/>
        <item x="86"/>
        <item x="274"/>
        <item x="179"/>
        <item x="83"/>
        <item x="424"/>
        <item x="351"/>
        <item x="301"/>
        <item x="292"/>
        <item x="157"/>
        <item x="635"/>
        <item x="382"/>
        <item x="369"/>
        <item x="77"/>
        <item x="466"/>
        <item x="377"/>
        <item x="694"/>
        <item x="690"/>
        <item x="568"/>
        <item x="211"/>
        <item x="516"/>
        <item x="498"/>
        <item x="602"/>
        <item x="603"/>
        <item x="612"/>
        <item x="62"/>
        <item x="126"/>
        <item x="666"/>
        <item x="543"/>
        <item x="233"/>
        <item x="223"/>
        <item x="527"/>
        <item x="78"/>
        <item x="640"/>
        <item x="255"/>
        <item x="217"/>
        <item x="630"/>
        <item x="634"/>
        <item x="112"/>
        <item x="136"/>
        <item x="539"/>
        <item x="287"/>
        <item x="500"/>
        <item x="599"/>
        <item x="52"/>
        <item x="251"/>
        <item x="184"/>
        <item x="286"/>
        <item x="380"/>
        <item x="624"/>
        <item x="202"/>
        <item x="248"/>
        <item x="281"/>
        <item x="151"/>
        <item x="318"/>
        <item x="189"/>
        <item x="239"/>
        <item x="204"/>
        <item x="592"/>
        <item x="615"/>
        <item x="391"/>
        <item x="488"/>
        <item x="12"/>
        <item x="259"/>
        <item x="357"/>
        <item x="183"/>
        <item x="329"/>
        <item x="523"/>
        <item x="506"/>
        <item x="608"/>
        <item x="35"/>
        <item x="741"/>
        <item x="698"/>
        <item x="419"/>
        <item x="476"/>
        <item x="155"/>
        <item x="636"/>
        <item x="58"/>
        <item x="621"/>
        <item x="337"/>
        <item x="427"/>
        <item x="528"/>
        <item x="282"/>
        <item x="92"/>
        <item x="518"/>
        <item x="277"/>
        <item x="164"/>
        <item x="361"/>
        <item x="546"/>
        <item x="524"/>
        <item x="477"/>
        <item x="552"/>
        <item x="20"/>
        <item x="15"/>
        <item x="266"/>
        <item x="134"/>
        <item x="362"/>
        <item x="6"/>
        <item x="655"/>
        <item x="197"/>
        <item x="443"/>
        <item x="143"/>
        <item x="525"/>
        <item x="115"/>
        <item x="472"/>
        <item x="367"/>
        <item x="314"/>
        <item x="771"/>
        <item x="791"/>
        <item x="750"/>
        <item x="714"/>
        <item x="492"/>
        <item x="224"/>
        <item x="407"/>
        <item x="588"/>
        <item x="205"/>
        <item x="483"/>
        <item x="90"/>
        <item x="263"/>
        <item x="245"/>
        <item x="82"/>
        <item x="642"/>
        <item x="198"/>
        <item x="258"/>
        <item x="67"/>
        <item x="684"/>
        <item x="216"/>
        <item x="0"/>
        <item x="7"/>
        <item x="11"/>
        <item x="646"/>
        <item x="638"/>
        <item x="209"/>
        <item x="460"/>
        <item x="551"/>
        <item x="532"/>
        <item x="399"/>
        <item x="241"/>
        <item x="746"/>
        <item x="617"/>
        <item x="87"/>
        <item x="658"/>
        <item x="420"/>
        <item x="537"/>
        <item x="270"/>
        <item x="304"/>
        <item x="461"/>
        <item x="272"/>
        <item x="717"/>
        <item x="21"/>
        <item x="731"/>
        <item x="671"/>
        <item x="669"/>
        <item x="720"/>
        <item x="648"/>
        <item x="47"/>
        <item x="225"/>
        <item x="317"/>
        <item x="145"/>
        <item x="341"/>
        <item x="485"/>
        <item x="336"/>
        <item x="765"/>
        <item x="25"/>
        <item x="683"/>
        <item x="199"/>
        <item x="111"/>
        <item x="61"/>
        <item x="80"/>
        <item x="180"/>
        <item x="450"/>
        <item x="392"/>
        <item x="350"/>
        <item x="515"/>
        <item x="9"/>
        <item x="122"/>
        <item x="75"/>
        <item x="98"/>
        <item x="725"/>
        <item x="129"/>
        <item x="59"/>
        <item x="125"/>
        <item x="670"/>
        <item x="200"/>
        <item x="56"/>
        <item x="379"/>
        <item x="307"/>
        <item x="152"/>
        <item x="448"/>
        <item x="790"/>
        <item x="158"/>
        <item x="162"/>
        <item x="355"/>
        <item x="578"/>
        <item x="316"/>
        <item x="783"/>
        <item x="769"/>
        <item x="394"/>
        <item x="676"/>
        <item x="715"/>
        <item x="444"/>
        <item x="577"/>
        <item x="319"/>
        <item x="721"/>
        <item x="560"/>
        <item x="531"/>
        <item x="664"/>
        <item x="647"/>
        <item x="530"/>
        <item x="170"/>
        <item x="421"/>
        <item x="473"/>
        <item x="228"/>
        <item x="659"/>
        <item x="547"/>
        <item x="501"/>
        <item x="290"/>
        <item x="441"/>
        <item x="529"/>
        <item x="84"/>
        <item x="426"/>
        <item x="178"/>
        <item x="711"/>
        <item x="190"/>
        <item x="376"/>
        <item x="767"/>
        <item x="610"/>
        <item x="672"/>
        <item x="688"/>
        <item x="1"/>
        <item x="373"/>
        <item x="320"/>
        <item x="520"/>
        <item x="511"/>
        <item x="544"/>
        <item x="370"/>
        <item x="416"/>
        <item x="396"/>
        <item x="478"/>
        <item x="267"/>
        <item x="681"/>
        <item x="397"/>
        <item x="123"/>
        <item x="787"/>
        <item x="101"/>
        <item x="521"/>
        <item x="777"/>
        <item x="321"/>
        <item x="141"/>
        <item x="195"/>
        <item x="163"/>
        <item x="332"/>
        <item x="557"/>
        <item x="100"/>
        <item x="590"/>
        <item x="575"/>
        <item x="637"/>
        <item x="489"/>
        <item x="60"/>
        <item x="440"/>
        <item x="496"/>
        <item x="167"/>
        <item x="710"/>
        <item x="338"/>
        <item x="732"/>
        <item x="535"/>
        <item x="19"/>
        <item x="14"/>
        <item x="685"/>
        <item x="677"/>
        <item x="437"/>
        <item x="269"/>
        <item x="486"/>
        <item x="445"/>
        <item x="322"/>
        <item x="413"/>
        <item x="81"/>
        <item x="2"/>
        <item x="192"/>
        <item x="368"/>
        <item x="695"/>
        <item x="27"/>
        <item x="235"/>
        <item x="447"/>
        <item x="71"/>
        <item x="221"/>
        <item x="210"/>
        <item x="33"/>
        <item x="43"/>
        <item x="737"/>
        <item x="442"/>
        <item x="16"/>
        <item x="408"/>
        <item x="10"/>
        <item x="265"/>
        <item x="188"/>
        <item x="53"/>
        <item x="507"/>
        <item x="173"/>
        <item x="230"/>
        <item x="99"/>
        <item x="495"/>
        <item x="260"/>
        <item x="264"/>
        <item x="701"/>
        <item x="689"/>
        <item x="149"/>
        <item x="716"/>
        <item x="315"/>
        <item x="305"/>
        <item x="398"/>
        <item x="375"/>
        <item x="600"/>
        <item x="773"/>
        <item x="428"/>
        <item x="327"/>
        <item x="256"/>
        <item x="311"/>
        <item x="146"/>
        <item x="724"/>
        <item x="349"/>
        <item x="707"/>
        <item x="613"/>
        <item x="330"/>
        <item x="517"/>
        <item x="359"/>
        <item x="430"/>
        <item x="770"/>
        <item x="31"/>
        <item x="32"/>
        <item x="374"/>
        <item x="550"/>
        <item x="722"/>
        <item x="8"/>
        <item x="193"/>
        <item x="487"/>
        <item x="796"/>
        <item x="776"/>
        <item x="343"/>
        <item x="142"/>
        <item x="326"/>
        <item x="499"/>
        <item x="412"/>
        <item x="400"/>
        <item x="128"/>
        <item x="214"/>
        <item x="296"/>
        <item x="656"/>
        <item x="446"/>
        <item x="107"/>
        <item x="130"/>
        <item x="657"/>
        <item x="127"/>
        <item x="104"/>
        <item x="435"/>
        <item x="772"/>
        <item x="432"/>
        <item x="502"/>
        <item x="102"/>
        <item x="686"/>
        <item x="490"/>
        <item x="114"/>
        <item x="756"/>
        <item x="132"/>
        <item x="220"/>
        <item x="242"/>
        <item x="760"/>
        <item x="119"/>
        <item x="708"/>
        <item x="631"/>
        <item x="594"/>
        <item x="372"/>
        <item x="93"/>
        <item x="40"/>
        <item x="733"/>
        <item x="780"/>
        <item x="775"/>
        <item x="774"/>
        <item x="291"/>
        <item x="253"/>
        <item x="181"/>
        <item x="406"/>
        <item x="331"/>
        <item x="497"/>
        <item x="558"/>
        <item x="571"/>
        <item x="308"/>
        <item x="70"/>
        <item x="738"/>
        <item x="250"/>
        <item x="735"/>
        <item x="48"/>
        <item x="105"/>
        <item x="471"/>
        <item x="553"/>
        <item x="491"/>
        <item x="565"/>
        <item x="63"/>
        <item x="147"/>
        <item x="585"/>
        <item x="108"/>
        <item x="403"/>
        <item x="562"/>
        <item x="786"/>
        <item x="536"/>
        <item x="176"/>
        <item x="117"/>
        <item x="625"/>
        <item x="79"/>
        <item x="354"/>
        <item x="411"/>
        <item x="457"/>
        <item x="65"/>
        <item x="283"/>
        <item x="462"/>
        <item x="494"/>
        <item x="208"/>
        <item x="728"/>
        <item x="334"/>
        <item x="297"/>
        <item x="194"/>
        <item x="206"/>
        <item x="459"/>
        <item x="678"/>
        <item x="699"/>
        <item x="68"/>
        <item x="800"/>
        <item x="792"/>
        <item x="801"/>
        <item x="794"/>
        <item x="366"/>
        <item x="469"/>
        <item x="644"/>
        <item x="405"/>
        <item x="29"/>
        <item x="13"/>
        <item x="385"/>
        <item x="294"/>
        <item x="586"/>
        <item x="474"/>
        <item x="526"/>
        <item x="764"/>
        <item x="449"/>
        <item x="782"/>
        <item x="661"/>
        <item x="46"/>
        <item x="254"/>
        <item x="581"/>
        <item x="660"/>
        <item x="261"/>
        <item x="569"/>
        <item x="618"/>
        <item x="175"/>
        <item x="273"/>
        <item x="504"/>
        <item x="418"/>
        <item x="626"/>
        <item x="275"/>
        <item x="395"/>
        <item x="333"/>
        <item x="276"/>
        <item x="165"/>
        <item x="293"/>
        <item x="140"/>
        <item x="298"/>
        <item x="679"/>
        <item x="729"/>
        <item x="34"/>
        <item x="378"/>
        <item x="240"/>
        <item x="17"/>
        <item x="667"/>
        <item x="393"/>
        <item x="288"/>
        <item x="410"/>
        <item x="30"/>
        <item x="299"/>
        <item x="414"/>
        <item x="788"/>
        <item x="673"/>
        <item x="387"/>
        <item x="467"/>
        <item x="555"/>
        <item x="196"/>
        <item x="643"/>
        <item x="601"/>
        <item x="779"/>
        <item x="139"/>
        <item x="386"/>
        <item x="570"/>
        <item x="246"/>
        <item x="182"/>
        <item x="628"/>
        <item x="479"/>
        <item x="703"/>
        <item x="595"/>
        <item x="582"/>
        <item x="285"/>
        <item x="696"/>
        <item x="96"/>
        <item x="747"/>
        <item x="799"/>
        <item x="785"/>
        <item x="793"/>
        <item x="781"/>
        <item x="802"/>
        <item x="561"/>
        <item x="548"/>
        <item x="751"/>
        <item x="28"/>
        <item x="762"/>
        <item x="753"/>
        <item x="389"/>
        <item x="778"/>
        <item x="627"/>
        <item x="649"/>
        <item x="579"/>
        <item x="519"/>
        <item x="124"/>
        <item x="365"/>
        <item x="22"/>
        <item x="18"/>
        <item x="237"/>
        <item x="482"/>
        <item x="726"/>
        <item x="168"/>
        <item x="148"/>
        <item x="335"/>
        <item x="312"/>
        <item x="72"/>
        <item x="39"/>
        <item x="36"/>
        <item x="541"/>
        <item x="390"/>
        <item x="619"/>
        <item x="584"/>
        <item x="131"/>
        <item x="665"/>
        <item x="166"/>
        <item x="653"/>
        <item x="116"/>
        <item x="614"/>
        <item x="144"/>
        <item x="135"/>
        <item x="514"/>
        <item x="85"/>
        <item x="705"/>
        <item x="38"/>
        <item x="185"/>
        <item x="262"/>
        <item x="743"/>
        <item x="759"/>
        <item x="388"/>
        <item x="675"/>
        <item x="682"/>
        <item x="26"/>
        <item x="415"/>
        <item x="402"/>
        <item x="453"/>
        <item x="344"/>
        <item x="591"/>
        <item x="567"/>
        <item x="212"/>
        <item x="97"/>
        <item x="704"/>
        <item t="default"/>
      </items>
    </pivotField>
    <pivotField showAll="0"/>
    <pivotField numFmtId="9" showAll="0"/>
    <pivotField numFmtId="9" showAll="0"/>
    <pivotField showAll="0"/>
    <pivotField showAll="0"/>
    <pivotField numFmtId="9" showAll="0"/>
    <pivotField numFmtId="9" showAll="0"/>
    <pivotField showAll="0"/>
    <pivotField showAll="0"/>
    <pivotField numFmtId="9" showAll="0"/>
    <pivotField numFmtId="9" showAll="0"/>
    <pivotField showAll="0"/>
    <pivotField showAll="0"/>
    <pivotField numFmtId="9" showAll="0"/>
    <pivotField showAll="0"/>
    <pivotField axis="axisRow" dataField="1" showAll="0">
      <items count="20">
        <item x="2"/>
        <item x="5"/>
        <item x="0"/>
        <item x="8"/>
        <item x="1"/>
        <item x="13"/>
        <item x="14"/>
        <item x="3"/>
        <item x="7"/>
        <item x="10"/>
        <item x="12"/>
        <item x="15"/>
        <item x="4"/>
        <item x="6"/>
        <item x="17"/>
        <item x="9"/>
        <item x="18"/>
        <item x="11"/>
        <item x="16"/>
        <item t="default"/>
      </items>
    </pivotField>
  </pivotFields>
  <rowFields count="1">
    <field x="1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Количество по полю ABC-XYZ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451"/>
  <sheetViews>
    <sheetView workbookViewId="0">
      <selection activeCell="X6" sqref="X6"/>
    </sheetView>
  </sheetViews>
  <sheetFormatPr baseColWidth="10" defaultColWidth="12.6640625" defaultRowHeight="15.75" customHeight="1" x14ac:dyDescent="0.15"/>
  <sheetData>
    <row r="1" spans="1:2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1232</v>
      </c>
    </row>
    <row r="2" spans="1:24" ht="15.75" customHeight="1" x14ac:dyDescent="0.15">
      <c r="A2" s="4">
        <v>44774</v>
      </c>
      <c r="B2" s="5">
        <v>0.33770833333333333</v>
      </c>
      <c r="C2" s="1">
        <v>1272</v>
      </c>
      <c r="D2" s="1">
        <v>13002561</v>
      </c>
      <c r="E2" s="1">
        <v>13</v>
      </c>
      <c r="F2" s="1">
        <v>22589</v>
      </c>
      <c r="G2" s="1" t="s">
        <v>21</v>
      </c>
      <c r="H2" s="1">
        <v>18</v>
      </c>
      <c r="I2" s="1">
        <v>144734</v>
      </c>
      <c r="J2" s="1" t="s">
        <v>22</v>
      </c>
      <c r="K2" s="1" t="s">
        <v>23</v>
      </c>
      <c r="L2" s="1" t="s">
        <v>24</v>
      </c>
      <c r="M2" s="1">
        <v>1</v>
      </c>
      <c r="N2" s="2">
        <v>196.71</v>
      </c>
      <c r="O2" s="3">
        <v>270</v>
      </c>
      <c r="P2" s="1">
        <v>0</v>
      </c>
      <c r="Q2" s="1" t="s">
        <v>25</v>
      </c>
      <c r="R2" s="1" t="s">
        <v>25</v>
      </c>
      <c r="S2" s="1">
        <v>29</v>
      </c>
      <c r="T2" s="1">
        <v>1</v>
      </c>
      <c r="U2" s="1">
        <v>1</v>
      </c>
      <c r="V2">
        <f>O2*M2</f>
        <v>270</v>
      </c>
    </row>
    <row r="3" spans="1:24" ht="15.75" customHeight="1" x14ac:dyDescent="0.15">
      <c r="A3" s="4">
        <v>44774</v>
      </c>
      <c r="B3" s="5">
        <v>0.36033564814814817</v>
      </c>
      <c r="C3" s="1">
        <v>1273</v>
      </c>
      <c r="D3" s="1">
        <v>13002561</v>
      </c>
      <c r="E3" s="1">
        <v>13</v>
      </c>
      <c r="F3" s="1">
        <v>22589</v>
      </c>
      <c r="G3" s="1" t="s">
        <v>21</v>
      </c>
      <c r="H3" s="1">
        <v>15</v>
      </c>
      <c r="I3" s="1">
        <v>69661</v>
      </c>
      <c r="J3" s="1" t="s">
        <v>26</v>
      </c>
      <c r="K3" s="1" t="s">
        <v>23</v>
      </c>
      <c r="L3" s="1" t="s">
        <v>27</v>
      </c>
      <c r="M3" s="1">
        <v>1</v>
      </c>
      <c r="N3" s="2">
        <v>106.21</v>
      </c>
      <c r="O3" s="3">
        <v>127</v>
      </c>
      <c r="P3" s="1">
        <v>6</v>
      </c>
      <c r="Q3" s="1">
        <v>9</v>
      </c>
      <c r="R3" s="1">
        <v>200010004357</v>
      </c>
      <c r="S3" s="1">
        <v>29</v>
      </c>
      <c r="T3" s="1">
        <v>1</v>
      </c>
      <c r="U3" s="1">
        <v>1</v>
      </c>
      <c r="V3">
        <f t="shared" ref="V3:V66" si="0">O3*M3</f>
        <v>127</v>
      </c>
    </row>
    <row r="4" spans="1:24" ht="15.75" customHeight="1" x14ac:dyDescent="0.15">
      <c r="A4" s="4">
        <v>44774</v>
      </c>
      <c r="B4" s="5">
        <v>0.3719675925925926</v>
      </c>
      <c r="C4" s="1">
        <v>1274</v>
      </c>
      <c r="D4" s="1">
        <v>13002561</v>
      </c>
      <c r="E4" s="1">
        <v>13</v>
      </c>
      <c r="F4" s="1">
        <v>22589</v>
      </c>
      <c r="G4" s="1" t="s">
        <v>21</v>
      </c>
      <c r="H4" s="1">
        <v>18</v>
      </c>
      <c r="I4" s="1">
        <v>190635</v>
      </c>
      <c r="J4" s="1" t="s">
        <v>28</v>
      </c>
      <c r="K4" s="1" t="s">
        <v>29</v>
      </c>
      <c r="L4" s="1" t="s">
        <v>30</v>
      </c>
      <c r="M4" s="1">
        <v>1</v>
      </c>
      <c r="N4" s="2">
        <v>2320.9899999999998</v>
      </c>
      <c r="O4" s="3">
        <v>2563</v>
      </c>
      <c r="P4" s="1">
        <v>76</v>
      </c>
      <c r="Q4" s="1">
        <v>9</v>
      </c>
      <c r="R4" s="1">
        <v>200010018491</v>
      </c>
      <c r="S4" s="1">
        <v>29</v>
      </c>
      <c r="T4" s="1">
        <v>1</v>
      </c>
      <c r="U4" s="1">
        <v>1</v>
      </c>
      <c r="V4">
        <f t="shared" si="0"/>
        <v>2563</v>
      </c>
    </row>
    <row r="5" spans="1:24" ht="15.75" customHeight="1" x14ac:dyDescent="0.15">
      <c r="A5" s="4">
        <v>44774</v>
      </c>
      <c r="B5" s="5">
        <v>0.37546296296296294</v>
      </c>
      <c r="C5" s="1">
        <v>1275</v>
      </c>
      <c r="D5" s="1">
        <v>13002561</v>
      </c>
      <c r="E5" s="1">
        <v>13</v>
      </c>
      <c r="F5" s="1">
        <v>22589</v>
      </c>
      <c r="G5" s="1" t="s">
        <v>21</v>
      </c>
      <c r="H5" s="1">
        <v>18</v>
      </c>
      <c r="I5" s="1">
        <v>276370</v>
      </c>
      <c r="J5" s="1" t="s">
        <v>31</v>
      </c>
      <c r="K5" s="1" t="s">
        <v>23</v>
      </c>
      <c r="L5" s="1" t="s">
        <v>32</v>
      </c>
      <c r="M5" s="1">
        <v>1</v>
      </c>
      <c r="N5" s="2">
        <v>445.39</v>
      </c>
      <c r="O5" s="3">
        <v>541</v>
      </c>
      <c r="P5" s="1">
        <v>0</v>
      </c>
      <c r="Q5" s="1" t="s">
        <v>25</v>
      </c>
      <c r="R5" s="1" t="s">
        <v>25</v>
      </c>
      <c r="S5" s="1">
        <v>29</v>
      </c>
      <c r="T5" s="1">
        <v>1</v>
      </c>
      <c r="U5" s="1">
        <v>1</v>
      </c>
      <c r="V5">
        <f t="shared" si="0"/>
        <v>541</v>
      </c>
      <c r="X5" s="15">
        <f>MIN(A:A)</f>
        <v>44774</v>
      </c>
    </row>
    <row r="6" spans="1:24" ht="15.75" customHeight="1" x14ac:dyDescent="0.15">
      <c r="A6" s="4">
        <v>44774</v>
      </c>
      <c r="B6" s="5">
        <v>0.37783564814814813</v>
      </c>
      <c r="C6" s="1">
        <v>1276</v>
      </c>
      <c r="D6" s="1">
        <v>13002561</v>
      </c>
      <c r="E6" s="1">
        <v>13</v>
      </c>
      <c r="F6" s="1">
        <v>22589</v>
      </c>
      <c r="G6" s="1" t="s">
        <v>21</v>
      </c>
      <c r="H6" s="1">
        <v>15</v>
      </c>
      <c r="I6" s="1">
        <v>2303</v>
      </c>
      <c r="J6" s="1" t="s">
        <v>33</v>
      </c>
      <c r="K6" s="1" t="s">
        <v>34</v>
      </c>
      <c r="L6" s="1" t="s">
        <v>35</v>
      </c>
      <c r="M6" s="1">
        <v>1</v>
      </c>
      <c r="N6" s="2">
        <v>18.04</v>
      </c>
      <c r="O6" s="3">
        <v>22</v>
      </c>
      <c r="P6" s="1">
        <v>1</v>
      </c>
      <c r="Q6" s="1">
        <v>9</v>
      </c>
      <c r="R6" s="1">
        <v>200010000734</v>
      </c>
      <c r="S6" s="1">
        <v>29</v>
      </c>
      <c r="T6" s="1">
        <v>1</v>
      </c>
      <c r="U6" s="1">
        <v>5</v>
      </c>
      <c r="V6">
        <f t="shared" si="0"/>
        <v>22</v>
      </c>
      <c r="X6" s="16">
        <f>MAX(A:A)</f>
        <v>44778</v>
      </c>
    </row>
    <row r="7" spans="1:24" ht="15.75" customHeight="1" x14ac:dyDescent="0.15">
      <c r="A7" s="4">
        <v>44774</v>
      </c>
      <c r="B7" s="5">
        <v>0.37783564814814813</v>
      </c>
      <c r="C7" s="1">
        <v>1276</v>
      </c>
      <c r="D7" s="1">
        <v>13002561</v>
      </c>
      <c r="E7" s="1">
        <v>13</v>
      </c>
      <c r="F7" s="1">
        <v>22589</v>
      </c>
      <c r="G7" s="1" t="s">
        <v>21</v>
      </c>
      <c r="H7" s="1">
        <v>15</v>
      </c>
      <c r="I7" s="1">
        <v>2303</v>
      </c>
      <c r="J7" s="1" t="s">
        <v>33</v>
      </c>
      <c r="K7" s="1" t="s">
        <v>34</v>
      </c>
      <c r="L7" s="1" t="s">
        <v>35</v>
      </c>
      <c r="M7" s="1">
        <v>1</v>
      </c>
      <c r="N7" s="2">
        <v>18.04</v>
      </c>
      <c r="O7" s="3">
        <v>22</v>
      </c>
      <c r="P7" s="1">
        <v>1</v>
      </c>
      <c r="Q7" s="1">
        <v>9</v>
      </c>
      <c r="R7" s="1">
        <v>200010000734</v>
      </c>
      <c r="S7" s="1">
        <v>29</v>
      </c>
      <c r="T7" s="1">
        <v>1</v>
      </c>
      <c r="U7" s="1">
        <v>6</v>
      </c>
      <c r="V7">
        <f t="shared" si="0"/>
        <v>22</v>
      </c>
    </row>
    <row r="8" spans="1:24" ht="15.75" customHeight="1" x14ac:dyDescent="0.15">
      <c r="A8" s="4">
        <v>44774</v>
      </c>
      <c r="B8" s="5">
        <v>0.37783564814814813</v>
      </c>
      <c r="C8" s="1">
        <v>1276</v>
      </c>
      <c r="D8" s="1">
        <v>13002561</v>
      </c>
      <c r="E8" s="1">
        <v>13</v>
      </c>
      <c r="F8" s="1">
        <v>22589</v>
      </c>
      <c r="G8" s="1" t="s">
        <v>21</v>
      </c>
      <c r="H8" s="1">
        <v>15</v>
      </c>
      <c r="I8" s="1">
        <v>338588</v>
      </c>
      <c r="J8" s="1" t="s">
        <v>36</v>
      </c>
      <c r="K8" s="1" t="s">
        <v>23</v>
      </c>
      <c r="L8" s="1" t="s">
        <v>37</v>
      </c>
      <c r="M8" s="1">
        <v>1</v>
      </c>
      <c r="N8" s="2">
        <v>383.7</v>
      </c>
      <c r="O8" s="3">
        <v>475</v>
      </c>
      <c r="P8" s="1">
        <v>23</v>
      </c>
      <c r="Q8" s="1">
        <v>9</v>
      </c>
      <c r="R8" s="1">
        <v>200010000734</v>
      </c>
      <c r="S8" s="1">
        <v>29</v>
      </c>
      <c r="T8" s="1">
        <v>1</v>
      </c>
      <c r="U8" s="1">
        <v>3</v>
      </c>
      <c r="V8">
        <f t="shared" si="0"/>
        <v>475</v>
      </c>
    </row>
    <row r="9" spans="1:24" ht="15.75" customHeight="1" x14ac:dyDescent="0.15">
      <c r="A9" s="4">
        <v>44774</v>
      </c>
      <c r="B9" s="5">
        <v>0.37783564814814813</v>
      </c>
      <c r="C9" s="1">
        <v>1276</v>
      </c>
      <c r="D9" s="1">
        <v>13002561</v>
      </c>
      <c r="E9" s="1">
        <v>13</v>
      </c>
      <c r="F9" s="1">
        <v>22589</v>
      </c>
      <c r="G9" s="1" t="s">
        <v>21</v>
      </c>
      <c r="H9" s="1">
        <v>15</v>
      </c>
      <c r="I9" s="1">
        <v>397616</v>
      </c>
      <c r="J9" s="1" t="s">
        <v>38</v>
      </c>
      <c r="K9" s="1" t="s">
        <v>34</v>
      </c>
      <c r="L9" s="1" t="s">
        <v>39</v>
      </c>
      <c r="M9" s="1">
        <v>1</v>
      </c>
      <c r="N9" s="2">
        <v>536.82000000000005</v>
      </c>
      <c r="O9" s="3">
        <v>693</v>
      </c>
      <c r="P9" s="1">
        <v>48</v>
      </c>
      <c r="Q9" s="1">
        <v>9</v>
      </c>
      <c r="R9" s="1">
        <v>200010000734</v>
      </c>
      <c r="S9" s="1">
        <v>29</v>
      </c>
      <c r="T9" s="1">
        <v>1</v>
      </c>
      <c r="U9" s="1">
        <v>4</v>
      </c>
      <c r="V9">
        <f t="shared" si="0"/>
        <v>693</v>
      </c>
    </row>
    <row r="10" spans="1:24" ht="15.75" customHeight="1" x14ac:dyDescent="0.15">
      <c r="A10" s="4">
        <v>44774</v>
      </c>
      <c r="B10" s="5">
        <v>0.37783564814814813</v>
      </c>
      <c r="C10" s="1">
        <v>1276</v>
      </c>
      <c r="D10" s="1">
        <v>13002561</v>
      </c>
      <c r="E10" s="1">
        <v>13</v>
      </c>
      <c r="F10" s="1">
        <v>22589</v>
      </c>
      <c r="G10" s="1" t="s">
        <v>21</v>
      </c>
      <c r="H10" s="1">
        <v>15</v>
      </c>
      <c r="I10" s="1">
        <v>338492</v>
      </c>
      <c r="J10" s="1" t="s">
        <v>40</v>
      </c>
      <c r="K10" s="1" t="s">
        <v>34</v>
      </c>
      <c r="L10" s="1" t="s">
        <v>37</v>
      </c>
      <c r="M10" s="1">
        <v>1</v>
      </c>
      <c r="N10" s="2">
        <v>334.29</v>
      </c>
      <c r="O10" s="3">
        <v>418</v>
      </c>
      <c r="P10" s="1">
        <v>20</v>
      </c>
      <c r="Q10" s="1">
        <v>9</v>
      </c>
      <c r="R10" s="1">
        <v>200010000734</v>
      </c>
      <c r="S10" s="1">
        <v>29</v>
      </c>
      <c r="T10" s="1">
        <v>1</v>
      </c>
      <c r="U10" s="1">
        <v>1</v>
      </c>
      <c r="V10">
        <f t="shared" si="0"/>
        <v>418</v>
      </c>
    </row>
    <row r="11" spans="1:24" ht="15.75" customHeight="1" x14ac:dyDescent="0.15">
      <c r="A11" s="4">
        <v>44774</v>
      </c>
      <c r="B11" s="5">
        <v>0.37783564814814813</v>
      </c>
      <c r="C11" s="1">
        <v>1276</v>
      </c>
      <c r="D11" s="1">
        <v>13002561</v>
      </c>
      <c r="E11" s="1">
        <v>13</v>
      </c>
      <c r="F11" s="1">
        <v>22589</v>
      </c>
      <c r="G11" s="1" t="s">
        <v>21</v>
      </c>
      <c r="H11" s="1">
        <v>15</v>
      </c>
      <c r="I11" s="1">
        <v>338479</v>
      </c>
      <c r="J11" s="1" t="s">
        <v>41</v>
      </c>
      <c r="K11" s="1" t="s">
        <v>23</v>
      </c>
      <c r="L11" s="1" t="s">
        <v>37</v>
      </c>
      <c r="M11" s="1">
        <v>1</v>
      </c>
      <c r="N11" s="2">
        <v>282.52</v>
      </c>
      <c r="O11" s="3">
        <v>340</v>
      </c>
      <c r="P11" s="1">
        <v>17</v>
      </c>
      <c r="Q11" s="1">
        <v>9</v>
      </c>
      <c r="R11" s="1">
        <v>200010000734</v>
      </c>
      <c r="S11" s="1">
        <v>29</v>
      </c>
      <c r="T11" s="1">
        <v>1</v>
      </c>
      <c r="U11" s="1">
        <v>2</v>
      </c>
      <c r="V11">
        <f t="shared" si="0"/>
        <v>340</v>
      </c>
    </row>
    <row r="12" spans="1:24" ht="15.75" customHeight="1" x14ac:dyDescent="0.15">
      <c r="A12" s="4">
        <v>44774</v>
      </c>
      <c r="B12" s="5">
        <v>0.37849537037037034</v>
      </c>
      <c r="C12" s="1">
        <v>1277</v>
      </c>
      <c r="D12" s="1">
        <v>13002561</v>
      </c>
      <c r="E12" s="1">
        <v>13</v>
      </c>
      <c r="F12" s="1">
        <v>22589</v>
      </c>
      <c r="G12" s="1" t="s">
        <v>21</v>
      </c>
      <c r="H12" s="1">
        <v>18</v>
      </c>
      <c r="I12" s="1">
        <v>122156</v>
      </c>
      <c r="J12" s="1" t="s">
        <v>42</v>
      </c>
      <c r="K12" s="1" t="s">
        <v>23</v>
      </c>
      <c r="L12" s="1" t="s">
        <v>43</v>
      </c>
      <c r="M12" s="1">
        <v>1</v>
      </c>
      <c r="N12" s="2">
        <v>210.25</v>
      </c>
      <c r="O12" s="3">
        <v>284</v>
      </c>
      <c r="P12" s="1">
        <v>0</v>
      </c>
      <c r="Q12" s="1" t="s">
        <v>25</v>
      </c>
      <c r="R12" s="1" t="s">
        <v>25</v>
      </c>
      <c r="S12" s="1">
        <v>29</v>
      </c>
      <c r="T12" s="1">
        <v>1</v>
      </c>
      <c r="U12" s="1">
        <v>1</v>
      </c>
      <c r="V12">
        <f t="shared" si="0"/>
        <v>284</v>
      </c>
    </row>
    <row r="13" spans="1:24" ht="15.75" customHeight="1" x14ac:dyDescent="0.15">
      <c r="A13" s="4">
        <v>44774</v>
      </c>
      <c r="B13" s="5">
        <v>0.38320601851851854</v>
      </c>
      <c r="C13" s="1">
        <v>1278</v>
      </c>
      <c r="D13" s="1">
        <v>13002561</v>
      </c>
      <c r="E13" s="1">
        <v>13</v>
      </c>
      <c r="F13" s="1">
        <v>22589</v>
      </c>
      <c r="G13" s="1" t="s">
        <v>21</v>
      </c>
      <c r="H13" s="1">
        <v>15</v>
      </c>
      <c r="I13" s="1">
        <v>608487</v>
      </c>
      <c r="J13" s="1" t="s">
        <v>44</v>
      </c>
      <c r="K13" s="1" t="s">
        <v>45</v>
      </c>
      <c r="L13" s="1" t="s">
        <v>46</v>
      </c>
      <c r="M13" s="1">
        <v>1</v>
      </c>
      <c r="N13" s="2">
        <v>43.29</v>
      </c>
      <c r="O13" s="3">
        <v>71</v>
      </c>
      <c r="P13" s="1">
        <v>7</v>
      </c>
      <c r="Q13" s="1">
        <v>9</v>
      </c>
      <c r="R13" s="1">
        <v>200010001758</v>
      </c>
      <c r="S13" s="1">
        <v>29</v>
      </c>
      <c r="T13" s="1">
        <v>1</v>
      </c>
      <c r="U13" s="1">
        <v>1</v>
      </c>
      <c r="V13">
        <f t="shared" si="0"/>
        <v>71</v>
      </c>
    </row>
    <row r="14" spans="1:24" ht="15.75" customHeight="1" x14ac:dyDescent="0.15">
      <c r="A14" s="4">
        <v>44774</v>
      </c>
      <c r="B14" s="5">
        <v>0.38320601851851854</v>
      </c>
      <c r="C14" s="1">
        <v>1278</v>
      </c>
      <c r="D14" s="1">
        <v>13002561</v>
      </c>
      <c r="E14" s="1">
        <v>13</v>
      </c>
      <c r="F14" s="1">
        <v>22589</v>
      </c>
      <c r="G14" s="1" t="s">
        <v>21</v>
      </c>
      <c r="H14" s="1">
        <v>15</v>
      </c>
      <c r="I14" s="1">
        <v>528004</v>
      </c>
      <c r="J14" s="1" t="s">
        <v>47</v>
      </c>
      <c r="K14" s="1" t="s">
        <v>48</v>
      </c>
      <c r="L14" s="1" t="s">
        <v>49</v>
      </c>
      <c r="M14" s="1">
        <v>1</v>
      </c>
      <c r="N14" s="2">
        <v>35.520000000000003</v>
      </c>
      <c r="O14" s="3">
        <v>58</v>
      </c>
      <c r="P14" s="1">
        <v>5</v>
      </c>
      <c r="Q14" s="1">
        <v>9</v>
      </c>
      <c r="R14" s="1">
        <v>200010001758</v>
      </c>
      <c r="S14" s="1">
        <v>29</v>
      </c>
      <c r="T14" s="1">
        <v>1</v>
      </c>
      <c r="U14" s="1">
        <v>2</v>
      </c>
      <c r="V14">
        <f t="shared" si="0"/>
        <v>58</v>
      </c>
    </row>
    <row r="15" spans="1:24" ht="15.75" customHeight="1" x14ac:dyDescent="0.15">
      <c r="A15" s="4">
        <v>44774</v>
      </c>
      <c r="B15" s="5">
        <v>0.38756944444444447</v>
      </c>
      <c r="C15" s="1">
        <v>1279</v>
      </c>
      <c r="D15" s="1">
        <v>13002561</v>
      </c>
      <c r="E15" s="1">
        <v>13</v>
      </c>
      <c r="F15" s="1">
        <v>22589</v>
      </c>
      <c r="G15" s="1" t="s">
        <v>21</v>
      </c>
      <c r="H15" s="1">
        <v>15</v>
      </c>
      <c r="I15" s="1">
        <v>443174</v>
      </c>
      <c r="J15" s="1" t="s">
        <v>50</v>
      </c>
      <c r="K15" s="1" t="s">
        <v>51</v>
      </c>
      <c r="L15" s="1" t="s">
        <v>52</v>
      </c>
      <c r="M15" s="1">
        <v>1</v>
      </c>
      <c r="N15" s="2">
        <v>65.13</v>
      </c>
      <c r="O15" s="3">
        <v>103</v>
      </c>
      <c r="P15" s="1">
        <v>0</v>
      </c>
      <c r="Q15" s="1" t="s">
        <v>25</v>
      </c>
      <c r="R15" s="1" t="s">
        <v>25</v>
      </c>
      <c r="S15" s="1">
        <v>29</v>
      </c>
      <c r="T15" s="1">
        <v>1</v>
      </c>
      <c r="U15" s="1">
        <v>1</v>
      </c>
      <c r="V15">
        <f t="shared" si="0"/>
        <v>103</v>
      </c>
    </row>
    <row r="16" spans="1:24" ht="15.75" customHeight="1" x14ac:dyDescent="0.15">
      <c r="A16" s="4">
        <v>44774</v>
      </c>
      <c r="B16" s="5">
        <v>0.4432638888888889</v>
      </c>
      <c r="C16" s="1">
        <v>1294</v>
      </c>
      <c r="D16" s="1">
        <v>13002561</v>
      </c>
      <c r="E16" s="1">
        <v>13</v>
      </c>
      <c r="F16" s="1">
        <v>22589</v>
      </c>
      <c r="G16" s="1" t="s">
        <v>21</v>
      </c>
      <c r="H16" s="1">
        <v>18</v>
      </c>
      <c r="I16" s="1">
        <v>443174</v>
      </c>
      <c r="J16" s="1" t="s">
        <v>50</v>
      </c>
      <c r="K16" s="1" t="s">
        <v>51</v>
      </c>
      <c r="L16" s="1" t="s">
        <v>52</v>
      </c>
      <c r="M16" s="1">
        <v>1</v>
      </c>
      <c r="N16" s="2">
        <v>65.13</v>
      </c>
      <c r="O16" s="3">
        <v>103</v>
      </c>
      <c r="P16" s="1">
        <v>0</v>
      </c>
      <c r="Q16" s="1" t="s">
        <v>25</v>
      </c>
      <c r="R16" s="1" t="s">
        <v>25</v>
      </c>
      <c r="S16" s="1">
        <v>29</v>
      </c>
      <c r="T16" s="1">
        <v>1</v>
      </c>
      <c r="U16" s="1">
        <v>3</v>
      </c>
      <c r="V16">
        <f t="shared" si="0"/>
        <v>103</v>
      </c>
    </row>
    <row r="17" spans="1:22" ht="15.75" customHeight="1" x14ac:dyDescent="0.15">
      <c r="A17" s="4">
        <v>44774</v>
      </c>
      <c r="B17" s="5">
        <v>0.39586805555555554</v>
      </c>
      <c r="C17" s="1">
        <v>1280</v>
      </c>
      <c r="D17" s="1">
        <v>13002561</v>
      </c>
      <c r="E17" s="1">
        <v>13</v>
      </c>
      <c r="F17" s="1">
        <v>22589</v>
      </c>
      <c r="G17" s="1" t="s">
        <v>21</v>
      </c>
      <c r="H17" s="1">
        <v>15</v>
      </c>
      <c r="I17" s="1">
        <v>21372</v>
      </c>
      <c r="J17" s="1" t="s">
        <v>53</v>
      </c>
      <c r="K17" s="1" t="s">
        <v>23</v>
      </c>
      <c r="L17" s="1" t="s">
        <v>54</v>
      </c>
      <c r="M17" s="1">
        <v>1</v>
      </c>
      <c r="N17" s="2">
        <v>86.28</v>
      </c>
      <c r="O17" s="3">
        <v>123</v>
      </c>
      <c r="P17" s="1">
        <v>0</v>
      </c>
      <c r="Q17" s="1" t="s">
        <v>25</v>
      </c>
      <c r="R17" s="1" t="s">
        <v>25</v>
      </c>
      <c r="S17" s="1">
        <v>29</v>
      </c>
      <c r="T17" s="1">
        <v>1</v>
      </c>
      <c r="U17" s="1">
        <v>1</v>
      </c>
      <c r="V17">
        <f t="shared" si="0"/>
        <v>123</v>
      </c>
    </row>
    <row r="18" spans="1:22" ht="15.75" customHeight="1" x14ac:dyDescent="0.15">
      <c r="A18" s="4">
        <v>44774</v>
      </c>
      <c r="B18" s="5">
        <v>0.39586805555555554</v>
      </c>
      <c r="C18" s="1">
        <v>1280</v>
      </c>
      <c r="D18" s="1">
        <v>13002561</v>
      </c>
      <c r="E18" s="1">
        <v>13</v>
      </c>
      <c r="F18" s="1">
        <v>22589</v>
      </c>
      <c r="G18" s="1" t="s">
        <v>21</v>
      </c>
      <c r="H18" s="1">
        <v>15</v>
      </c>
      <c r="I18" s="1">
        <v>365627</v>
      </c>
      <c r="J18" s="1" t="s">
        <v>55</v>
      </c>
      <c r="K18" s="1" t="s">
        <v>29</v>
      </c>
      <c r="L18" s="1" t="s">
        <v>56</v>
      </c>
      <c r="M18" s="1">
        <v>1</v>
      </c>
      <c r="N18" s="2">
        <v>78.239999999999995</v>
      </c>
      <c r="O18" s="3">
        <v>96</v>
      </c>
      <c r="P18" s="1">
        <v>0</v>
      </c>
      <c r="Q18" s="1" t="s">
        <v>25</v>
      </c>
      <c r="R18" s="1" t="s">
        <v>25</v>
      </c>
      <c r="S18" s="1">
        <v>29</v>
      </c>
      <c r="T18" s="1">
        <v>1</v>
      </c>
      <c r="U18" s="1">
        <v>2</v>
      </c>
      <c r="V18">
        <f t="shared" si="0"/>
        <v>96</v>
      </c>
    </row>
    <row r="19" spans="1:22" ht="15.75" customHeight="1" x14ac:dyDescent="0.15">
      <c r="A19" s="4">
        <v>44774</v>
      </c>
      <c r="B19" s="5">
        <v>0.68071759259259257</v>
      </c>
      <c r="C19" s="1">
        <v>1373</v>
      </c>
      <c r="D19" s="1">
        <v>13002561</v>
      </c>
      <c r="E19" s="1">
        <v>13</v>
      </c>
      <c r="F19" s="1">
        <v>22589</v>
      </c>
      <c r="G19" s="1" t="s">
        <v>21</v>
      </c>
      <c r="H19" s="1">
        <v>18</v>
      </c>
      <c r="I19" s="1">
        <v>365627</v>
      </c>
      <c r="J19" s="1" t="s">
        <v>55</v>
      </c>
      <c r="K19" s="1" t="s">
        <v>29</v>
      </c>
      <c r="L19" s="1" t="s">
        <v>56</v>
      </c>
      <c r="M19" s="1">
        <v>1</v>
      </c>
      <c r="N19" s="2">
        <v>78.239999999999995</v>
      </c>
      <c r="O19" s="3">
        <v>96</v>
      </c>
      <c r="P19" s="1">
        <v>0</v>
      </c>
      <c r="Q19" s="1" t="s">
        <v>25</v>
      </c>
      <c r="R19" s="1" t="s">
        <v>25</v>
      </c>
      <c r="S19" s="1">
        <v>29</v>
      </c>
      <c r="T19" s="1">
        <v>1</v>
      </c>
      <c r="U19" s="1">
        <v>1</v>
      </c>
      <c r="V19">
        <f t="shared" si="0"/>
        <v>96</v>
      </c>
    </row>
    <row r="20" spans="1:22" ht="15.75" customHeight="1" x14ac:dyDescent="0.15">
      <c r="A20" s="4">
        <v>44774</v>
      </c>
      <c r="B20" s="5">
        <v>0.40825231481481483</v>
      </c>
      <c r="C20" s="1">
        <v>1281</v>
      </c>
      <c r="D20" s="1">
        <v>13002561</v>
      </c>
      <c r="E20" s="1">
        <v>13</v>
      </c>
      <c r="F20" s="1">
        <v>22589</v>
      </c>
      <c r="G20" s="1" t="s">
        <v>21</v>
      </c>
      <c r="H20" s="1">
        <v>15</v>
      </c>
      <c r="I20" s="1">
        <v>12625</v>
      </c>
      <c r="J20" s="1" t="s">
        <v>57</v>
      </c>
      <c r="K20" s="1" t="s">
        <v>58</v>
      </c>
      <c r="L20" s="1" t="s">
        <v>59</v>
      </c>
      <c r="M20" s="1">
        <v>1</v>
      </c>
      <c r="N20" s="2">
        <v>455.9</v>
      </c>
      <c r="O20" s="3">
        <v>553</v>
      </c>
      <c r="P20" s="1">
        <v>16</v>
      </c>
      <c r="Q20" s="1">
        <v>9</v>
      </c>
      <c r="R20" s="1">
        <v>200010001617</v>
      </c>
      <c r="S20" s="1">
        <v>29</v>
      </c>
      <c r="T20" s="1">
        <v>1</v>
      </c>
      <c r="U20" s="1">
        <v>1</v>
      </c>
      <c r="V20">
        <f t="shared" si="0"/>
        <v>553</v>
      </c>
    </row>
    <row r="21" spans="1:22" ht="15.75" customHeight="1" x14ac:dyDescent="0.15">
      <c r="A21" s="4">
        <v>44774</v>
      </c>
      <c r="B21" s="5">
        <v>0.41150462962962964</v>
      </c>
      <c r="C21" s="1">
        <v>1282</v>
      </c>
      <c r="D21" s="1">
        <v>13002561</v>
      </c>
      <c r="E21" s="1">
        <v>13</v>
      </c>
      <c r="F21" s="1">
        <v>22589</v>
      </c>
      <c r="G21" s="1" t="s">
        <v>21</v>
      </c>
      <c r="H21" s="1">
        <v>18</v>
      </c>
      <c r="I21" s="1">
        <v>67565</v>
      </c>
      <c r="J21" s="1" t="s">
        <v>60</v>
      </c>
      <c r="K21" s="1" t="s">
        <v>61</v>
      </c>
      <c r="L21" s="1" t="s">
        <v>62</v>
      </c>
      <c r="M21" s="1">
        <v>1</v>
      </c>
      <c r="N21" s="2">
        <v>3638.1</v>
      </c>
      <c r="O21" s="3">
        <v>4985</v>
      </c>
      <c r="P21" s="1">
        <v>498</v>
      </c>
      <c r="Q21" s="1">
        <v>9</v>
      </c>
      <c r="R21" s="1">
        <v>200010004830</v>
      </c>
      <c r="S21" s="1">
        <v>29</v>
      </c>
      <c r="T21" s="1">
        <v>1</v>
      </c>
      <c r="U21" s="1">
        <v>1</v>
      </c>
      <c r="V21">
        <f t="shared" si="0"/>
        <v>4985</v>
      </c>
    </row>
    <row r="22" spans="1:22" ht="15.75" customHeight="1" x14ac:dyDescent="0.15">
      <c r="A22" s="4">
        <v>44774</v>
      </c>
      <c r="B22" s="5">
        <v>0.41150462962962964</v>
      </c>
      <c r="C22" s="1">
        <v>1282</v>
      </c>
      <c r="D22" s="1">
        <v>13002561</v>
      </c>
      <c r="E22" s="1">
        <v>13</v>
      </c>
      <c r="F22" s="1">
        <v>22589</v>
      </c>
      <c r="G22" s="1" t="s">
        <v>21</v>
      </c>
      <c r="H22" s="1">
        <v>18</v>
      </c>
      <c r="I22" s="1">
        <v>507949</v>
      </c>
      <c r="J22" s="1" t="s">
        <v>63</v>
      </c>
      <c r="K22" s="1" t="s">
        <v>64</v>
      </c>
      <c r="L22" s="1" t="s">
        <v>65</v>
      </c>
      <c r="M22" s="1">
        <v>1</v>
      </c>
      <c r="N22" s="2">
        <v>60.22</v>
      </c>
      <c r="O22" s="3">
        <v>73</v>
      </c>
      <c r="P22" s="1">
        <v>3</v>
      </c>
      <c r="Q22" s="1">
        <v>9</v>
      </c>
      <c r="R22" s="1">
        <v>200010004830</v>
      </c>
      <c r="S22" s="1">
        <v>29</v>
      </c>
      <c r="T22" s="1">
        <v>1</v>
      </c>
      <c r="U22" s="1">
        <v>2</v>
      </c>
      <c r="V22">
        <f t="shared" si="0"/>
        <v>73</v>
      </c>
    </row>
    <row r="23" spans="1:22" ht="15.75" customHeight="1" x14ac:dyDescent="0.15">
      <c r="A23" s="4">
        <v>44774</v>
      </c>
      <c r="B23" s="5">
        <v>0.41401620370370368</v>
      </c>
      <c r="C23" s="1">
        <v>1283</v>
      </c>
      <c r="D23" s="1">
        <v>13002561</v>
      </c>
      <c r="E23" s="1">
        <v>13</v>
      </c>
      <c r="F23" s="1">
        <v>22589</v>
      </c>
      <c r="G23" s="1" t="s">
        <v>21</v>
      </c>
      <c r="H23" s="1">
        <v>15</v>
      </c>
      <c r="I23" s="1">
        <v>461654</v>
      </c>
      <c r="J23" s="1" t="s">
        <v>66</v>
      </c>
      <c r="K23" s="1" t="s">
        <v>51</v>
      </c>
      <c r="L23" s="1" t="s">
        <v>67</v>
      </c>
      <c r="M23" s="1">
        <v>1</v>
      </c>
      <c r="N23" s="2">
        <v>677.2</v>
      </c>
      <c r="O23" s="3">
        <v>779</v>
      </c>
      <c r="P23" s="1">
        <v>54</v>
      </c>
      <c r="Q23" s="1">
        <v>9</v>
      </c>
      <c r="R23" s="1">
        <v>200010020913</v>
      </c>
      <c r="S23" s="1">
        <v>29</v>
      </c>
      <c r="T23" s="1">
        <v>1</v>
      </c>
      <c r="U23" s="1">
        <v>2</v>
      </c>
      <c r="V23">
        <f t="shared" si="0"/>
        <v>779</v>
      </c>
    </row>
    <row r="24" spans="1:22" ht="15.75" customHeight="1" x14ac:dyDescent="0.15">
      <c r="A24" s="4">
        <v>44774</v>
      </c>
      <c r="B24" s="5">
        <v>0.41401620370370368</v>
      </c>
      <c r="C24" s="1">
        <v>1283</v>
      </c>
      <c r="D24" s="1">
        <v>13002561</v>
      </c>
      <c r="E24" s="1">
        <v>13</v>
      </c>
      <c r="F24" s="1">
        <v>22589</v>
      </c>
      <c r="G24" s="1" t="s">
        <v>21</v>
      </c>
      <c r="H24" s="1">
        <v>15</v>
      </c>
      <c r="I24" s="1">
        <v>7697</v>
      </c>
      <c r="J24" s="1" t="s">
        <v>68</v>
      </c>
      <c r="K24" s="1" t="s">
        <v>23</v>
      </c>
      <c r="L24" s="1" t="s">
        <v>69</v>
      </c>
      <c r="M24" s="1">
        <v>1</v>
      </c>
      <c r="N24" s="2">
        <v>248.34</v>
      </c>
      <c r="O24" s="3">
        <v>302</v>
      </c>
      <c r="P24" s="1">
        <v>15</v>
      </c>
      <c r="Q24" s="1">
        <v>9</v>
      </c>
      <c r="R24" s="1">
        <v>200010020913</v>
      </c>
      <c r="S24" s="1">
        <v>29</v>
      </c>
      <c r="T24" s="1">
        <v>1</v>
      </c>
      <c r="U24" s="1">
        <v>3</v>
      </c>
      <c r="V24">
        <f t="shared" si="0"/>
        <v>302</v>
      </c>
    </row>
    <row r="25" spans="1:22" ht="15.75" customHeight="1" x14ac:dyDescent="0.15">
      <c r="A25" s="4">
        <v>44774</v>
      </c>
      <c r="B25" s="5">
        <v>0.41401620370370368</v>
      </c>
      <c r="C25" s="1">
        <v>1283</v>
      </c>
      <c r="D25" s="1">
        <v>13002561</v>
      </c>
      <c r="E25" s="1">
        <v>13</v>
      </c>
      <c r="F25" s="1">
        <v>22589</v>
      </c>
      <c r="G25" s="1" t="s">
        <v>21</v>
      </c>
      <c r="H25" s="1">
        <v>15</v>
      </c>
      <c r="I25" s="1">
        <v>340968</v>
      </c>
      <c r="J25" s="1" t="s">
        <v>70</v>
      </c>
      <c r="K25" s="1" t="s">
        <v>23</v>
      </c>
      <c r="L25" s="1" t="s">
        <v>43</v>
      </c>
      <c r="M25" s="1">
        <v>1</v>
      </c>
      <c r="N25" s="2">
        <v>403.68</v>
      </c>
      <c r="O25" s="3">
        <v>533</v>
      </c>
      <c r="P25" s="1">
        <v>37</v>
      </c>
      <c r="Q25" s="1">
        <v>9</v>
      </c>
      <c r="R25" s="1">
        <v>200010020913</v>
      </c>
      <c r="S25" s="1">
        <v>29</v>
      </c>
      <c r="T25" s="1">
        <v>1</v>
      </c>
      <c r="U25" s="1">
        <v>1</v>
      </c>
      <c r="V25">
        <f t="shared" si="0"/>
        <v>533</v>
      </c>
    </row>
    <row r="26" spans="1:22" ht="15.75" customHeight="1" x14ac:dyDescent="0.15">
      <c r="A26" s="4">
        <v>44774</v>
      </c>
      <c r="B26" s="5">
        <v>0.41548611111111111</v>
      </c>
      <c r="C26" s="1">
        <v>1284</v>
      </c>
      <c r="D26" s="1">
        <v>13002561</v>
      </c>
      <c r="E26" s="1">
        <v>13</v>
      </c>
      <c r="F26" s="1">
        <v>22589</v>
      </c>
      <c r="G26" s="1" t="s">
        <v>21</v>
      </c>
      <c r="H26" s="1">
        <v>15</v>
      </c>
      <c r="I26" s="1">
        <v>530607</v>
      </c>
      <c r="J26" s="1" t="s">
        <v>71</v>
      </c>
      <c r="K26" s="1" t="s">
        <v>58</v>
      </c>
      <c r="L26" s="1" t="s">
        <v>72</v>
      </c>
      <c r="M26" s="1">
        <v>2</v>
      </c>
      <c r="N26" s="2">
        <v>619.88</v>
      </c>
      <c r="O26" s="3">
        <v>862</v>
      </c>
      <c r="P26" s="1">
        <v>172</v>
      </c>
      <c r="Q26" s="1">
        <v>9</v>
      </c>
      <c r="R26" s="1">
        <v>200010017394</v>
      </c>
      <c r="S26" s="1">
        <v>29</v>
      </c>
      <c r="T26" s="1">
        <v>1</v>
      </c>
      <c r="U26" s="1">
        <v>1</v>
      </c>
      <c r="V26">
        <f t="shared" si="0"/>
        <v>1724</v>
      </c>
    </row>
    <row r="27" spans="1:22" ht="15.75" customHeight="1" x14ac:dyDescent="0.15">
      <c r="A27" s="4">
        <v>44774</v>
      </c>
      <c r="B27" s="5">
        <v>0.41795138888888889</v>
      </c>
      <c r="C27" s="1">
        <v>1285</v>
      </c>
      <c r="D27" s="1">
        <v>13002561</v>
      </c>
      <c r="E27" s="1">
        <v>13</v>
      </c>
      <c r="F27" s="1">
        <v>22589</v>
      </c>
      <c r="G27" s="1" t="s">
        <v>21</v>
      </c>
      <c r="H27" s="1">
        <v>18</v>
      </c>
      <c r="I27" s="1">
        <v>330172</v>
      </c>
      <c r="J27" s="1" t="s">
        <v>73</v>
      </c>
      <c r="K27" s="1" t="s">
        <v>34</v>
      </c>
      <c r="L27" s="1" t="s">
        <v>74</v>
      </c>
      <c r="M27" s="1">
        <v>1</v>
      </c>
      <c r="N27" s="2">
        <v>23.98</v>
      </c>
      <c r="O27" s="3">
        <v>39</v>
      </c>
      <c r="P27" s="1">
        <v>0</v>
      </c>
      <c r="Q27" s="1" t="s">
        <v>25</v>
      </c>
      <c r="R27" s="1" t="s">
        <v>25</v>
      </c>
      <c r="S27" s="1">
        <v>29</v>
      </c>
      <c r="T27" s="1">
        <v>1</v>
      </c>
      <c r="U27" s="1">
        <v>1</v>
      </c>
      <c r="V27">
        <f t="shared" si="0"/>
        <v>39</v>
      </c>
    </row>
    <row r="28" spans="1:22" ht="15.75" customHeight="1" x14ac:dyDescent="0.15">
      <c r="A28" s="4">
        <v>44774</v>
      </c>
      <c r="B28" s="5">
        <v>0.41947916666666668</v>
      </c>
      <c r="C28" s="1">
        <v>1286</v>
      </c>
      <c r="D28" s="1">
        <v>13002561</v>
      </c>
      <c r="E28" s="1">
        <v>13</v>
      </c>
      <c r="F28" s="1">
        <v>22589</v>
      </c>
      <c r="G28" s="1" t="s">
        <v>21</v>
      </c>
      <c r="H28" s="1">
        <v>18</v>
      </c>
      <c r="I28" s="1">
        <v>393315</v>
      </c>
      <c r="J28" s="1" t="s">
        <v>75</v>
      </c>
      <c r="K28" s="1" t="s">
        <v>51</v>
      </c>
      <c r="L28" s="1" t="s">
        <v>76</v>
      </c>
      <c r="M28" s="1">
        <v>1</v>
      </c>
      <c r="N28" s="2">
        <v>16.21</v>
      </c>
      <c r="O28" s="3">
        <v>25</v>
      </c>
      <c r="P28" s="1">
        <v>0</v>
      </c>
      <c r="Q28" s="1" t="s">
        <v>25</v>
      </c>
      <c r="R28" s="1" t="s">
        <v>25</v>
      </c>
      <c r="S28" s="1">
        <v>29</v>
      </c>
      <c r="T28" s="1">
        <v>1</v>
      </c>
      <c r="U28" s="1">
        <v>1</v>
      </c>
      <c r="V28">
        <f t="shared" si="0"/>
        <v>25</v>
      </c>
    </row>
    <row r="29" spans="1:22" ht="15.75" customHeight="1" x14ac:dyDescent="0.15">
      <c r="A29" s="4">
        <v>44774</v>
      </c>
      <c r="B29" s="5">
        <v>0.41947916666666668</v>
      </c>
      <c r="C29" s="1">
        <v>1286</v>
      </c>
      <c r="D29" s="1">
        <v>13002561</v>
      </c>
      <c r="E29" s="1">
        <v>13</v>
      </c>
      <c r="F29" s="1">
        <v>22589</v>
      </c>
      <c r="G29" s="1" t="s">
        <v>21</v>
      </c>
      <c r="H29" s="1">
        <v>18</v>
      </c>
      <c r="I29" s="1">
        <v>393315</v>
      </c>
      <c r="J29" s="1" t="s">
        <v>75</v>
      </c>
      <c r="K29" s="1" t="s">
        <v>51</v>
      </c>
      <c r="L29" s="1" t="s">
        <v>76</v>
      </c>
      <c r="M29" s="1">
        <v>1</v>
      </c>
      <c r="N29" s="2">
        <v>16.21</v>
      </c>
      <c r="O29" s="3">
        <v>25</v>
      </c>
      <c r="P29" s="1">
        <v>0</v>
      </c>
      <c r="Q29" s="1" t="s">
        <v>25</v>
      </c>
      <c r="R29" s="1" t="s">
        <v>25</v>
      </c>
      <c r="S29" s="1">
        <v>29</v>
      </c>
      <c r="T29" s="1">
        <v>1</v>
      </c>
      <c r="U29" s="1">
        <v>2</v>
      </c>
      <c r="V29">
        <f t="shared" si="0"/>
        <v>25</v>
      </c>
    </row>
    <row r="30" spans="1:22" ht="15.75" customHeight="1" x14ac:dyDescent="0.15">
      <c r="A30" s="4">
        <v>44774</v>
      </c>
      <c r="B30" s="5">
        <v>0.62164351851851851</v>
      </c>
      <c r="C30" s="1">
        <v>1362</v>
      </c>
      <c r="D30" s="1">
        <v>13002561</v>
      </c>
      <c r="E30" s="1">
        <v>13</v>
      </c>
      <c r="F30" s="1">
        <v>22589</v>
      </c>
      <c r="G30" s="1" t="s">
        <v>21</v>
      </c>
      <c r="H30" s="1">
        <v>18</v>
      </c>
      <c r="I30" s="1">
        <v>393315</v>
      </c>
      <c r="J30" s="1" t="s">
        <v>75</v>
      </c>
      <c r="K30" s="1" t="s">
        <v>51</v>
      </c>
      <c r="L30" s="1" t="s">
        <v>76</v>
      </c>
      <c r="M30" s="1">
        <v>1</v>
      </c>
      <c r="N30" s="2">
        <v>16.21</v>
      </c>
      <c r="O30" s="3">
        <v>25</v>
      </c>
      <c r="P30" s="1">
        <v>0</v>
      </c>
      <c r="Q30" s="1" t="s">
        <v>25</v>
      </c>
      <c r="R30" s="1" t="s">
        <v>25</v>
      </c>
      <c r="S30" s="1">
        <v>29</v>
      </c>
      <c r="T30" s="1">
        <v>1</v>
      </c>
      <c r="U30" s="1">
        <v>3</v>
      </c>
      <c r="V30">
        <f t="shared" si="0"/>
        <v>25</v>
      </c>
    </row>
    <row r="31" spans="1:22" ht="15.75" customHeight="1" x14ac:dyDescent="0.15">
      <c r="A31" s="4">
        <v>44774</v>
      </c>
      <c r="B31" s="5">
        <v>0.42930555555555555</v>
      </c>
      <c r="C31" s="1">
        <v>1287</v>
      </c>
      <c r="D31" s="1">
        <v>13002561</v>
      </c>
      <c r="E31" s="1">
        <v>13</v>
      </c>
      <c r="F31" s="1">
        <v>22589</v>
      </c>
      <c r="G31" s="1" t="s">
        <v>21</v>
      </c>
      <c r="H31" s="1">
        <v>18</v>
      </c>
      <c r="I31" s="1">
        <v>377588</v>
      </c>
      <c r="J31" s="1" t="s">
        <v>77</v>
      </c>
      <c r="K31" s="1" t="s">
        <v>51</v>
      </c>
      <c r="L31" s="1" t="s">
        <v>78</v>
      </c>
      <c r="M31" s="1">
        <v>1</v>
      </c>
      <c r="N31" s="2">
        <v>84.17</v>
      </c>
      <c r="O31" s="3">
        <v>100</v>
      </c>
      <c r="P31" s="1">
        <v>41.09</v>
      </c>
      <c r="Q31" s="1">
        <v>925</v>
      </c>
      <c r="R31" s="1">
        <v>200000000492</v>
      </c>
      <c r="S31" s="1">
        <v>29</v>
      </c>
      <c r="T31" s="1">
        <v>1</v>
      </c>
      <c r="U31" s="1">
        <v>3</v>
      </c>
      <c r="V31">
        <f t="shared" si="0"/>
        <v>100</v>
      </c>
    </row>
    <row r="32" spans="1:22" ht="15.75" customHeight="1" x14ac:dyDescent="0.15">
      <c r="A32" s="4">
        <v>44774</v>
      </c>
      <c r="B32" s="5">
        <v>0.42930555555555555</v>
      </c>
      <c r="C32" s="1">
        <v>1287</v>
      </c>
      <c r="D32" s="1">
        <v>13002561</v>
      </c>
      <c r="E32" s="1">
        <v>13</v>
      </c>
      <c r="F32" s="1">
        <v>22589</v>
      </c>
      <c r="G32" s="1" t="s">
        <v>21</v>
      </c>
      <c r="H32" s="1">
        <v>18</v>
      </c>
      <c r="I32" s="1">
        <v>297336</v>
      </c>
      <c r="J32" s="1" t="s">
        <v>79</v>
      </c>
      <c r="K32" s="1" t="s">
        <v>34</v>
      </c>
      <c r="L32" s="1" t="s">
        <v>80</v>
      </c>
      <c r="M32" s="1">
        <v>1</v>
      </c>
      <c r="N32" s="2">
        <v>45.17</v>
      </c>
      <c r="O32" s="3">
        <v>74</v>
      </c>
      <c r="P32" s="1">
        <v>30.41</v>
      </c>
      <c r="Q32" s="1">
        <v>925</v>
      </c>
      <c r="R32" s="1">
        <v>200000000492</v>
      </c>
      <c r="S32" s="1">
        <v>29</v>
      </c>
      <c r="T32" s="1">
        <v>1</v>
      </c>
      <c r="U32" s="1">
        <v>1</v>
      </c>
      <c r="V32">
        <f t="shared" si="0"/>
        <v>74</v>
      </c>
    </row>
    <row r="33" spans="1:22" ht="15.75" customHeight="1" x14ac:dyDescent="0.15">
      <c r="A33" s="4">
        <v>44774</v>
      </c>
      <c r="B33" s="5">
        <v>0.42930555555555555</v>
      </c>
      <c r="C33" s="1">
        <v>1287</v>
      </c>
      <c r="D33" s="1">
        <v>13002561</v>
      </c>
      <c r="E33" s="1">
        <v>13</v>
      </c>
      <c r="F33" s="1">
        <v>22589</v>
      </c>
      <c r="G33" s="1" t="s">
        <v>21</v>
      </c>
      <c r="H33" s="1">
        <v>18</v>
      </c>
      <c r="I33" s="1">
        <v>2302</v>
      </c>
      <c r="J33" s="1" t="s">
        <v>81</v>
      </c>
      <c r="K33" s="1" t="s">
        <v>61</v>
      </c>
      <c r="L33" s="1" t="s">
        <v>82</v>
      </c>
      <c r="M33" s="1">
        <v>1</v>
      </c>
      <c r="N33" s="2">
        <v>148.28</v>
      </c>
      <c r="O33" s="3">
        <v>174</v>
      </c>
      <c r="P33" s="1">
        <v>71.5</v>
      </c>
      <c r="Q33" s="1">
        <v>925</v>
      </c>
      <c r="R33" s="1">
        <v>200000000492</v>
      </c>
      <c r="S33" s="1">
        <v>29</v>
      </c>
      <c r="T33" s="1">
        <v>1</v>
      </c>
      <c r="U33" s="1">
        <v>2</v>
      </c>
      <c r="V33">
        <f t="shared" si="0"/>
        <v>174</v>
      </c>
    </row>
    <row r="34" spans="1:22" ht="15.75" customHeight="1" x14ac:dyDescent="0.15">
      <c r="A34" s="4">
        <v>44774</v>
      </c>
      <c r="B34" s="5">
        <v>0.43451388888888887</v>
      </c>
      <c r="C34" s="1">
        <v>1288</v>
      </c>
      <c r="D34" s="1">
        <v>13002561</v>
      </c>
      <c r="E34" s="1">
        <v>13</v>
      </c>
      <c r="F34" s="1">
        <v>22589</v>
      </c>
      <c r="G34" s="1" t="s">
        <v>21</v>
      </c>
      <c r="H34" s="1">
        <v>15</v>
      </c>
      <c r="I34" s="1">
        <v>23396</v>
      </c>
      <c r="J34" s="1" t="s">
        <v>83</v>
      </c>
      <c r="K34" s="1" t="s">
        <v>84</v>
      </c>
      <c r="L34" s="1" t="s">
        <v>85</v>
      </c>
      <c r="M34" s="1">
        <v>2</v>
      </c>
      <c r="N34" s="2">
        <v>248.26</v>
      </c>
      <c r="O34" s="3">
        <v>336</v>
      </c>
      <c r="P34" s="1">
        <v>0</v>
      </c>
      <c r="Q34" s="1" t="s">
        <v>25</v>
      </c>
      <c r="R34" s="1" t="s">
        <v>25</v>
      </c>
      <c r="S34" s="1">
        <v>29</v>
      </c>
      <c r="T34" s="1">
        <v>1</v>
      </c>
      <c r="U34" s="1">
        <v>1</v>
      </c>
      <c r="V34">
        <f t="shared" si="0"/>
        <v>672</v>
      </c>
    </row>
    <row r="35" spans="1:22" ht="15.75" customHeight="1" x14ac:dyDescent="0.15">
      <c r="A35" s="4">
        <v>44774</v>
      </c>
      <c r="B35" s="5">
        <v>0.43633101851851852</v>
      </c>
      <c r="C35" s="1">
        <v>1289</v>
      </c>
      <c r="D35" s="1">
        <v>13002561</v>
      </c>
      <c r="E35" s="1">
        <v>13</v>
      </c>
      <c r="F35" s="1">
        <v>22589</v>
      </c>
      <c r="G35" s="1" t="s">
        <v>21</v>
      </c>
      <c r="H35" s="1">
        <v>15</v>
      </c>
      <c r="I35" s="1">
        <v>143150</v>
      </c>
      <c r="J35" s="1" t="s">
        <v>86</v>
      </c>
      <c r="K35" s="1" t="s">
        <v>61</v>
      </c>
      <c r="L35" s="1" t="s">
        <v>87</v>
      </c>
      <c r="M35" s="1">
        <v>1</v>
      </c>
      <c r="N35" s="2">
        <v>1042.25</v>
      </c>
      <c r="O35" s="3">
        <v>1314</v>
      </c>
      <c r="P35" s="1">
        <v>91</v>
      </c>
      <c r="Q35" s="1">
        <v>9</v>
      </c>
      <c r="R35" s="1">
        <v>200010000065</v>
      </c>
      <c r="S35" s="1">
        <v>29</v>
      </c>
      <c r="T35" s="1">
        <v>1</v>
      </c>
      <c r="U35" s="1">
        <v>1</v>
      </c>
      <c r="V35">
        <f t="shared" si="0"/>
        <v>1314</v>
      </c>
    </row>
    <row r="36" spans="1:22" ht="15.75" customHeight="1" x14ac:dyDescent="0.15">
      <c r="A36" s="4">
        <v>44774</v>
      </c>
      <c r="B36" s="5">
        <v>0.43633101851851852</v>
      </c>
      <c r="C36" s="1">
        <v>1289</v>
      </c>
      <c r="D36" s="1">
        <v>13002561</v>
      </c>
      <c r="E36" s="1">
        <v>13</v>
      </c>
      <c r="F36" s="1">
        <v>22589</v>
      </c>
      <c r="G36" s="1" t="s">
        <v>21</v>
      </c>
      <c r="H36" s="1">
        <v>15</v>
      </c>
      <c r="I36" s="1">
        <v>263189</v>
      </c>
      <c r="J36" s="1" t="s">
        <v>88</v>
      </c>
      <c r="K36" s="1" t="s">
        <v>51</v>
      </c>
      <c r="L36" s="1" t="s">
        <v>89</v>
      </c>
      <c r="M36" s="1">
        <v>1</v>
      </c>
      <c r="N36" s="2">
        <v>1576.65</v>
      </c>
      <c r="O36" s="3">
        <v>1971</v>
      </c>
      <c r="P36" s="1">
        <v>137</v>
      </c>
      <c r="Q36" s="1">
        <v>9</v>
      </c>
      <c r="R36" s="1">
        <v>200010000065</v>
      </c>
      <c r="S36" s="1">
        <v>29</v>
      </c>
      <c r="T36" s="1">
        <v>1</v>
      </c>
      <c r="U36" s="1">
        <v>5</v>
      </c>
      <c r="V36">
        <f t="shared" si="0"/>
        <v>1971</v>
      </c>
    </row>
    <row r="37" spans="1:22" ht="15.75" customHeight="1" x14ac:dyDescent="0.15">
      <c r="A37" s="4">
        <v>44774</v>
      </c>
      <c r="B37" s="5">
        <v>0.43633101851851852</v>
      </c>
      <c r="C37" s="1">
        <v>1289</v>
      </c>
      <c r="D37" s="1">
        <v>13002561</v>
      </c>
      <c r="E37" s="1">
        <v>13</v>
      </c>
      <c r="F37" s="1">
        <v>22589</v>
      </c>
      <c r="G37" s="1" t="s">
        <v>21</v>
      </c>
      <c r="H37" s="1">
        <v>15</v>
      </c>
      <c r="I37" s="1">
        <v>519407</v>
      </c>
      <c r="J37" s="1" t="s">
        <v>90</v>
      </c>
      <c r="K37" s="1" t="s">
        <v>51</v>
      </c>
      <c r="L37" s="1" t="s">
        <v>91</v>
      </c>
      <c r="M37" s="1">
        <v>1</v>
      </c>
      <c r="N37" s="2">
        <v>34.25</v>
      </c>
      <c r="O37" s="3">
        <v>53</v>
      </c>
      <c r="P37" s="1">
        <v>3</v>
      </c>
      <c r="Q37" s="1">
        <v>9</v>
      </c>
      <c r="R37" s="1">
        <v>200010000065</v>
      </c>
      <c r="S37" s="1">
        <v>29</v>
      </c>
      <c r="T37" s="1">
        <v>1</v>
      </c>
      <c r="U37" s="1">
        <v>2</v>
      </c>
      <c r="V37">
        <f t="shared" si="0"/>
        <v>53</v>
      </c>
    </row>
    <row r="38" spans="1:22" ht="15.75" customHeight="1" x14ac:dyDescent="0.15">
      <c r="A38" s="4">
        <v>44774</v>
      </c>
      <c r="B38" s="5">
        <v>0.43633101851851852</v>
      </c>
      <c r="C38" s="1">
        <v>1289</v>
      </c>
      <c r="D38" s="1">
        <v>13002561</v>
      </c>
      <c r="E38" s="1">
        <v>13</v>
      </c>
      <c r="F38" s="1">
        <v>22589</v>
      </c>
      <c r="G38" s="1" t="s">
        <v>21</v>
      </c>
      <c r="H38" s="1">
        <v>15</v>
      </c>
      <c r="I38" s="1">
        <v>345211</v>
      </c>
      <c r="J38" s="1" t="s">
        <v>92</v>
      </c>
      <c r="K38" s="1" t="s">
        <v>29</v>
      </c>
      <c r="L38" s="1" t="s">
        <v>93</v>
      </c>
      <c r="M38" s="1">
        <v>1</v>
      </c>
      <c r="N38" s="2">
        <v>25.28</v>
      </c>
      <c r="O38" s="3">
        <v>30</v>
      </c>
      <c r="P38" s="1">
        <v>1</v>
      </c>
      <c r="Q38" s="1">
        <v>9</v>
      </c>
      <c r="R38" s="1">
        <v>200010000065</v>
      </c>
      <c r="S38" s="1">
        <v>29</v>
      </c>
      <c r="T38" s="1">
        <v>1</v>
      </c>
      <c r="U38" s="1">
        <v>3</v>
      </c>
      <c r="V38">
        <f t="shared" si="0"/>
        <v>30</v>
      </c>
    </row>
    <row r="39" spans="1:22" ht="15.75" customHeight="1" x14ac:dyDescent="0.15">
      <c r="A39" s="4">
        <v>44774</v>
      </c>
      <c r="B39" s="5">
        <v>0.47800925925925924</v>
      </c>
      <c r="C39" s="1">
        <v>1307</v>
      </c>
      <c r="D39" s="1">
        <v>13002561</v>
      </c>
      <c r="E39" s="1">
        <v>13</v>
      </c>
      <c r="F39" s="1">
        <v>22589</v>
      </c>
      <c r="G39" s="1" t="s">
        <v>21</v>
      </c>
      <c r="H39" s="1">
        <v>18</v>
      </c>
      <c r="I39" s="1">
        <v>345211</v>
      </c>
      <c r="J39" s="1" t="s">
        <v>92</v>
      </c>
      <c r="K39" s="1" t="s">
        <v>29</v>
      </c>
      <c r="L39" s="1" t="s">
        <v>93</v>
      </c>
      <c r="M39" s="1">
        <v>1</v>
      </c>
      <c r="N39" s="2">
        <v>25.28</v>
      </c>
      <c r="O39" s="3">
        <v>30</v>
      </c>
      <c r="P39" s="1">
        <v>1</v>
      </c>
      <c r="Q39" s="1">
        <v>9</v>
      </c>
      <c r="R39" s="1">
        <v>200010000452</v>
      </c>
      <c r="S39" s="1">
        <v>29</v>
      </c>
      <c r="T39" s="1">
        <v>1</v>
      </c>
      <c r="U39" s="1">
        <v>1</v>
      </c>
      <c r="V39">
        <f t="shared" si="0"/>
        <v>30</v>
      </c>
    </row>
    <row r="40" spans="1:22" ht="15.75" customHeight="1" x14ac:dyDescent="0.15">
      <c r="A40" s="4">
        <v>44774</v>
      </c>
      <c r="B40" s="5">
        <v>0.50565972222222222</v>
      </c>
      <c r="C40" s="1">
        <v>1319</v>
      </c>
      <c r="D40" s="1">
        <v>13002561</v>
      </c>
      <c r="E40" s="1">
        <v>13</v>
      </c>
      <c r="F40" s="1">
        <v>22589</v>
      </c>
      <c r="G40" s="1" t="s">
        <v>21</v>
      </c>
      <c r="H40" s="1">
        <v>18</v>
      </c>
      <c r="I40" s="1">
        <v>345211</v>
      </c>
      <c r="J40" s="1" t="s">
        <v>92</v>
      </c>
      <c r="K40" s="1" t="s">
        <v>29</v>
      </c>
      <c r="L40" s="1" t="s">
        <v>93</v>
      </c>
      <c r="M40" s="1">
        <v>1</v>
      </c>
      <c r="N40" s="2">
        <v>25.28</v>
      </c>
      <c r="O40" s="3">
        <v>30</v>
      </c>
      <c r="P40" s="1">
        <v>1</v>
      </c>
      <c r="Q40" s="1">
        <v>9</v>
      </c>
      <c r="R40" s="1">
        <v>200010015482</v>
      </c>
      <c r="S40" s="1">
        <v>29</v>
      </c>
      <c r="T40" s="1">
        <v>1</v>
      </c>
      <c r="U40" s="1">
        <v>3</v>
      </c>
      <c r="V40">
        <f t="shared" si="0"/>
        <v>30</v>
      </c>
    </row>
    <row r="41" spans="1:22" ht="15.75" customHeight="1" x14ac:dyDescent="0.15">
      <c r="A41" s="4">
        <v>44774</v>
      </c>
      <c r="B41" s="5">
        <v>0.43633101851851852</v>
      </c>
      <c r="C41" s="1">
        <v>1289</v>
      </c>
      <c r="D41" s="1">
        <v>13002561</v>
      </c>
      <c r="E41" s="1">
        <v>13</v>
      </c>
      <c r="F41" s="1">
        <v>22589</v>
      </c>
      <c r="G41" s="1" t="s">
        <v>21</v>
      </c>
      <c r="H41" s="1">
        <v>15</v>
      </c>
      <c r="I41" s="1">
        <v>1504015</v>
      </c>
      <c r="J41" s="1" t="s">
        <v>94</v>
      </c>
      <c r="K41" s="1" t="s">
        <v>95</v>
      </c>
      <c r="L41" s="1" t="s">
        <v>93</v>
      </c>
      <c r="M41" s="1">
        <v>1</v>
      </c>
      <c r="N41" s="2">
        <v>1.1499999999999999</v>
      </c>
      <c r="O41" s="3">
        <v>2</v>
      </c>
      <c r="P41" s="1">
        <v>0</v>
      </c>
      <c r="Q41" s="1" t="s">
        <v>25</v>
      </c>
      <c r="R41" s="1" t="s">
        <v>25</v>
      </c>
      <c r="S41" s="1">
        <v>29</v>
      </c>
      <c r="T41" s="1">
        <v>1</v>
      </c>
      <c r="U41" s="1">
        <v>4</v>
      </c>
      <c r="V41">
        <f t="shared" si="0"/>
        <v>2</v>
      </c>
    </row>
    <row r="42" spans="1:22" ht="15.75" customHeight="1" x14ac:dyDescent="0.15">
      <c r="A42" s="4">
        <v>44774</v>
      </c>
      <c r="B42" s="5">
        <v>0.43896990740740743</v>
      </c>
      <c r="C42" s="1">
        <v>1290</v>
      </c>
      <c r="D42" s="1">
        <v>13002561</v>
      </c>
      <c r="E42" s="1">
        <v>13</v>
      </c>
      <c r="F42" s="1">
        <v>22589</v>
      </c>
      <c r="G42" s="1" t="s">
        <v>21</v>
      </c>
      <c r="H42" s="1">
        <v>15</v>
      </c>
      <c r="I42" s="1">
        <v>1504015</v>
      </c>
      <c r="J42" s="1" t="s">
        <v>94</v>
      </c>
      <c r="K42" s="1" t="s">
        <v>95</v>
      </c>
      <c r="L42" s="1" t="s">
        <v>93</v>
      </c>
      <c r="M42" s="1">
        <v>1</v>
      </c>
      <c r="N42" s="2">
        <v>1.1499999999999999</v>
      </c>
      <c r="O42" s="3">
        <v>2</v>
      </c>
      <c r="P42" s="1">
        <v>0</v>
      </c>
      <c r="Q42" s="1" t="s">
        <v>25</v>
      </c>
      <c r="R42" s="1" t="s">
        <v>25</v>
      </c>
      <c r="S42" s="1">
        <v>29</v>
      </c>
      <c r="T42" s="1">
        <v>1</v>
      </c>
      <c r="U42" s="1">
        <v>4</v>
      </c>
      <c r="V42">
        <f t="shared" si="0"/>
        <v>2</v>
      </c>
    </row>
    <row r="43" spans="1:22" ht="15.75" customHeight="1" x14ac:dyDescent="0.15">
      <c r="A43" s="4">
        <v>44774</v>
      </c>
      <c r="B43" s="5">
        <v>0.44123842592592594</v>
      </c>
      <c r="C43" s="1">
        <v>1292</v>
      </c>
      <c r="D43" s="1">
        <v>13002561</v>
      </c>
      <c r="E43" s="1">
        <v>13</v>
      </c>
      <c r="F43" s="1">
        <v>22589</v>
      </c>
      <c r="G43" s="1" t="s">
        <v>21</v>
      </c>
      <c r="H43" s="1">
        <v>18</v>
      </c>
      <c r="I43" s="1">
        <v>1504015</v>
      </c>
      <c r="J43" s="1" t="s">
        <v>94</v>
      </c>
      <c r="K43" s="1" t="s">
        <v>95</v>
      </c>
      <c r="L43" s="1" t="s">
        <v>93</v>
      </c>
      <c r="M43" s="1">
        <v>1</v>
      </c>
      <c r="N43" s="2">
        <v>1.1499999999999999</v>
      </c>
      <c r="O43" s="3">
        <v>2</v>
      </c>
      <c r="P43" s="1">
        <v>0</v>
      </c>
      <c r="Q43" s="1" t="s">
        <v>25</v>
      </c>
      <c r="R43" s="1" t="s">
        <v>25</v>
      </c>
      <c r="S43" s="1">
        <v>29</v>
      </c>
      <c r="T43" s="1">
        <v>1</v>
      </c>
      <c r="U43" s="1">
        <v>3</v>
      </c>
      <c r="V43">
        <f t="shared" si="0"/>
        <v>2</v>
      </c>
    </row>
    <row r="44" spans="1:22" ht="15.75" customHeight="1" x14ac:dyDescent="0.15">
      <c r="A44" s="4">
        <v>44774</v>
      </c>
      <c r="B44" s="5">
        <v>0.44861111111111113</v>
      </c>
      <c r="C44" s="1">
        <v>1297</v>
      </c>
      <c r="D44" s="1">
        <v>13002561</v>
      </c>
      <c r="E44" s="1">
        <v>13</v>
      </c>
      <c r="F44" s="1">
        <v>22589</v>
      </c>
      <c r="G44" s="1" t="s">
        <v>21</v>
      </c>
      <c r="H44" s="1">
        <v>15</v>
      </c>
      <c r="I44" s="1">
        <v>1504015</v>
      </c>
      <c r="J44" s="1" t="s">
        <v>94</v>
      </c>
      <c r="K44" s="1" t="s">
        <v>95</v>
      </c>
      <c r="L44" s="1" t="s">
        <v>93</v>
      </c>
      <c r="M44" s="1">
        <v>1</v>
      </c>
      <c r="N44" s="2">
        <v>1.1499999999999999</v>
      </c>
      <c r="O44" s="3">
        <v>2</v>
      </c>
      <c r="P44" s="1">
        <v>0</v>
      </c>
      <c r="Q44" s="1" t="s">
        <v>25</v>
      </c>
      <c r="R44" s="1" t="s">
        <v>25</v>
      </c>
      <c r="S44" s="1">
        <v>29</v>
      </c>
      <c r="T44" s="1">
        <v>1</v>
      </c>
      <c r="U44" s="1">
        <v>4</v>
      </c>
      <c r="V44">
        <f t="shared" si="0"/>
        <v>2</v>
      </c>
    </row>
    <row r="45" spans="1:22" ht="15.75" customHeight="1" x14ac:dyDescent="0.15">
      <c r="A45" s="4">
        <v>44774</v>
      </c>
      <c r="B45" s="5">
        <v>0.45111111111111113</v>
      </c>
      <c r="C45" s="1">
        <v>1298</v>
      </c>
      <c r="D45" s="1">
        <v>13002561</v>
      </c>
      <c r="E45" s="1">
        <v>13</v>
      </c>
      <c r="F45" s="1">
        <v>22589</v>
      </c>
      <c r="G45" s="1" t="s">
        <v>21</v>
      </c>
      <c r="H45" s="1">
        <v>18</v>
      </c>
      <c r="I45" s="1">
        <v>1504015</v>
      </c>
      <c r="J45" s="1" t="s">
        <v>94</v>
      </c>
      <c r="K45" s="1" t="s">
        <v>95</v>
      </c>
      <c r="L45" s="1" t="s">
        <v>93</v>
      </c>
      <c r="M45" s="1">
        <v>1</v>
      </c>
      <c r="N45" s="2">
        <v>1.1499999999999999</v>
      </c>
      <c r="O45" s="3">
        <v>2</v>
      </c>
      <c r="P45" s="1">
        <v>0</v>
      </c>
      <c r="Q45" s="1" t="s">
        <v>25</v>
      </c>
      <c r="R45" s="1" t="s">
        <v>25</v>
      </c>
      <c r="S45" s="1">
        <v>29</v>
      </c>
      <c r="T45" s="1">
        <v>1</v>
      </c>
      <c r="U45" s="1">
        <v>4</v>
      </c>
      <c r="V45">
        <f t="shared" si="0"/>
        <v>2</v>
      </c>
    </row>
    <row r="46" spans="1:22" ht="15.75" customHeight="1" x14ac:dyDescent="0.15">
      <c r="A46" s="4">
        <v>44774</v>
      </c>
      <c r="B46" s="5">
        <v>0.51331018518518523</v>
      </c>
      <c r="C46" s="1">
        <v>1324</v>
      </c>
      <c r="D46" s="1">
        <v>13002561</v>
      </c>
      <c r="E46" s="1">
        <v>13</v>
      </c>
      <c r="F46" s="1">
        <v>22589</v>
      </c>
      <c r="G46" s="1" t="s">
        <v>21</v>
      </c>
      <c r="H46" s="1">
        <v>15</v>
      </c>
      <c r="I46" s="1">
        <v>1504015</v>
      </c>
      <c r="J46" s="1" t="s">
        <v>94</v>
      </c>
      <c r="K46" s="1" t="s">
        <v>95</v>
      </c>
      <c r="L46" s="1" t="s">
        <v>93</v>
      </c>
      <c r="M46" s="1">
        <v>1</v>
      </c>
      <c r="N46" s="2">
        <v>1.1499999999999999</v>
      </c>
      <c r="O46" s="3">
        <v>2</v>
      </c>
      <c r="P46" s="1">
        <v>0</v>
      </c>
      <c r="Q46" s="1" t="s">
        <v>25</v>
      </c>
      <c r="R46" s="1" t="s">
        <v>25</v>
      </c>
      <c r="S46" s="1">
        <v>29</v>
      </c>
      <c r="T46" s="1">
        <v>1</v>
      </c>
      <c r="U46" s="1">
        <v>2</v>
      </c>
      <c r="V46">
        <f t="shared" si="0"/>
        <v>2</v>
      </c>
    </row>
    <row r="47" spans="1:22" ht="15.75" customHeight="1" x14ac:dyDescent="0.15">
      <c r="A47" s="4">
        <v>44774</v>
      </c>
      <c r="B47" s="5">
        <v>0.52379629629629632</v>
      </c>
      <c r="C47" s="1">
        <v>1327</v>
      </c>
      <c r="D47" s="1">
        <v>13002561</v>
      </c>
      <c r="E47" s="1">
        <v>13</v>
      </c>
      <c r="F47" s="1">
        <v>22589</v>
      </c>
      <c r="G47" s="1" t="s">
        <v>21</v>
      </c>
      <c r="H47" s="1">
        <v>18</v>
      </c>
      <c r="I47" s="1">
        <v>1504015</v>
      </c>
      <c r="J47" s="1" t="s">
        <v>94</v>
      </c>
      <c r="K47" s="1" t="s">
        <v>95</v>
      </c>
      <c r="L47" s="1" t="s">
        <v>93</v>
      </c>
      <c r="M47" s="1">
        <v>1</v>
      </c>
      <c r="N47" s="2">
        <v>1.1499999999999999</v>
      </c>
      <c r="O47" s="3">
        <v>2</v>
      </c>
      <c r="P47" s="1">
        <v>0</v>
      </c>
      <c r="Q47" s="1" t="s">
        <v>25</v>
      </c>
      <c r="R47" s="1" t="s">
        <v>25</v>
      </c>
      <c r="S47" s="1">
        <v>29</v>
      </c>
      <c r="T47" s="1">
        <v>1</v>
      </c>
      <c r="U47" s="1">
        <v>4</v>
      </c>
      <c r="V47">
        <f t="shared" si="0"/>
        <v>2</v>
      </c>
    </row>
    <row r="48" spans="1:22" ht="15.75" customHeight="1" x14ac:dyDescent="0.15">
      <c r="A48" s="4">
        <v>44774</v>
      </c>
      <c r="B48" s="5">
        <v>0.64307870370370368</v>
      </c>
      <c r="C48" s="1">
        <v>1367</v>
      </c>
      <c r="D48" s="1">
        <v>13002561</v>
      </c>
      <c r="E48" s="1">
        <v>13</v>
      </c>
      <c r="F48" s="1">
        <v>22589</v>
      </c>
      <c r="G48" s="1" t="s">
        <v>21</v>
      </c>
      <c r="H48" s="1">
        <v>18</v>
      </c>
      <c r="I48" s="1">
        <v>1504015</v>
      </c>
      <c r="J48" s="1" t="s">
        <v>94</v>
      </c>
      <c r="K48" s="1" t="s">
        <v>95</v>
      </c>
      <c r="L48" s="1" t="s">
        <v>93</v>
      </c>
      <c r="M48" s="1">
        <v>1</v>
      </c>
      <c r="N48" s="2">
        <v>1.1499999999999999</v>
      </c>
      <c r="O48" s="3">
        <v>2</v>
      </c>
      <c r="P48" s="1">
        <v>0</v>
      </c>
      <c r="Q48" s="1" t="s">
        <v>25</v>
      </c>
      <c r="R48" s="1" t="s">
        <v>25</v>
      </c>
      <c r="S48" s="1">
        <v>29</v>
      </c>
      <c r="T48" s="1">
        <v>1</v>
      </c>
      <c r="U48" s="1">
        <v>3</v>
      </c>
      <c r="V48">
        <f t="shared" si="0"/>
        <v>2</v>
      </c>
    </row>
    <row r="49" spans="1:22" ht="15.75" customHeight="1" x14ac:dyDescent="0.15">
      <c r="A49" s="4">
        <v>44774</v>
      </c>
      <c r="B49" s="5">
        <v>0.70020833333333332</v>
      </c>
      <c r="C49" s="1">
        <v>1380</v>
      </c>
      <c r="D49" s="1">
        <v>13002561</v>
      </c>
      <c r="E49" s="1">
        <v>13</v>
      </c>
      <c r="F49" s="1">
        <v>22589</v>
      </c>
      <c r="G49" s="1" t="s">
        <v>21</v>
      </c>
      <c r="H49" s="1">
        <v>18</v>
      </c>
      <c r="I49" s="1">
        <v>1504015</v>
      </c>
      <c r="J49" s="1" t="s">
        <v>94</v>
      </c>
      <c r="K49" s="1" t="s">
        <v>95</v>
      </c>
      <c r="L49" s="1" t="s">
        <v>93</v>
      </c>
      <c r="M49" s="1">
        <v>1</v>
      </c>
      <c r="N49" s="2">
        <v>1.1499999999999999</v>
      </c>
      <c r="O49" s="3">
        <v>2</v>
      </c>
      <c r="P49" s="1">
        <v>0</v>
      </c>
      <c r="Q49" s="1" t="s">
        <v>25</v>
      </c>
      <c r="R49" s="1" t="s">
        <v>25</v>
      </c>
      <c r="S49" s="1">
        <v>29</v>
      </c>
      <c r="T49" s="1">
        <v>1</v>
      </c>
      <c r="U49" s="1">
        <v>5</v>
      </c>
      <c r="V49">
        <f t="shared" si="0"/>
        <v>2</v>
      </c>
    </row>
    <row r="50" spans="1:22" ht="13" x14ac:dyDescent="0.15">
      <c r="A50" s="4">
        <v>44774</v>
      </c>
      <c r="B50" s="5">
        <v>0.78233796296296299</v>
      </c>
      <c r="C50" s="1">
        <v>1402</v>
      </c>
      <c r="D50" s="1">
        <v>13002561</v>
      </c>
      <c r="E50" s="1">
        <v>13</v>
      </c>
      <c r="F50" s="1">
        <v>22589</v>
      </c>
      <c r="G50" s="1" t="s">
        <v>21</v>
      </c>
      <c r="H50" s="1">
        <v>18</v>
      </c>
      <c r="I50" s="1">
        <v>1504015</v>
      </c>
      <c r="J50" s="1" t="s">
        <v>94</v>
      </c>
      <c r="K50" s="1" t="s">
        <v>95</v>
      </c>
      <c r="L50" s="1" t="s">
        <v>93</v>
      </c>
      <c r="M50" s="1">
        <v>1</v>
      </c>
      <c r="N50" s="2">
        <v>1.1499999999999999</v>
      </c>
      <c r="O50" s="3">
        <v>2</v>
      </c>
      <c r="P50" s="1">
        <v>0</v>
      </c>
      <c r="Q50" s="1" t="s">
        <v>25</v>
      </c>
      <c r="R50" s="1" t="s">
        <v>25</v>
      </c>
      <c r="S50" s="1">
        <v>29</v>
      </c>
      <c r="T50" s="1">
        <v>1</v>
      </c>
      <c r="U50" s="1">
        <v>5</v>
      </c>
      <c r="V50">
        <f t="shared" si="0"/>
        <v>2</v>
      </c>
    </row>
    <row r="51" spans="1:22" ht="13" x14ac:dyDescent="0.15">
      <c r="A51" s="4">
        <v>44774</v>
      </c>
      <c r="B51" s="5">
        <v>0.43896990740740743</v>
      </c>
      <c r="C51" s="1">
        <v>1290</v>
      </c>
      <c r="D51" s="1">
        <v>13002561</v>
      </c>
      <c r="E51" s="1">
        <v>13</v>
      </c>
      <c r="F51" s="1">
        <v>22589</v>
      </c>
      <c r="G51" s="1" t="s">
        <v>21</v>
      </c>
      <c r="H51" s="1">
        <v>15</v>
      </c>
      <c r="I51" s="1">
        <v>497302</v>
      </c>
      <c r="J51" s="1" t="s">
        <v>96</v>
      </c>
      <c r="K51" s="1" t="s">
        <v>51</v>
      </c>
      <c r="L51" s="1" t="s">
        <v>97</v>
      </c>
      <c r="M51" s="1">
        <v>2</v>
      </c>
      <c r="N51" s="2">
        <v>9.7899999999999991</v>
      </c>
      <c r="O51" s="3">
        <v>16</v>
      </c>
      <c r="P51" s="1">
        <v>3</v>
      </c>
      <c r="Q51" s="1">
        <v>9</v>
      </c>
      <c r="R51" s="1">
        <v>200010000065</v>
      </c>
      <c r="S51" s="1">
        <v>29</v>
      </c>
      <c r="T51" s="1">
        <v>1</v>
      </c>
      <c r="U51" s="1">
        <v>6</v>
      </c>
      <c r="V51">
        <f t="shared" si="0"/>
        <v>32</v>
      </c>
    </row>
    <row r="52" spans="1:22" ht="13" x14ac:dyDescent="0.15">
      <c r="A52" s="4">
        <v>44774</v>
      </c>
      <c r="B52" s="5">
        <v>0.43896990740740743</v>
      </c>
      <c r="C52" s="1">
        <v>1290</v>
      </c>
      <c r="D52" s="1">
        <v>13002561</v>
      </c>
      <c r="E52" s="1">
        <v>13</v>
      </c>
      <c r="F52" s="1">
        <v>22589</v>
      </c>
      <c r="G52" s="1" t="s">
        <v>21</v>
      </c>
      <c r="H52" s="1">
        <v>15</v>
      </c>
      <c r="I52" s="1">
        <v>278599</v>
      </c>
      <c r="J52" s="1" t="s">
        <v>98</v>
      </c>
      <c r="K52" s="1" t="s">
        <v>23</v>
      </c>
      <c r="L52" s="1" t="s">
        <v>99</v>
      </c>
      <c r="M52" s="1">
        <v>2</v>
      </c>
      <c r="N52" s="2">
        <v>30.62</v>
      </c>
      <c r="O52" s="3">
        <v>50</v>
      </c>
      <c r="P52" s="1">
        <v>10</v>
      </c>
      <c r="Q52" s="1">
        <v>9</v>
      </c>
      <c r="R52" s="1">
        <v>200010000065</v>
      </c>
      <c r="S52" s="1">
        <v>29</v>
      </c>
      <c r="T52" s="1">
        <v>1</v>
      </c>
      <c r="U52" s="1">
        <v>8</v>
      </c>
      <c r="V52">
        <f t="shared" si="0"/>
        <v>100</v>
      </c>
    </row>
    <row r="53" spans="1:22" ht="13" x14ac:dyDescent="0.15">
      <c r="A53" s="4">
        <v>44774</v>
      </c>
      <c r="B53" s="5">
        <v>0.43896990740740743</v>
      </c>
      <c r="C53" s="1">
        <v>1290</v>
      </c>
      <c r="D53" s="1">
        <v>13002561</v>
      </c>
      <c r="E53" s="1">
        <v>13</v>
      </c>
      <c r="F53" s="1">
        <v>22589</v>
      </c>
      <c r="G53" s="1" t="s">
        <v>21</v>
      </c>
      <c r="H53" s="1">
        <v>15</v>
      </c>
      <c r="I53" s="1">
        <v>50279</v>
      </c>
      <c r="J53" s="1" t="s">
        <v>100</v>
      </c>
      <c r="K53" s="1" t="s">
        <v>51</v>
      </c>
      <c r="L53" s="1" t="s">
        <v>99</v>
      </c>
      <c r="M53" s="1">
        <v>1</v>
      </c>
      <c r="N53" s="2">
        <v>45.13</v>
      </c>
      <c r="O53" s="3">
        <v>74</v>
      </c>
      <c r="P53" s="1">
        <v>7</v>
      </c>
      <c r="Q53" s="1">
        <v>9</v>
      </c>
      <c r="R53" s="1">
        <v>200010000065</v>
      </c>
      <c r="S53" s="1">
        <v>29</v>
      </c>
      <c r="T53" s="1">
        <v>1</v>
      </c>
      <c r="U53" s="1">
        <v>1</v>
      </c>
      <c r="V53">
        <f t="shared" si="0"/>
        <v>74</v>
      </c>
    </row>
    <row r="54" spans="1:22" ht="13" x14ac:dyDescent="0.15">
      <c r="A54" s="4">
        <v>44774</v>
      </c>
      <c r="B54" s="5">
        <v>0.43896990740740743</v>
      </c>
      <c r="C54" s="1">
        <v>1290</v>
      </c>
      <c r="D54" s="1">
        <v>13002561</v>
      </c>
      <c r="E54" s="1">
        <v>13</v>
      </c>
      <c r="F54" s="1">
        <v>22589</v>
      </c>
      <c r="G54" s="1" t="s">
        <v>21</v>
      </c>
      <c r="H54" s="1">
        <v>15</v>
      </c>
      <c r="I54" s="1">
        <v>142036</v>
      </c>
      <c r="J54" s="1" t="s">
        <v>101</v>
      </c>
      <c r="K54" s="1" t="s">
        <v>23</v>
      </c>
      <c r="L54" s="1" t="s">
        <v>76</v>
      </c>
      <c r="M54" s="1">
        <v>1</v>
      </c>
      <c r="N54" s="2">
        <v>187.36</v>
      </c>
      <c r="O54" s="3">
        <v>220</v>
      </c>
      <c r="P54" s="1">
        <v>15</v>
      </c>
      <c r="Q54" s="1">
        <v>9</v>
      </c>
      <c r="R54" s="1">
        <v>200010000065</v>
      </c>
      <c r="S54" s="1">
        <v>29</v>
      </c>
      <c r="T54" s="1">
        <v>1</v>
      </c>
      <c r="U54" s="1">
        <v>5</v>
      </c>
      <c r="V54">
        <f t="shared" si="0"/>
        <v>220</v>
      </c>
    </row>
    <row r="55" spans="1:22" ht="13" x14ac:dyDescent="0.15">
      <c r="A55" s="4">
        <v>44774</v>
      </c>
      <c r="B55" s="5">
        <v>0.52601851851851855</v>
      </c>
      <c r="C55" s="1">
        <v>1328</v>
      </c>
      <c r="D55" s="1">
        <v>13002561</v>
      </c>
      <c r="E55" s="1">
        <v>13</v>
      </c>
      <c r="F55" s="1">
        <v>22589</v>
      </c>
      <c r="G55" s="1" t="s">
        <v>21</v>
      </c>
      <c r="H55" s="1">
        <v>15</v>
      </c>
      <c r="I55" s="1">
        <v>142036</v>
      </c>
      <c r="J55" s="1" t="s">
        <v>101</v>
      </c>
      <c r="K55" s="1" t="s">
        <v>23</v>
      </c>
      <c r="L55" s="1" t="s">
        <v>76</v>
      </c>
      <c r="M55" s="1">
        <v>1</v>
      </c>
      <c r="N55" s="2">
        <v>187.36</v>
      </c>
      <c r="O55" s="3">
        <v>220</v>
      </c>
      <c r="P55" s="1">
        <v>0</v>
      </c>
      <c r="Q55" s="1" t="s">
        <v>25</v>
      </c>
      <c r="R55" s="1" t="s">
        <v>25</v>
      </c>
      <c r="S55" s="1">
        <v>29</v>
      </c>
      <c r="T55" s="1">
        <v>1</v>
      </c>
      <c r="U55" s="1">
        <v>4</v>
      </c>
      <c r="V55">
        <f t="shared" si="0"/>
        <v>220</v>
      </c>
    </row>
    <row r="56" spans="1:22" ht="13" x14ac:dyDescent="0.15">
      <c r="A56" s="4">
        <v>44774</v>
      </c>
      <c r="B56" s="5">
        <v>0.43896990740740743</v>
      </c>
      <c r="C56" s="1">
        <v>1290</v>
      </c>
      <c r="D56" s="1">
        <v>13002561</v>
      </c>
      <c r="E56" s="1">
        <v>13</v>
      </c>
      <c r="F56" s="1">
        <v>22589</v>
      </c>
      <c r="G56" s="1" t="s">
        <v>21</v>
      </c>
      <c r="H56" s="1">
        <v>15</v>
      </c>
      <c r="I56" s="1">
        <v>523194</v>
      </c>
      <c r="J56" s="1" t="s">
        <v>102</v>
      </c>
      <c r="K56" s="1" t="s">
        <v>29</v>
      </c>
      <c r="L56" s="1" t="s">
        <v>35</v>
      </c>
      <c r="M56" s="1">
        <v>1</v>
      </c>
      <c r="N56" s="2">
        <v>320.39</v>
      </c>
      <c r="O56" s="3">
        <v>423</v>
      </c>
      <c r="P56" s="1">
        <v>29</v>
      </c>
      <c r="Q56" s="1">
        <v>9</v>
      </c>
      <c r="R56" s="1">
        <v>200010000065</v>
      </c>
      <c r="S56" s="1">
        <v>29</v>
      </c>
      <c r="T56" s="1">
        <v>1</v>
      </c>
      <c r="U56" s="1">
        <v>3</v>
      </c>
      <c r="V56">
        <f t="shared" si="0"/>
        <v>423</v>
      </c>
    </row>
    <row r="57" spans="1:22" ht="13" x14ac:dyDescent="0.15">
      <c r="A57" s="4">
        <v>44774</v>
      </c>
      <c r="B57" s="5">
        <v>0.43896990740740743</v>
      </c>
      <c r="C57" s="1">
        <v>1290</v>
      </c>
      <c r="D57" s="1">
        <v>13002561</v>
      </c>
      <c r="E57" s="1">
        <v>13</v>
      </c>
      <c r="F57" s="1">
        <v>22589</v>
      </c>
      <c r="G57" s="1" t="s">
        <v>21</v>
      </c>
      <c r="H57" s="1">
        <v>15</v>
      </c>
      <c r="I57" s="1">
        <v>460183</v>
      </c>
      <c r="J57" s="1" t="s">
        <v>103</v>
      </c>
      <c r="K57" s="1" t="s">
        <v>45</v>
      </c>
      <c r="L57" s="1" t="s">
        <v>104</v>
      </c>
      <c r="M57" s="1">
        <v>1</v>
      </c>
      <c r="N57" s="2">
        <v>64.709999999999994</v>
      </c>
      <c r="O57" s="3">
        <v>102</v>
      </c>
      <c r="P57" s="1">
        <v>10</v>
      </c>
      <c r="Q57" s="1">
        <v>9</v>
      </c>
      <c r="R57" s="1">
        <v>200010000065</v>
      </c>
      <c r="S57" s="1">
        <v>29</v>
      </c>
      <c r="T57" s="1">
        <v>1</v>
      </c>
      <c r="U57" s="1">
        <v>2</v>
      </c>
      <c r="V57">
        <f t="shared" si="0"/>
        <v>102</v>
      </c>
    </row>
    <row r="58" spans="1:22" ht="13" x14ac:dyDescent="0.15">
      <c r="A58" s="4">
        <v>44774</v>
      </c>
      <c r="B58" s="5">
        <v>0.43896990740740743</v>
      </c>
      <c r="C58" s="1">
        <v>1290</v>
      </c>
      <c r="D58" s="1">
        <v>13002561</v>
      </c>
      <c r="E58" s="1">
        <v>13</v>
      </c>
      <c r="F58" s="1">
        <v>22589</v>
      </c>
      <c r="G58" s="1" t="s">
        <v>21</v>
      </c>
      <c r="H58" s="1">
        <v>15</v>
      </c>
      <c r="I58" s="1">
        <v>168795</v>
      </c>
      <c r="J58" s="1" t="s">
        <v>105</v>
      </c>
      <c r="K58" s="1" t="s">
        <v>51</v>
      </c>
      <c r="L58" s="1" t="s">
        <v>106</v>
      </c>
      <c r="M58" s="1">
        <v>1</v>
      </c>
      <c r="N58" s="2">
        <v>73.77</v>
      </c>
      <c r="O58" s="3">
        <v>122</v>
      </c>
      <c r="P58" s="1">
        <v>12</v>
      </c>
      <c r="Q58" s="1">
        <v>9</v>
      </c>
      <c r="R58" s="1">
        <v>200010000065</v>
      </c>
      <c r="S58" s="1">
        <v>29</v>
      </c>
      <c r="T58" s="1">
        <v>1</v>
      </c>
      <c r="U58" s="1">
        <v>7</v>
      </c>
      <c r="V58">
        <f t="shared" si="0"/>
        <v>122</v>
      </c>
    </row>
    <row r="59" spans="1:22" ht="13" x14ac:dyDescent="0.15">
      <c r="A59" s="4">
        <v>44774</v>
      </c>
      <c r="B59" s="5">
        <v>0.43967592592592591</v>
      </c>
      <c r="C59" s="1">
        <v>1291</v>
      </c>
      <c r="D59" s="1">
        <v>13002561</v>
      </c>
      <c r="E59" s="1">
        <v>13</v>
      </c>
      <c r="F59" s="1">
        <v>22589</v>
      </c>
      <c r="G59" s="1" t="s">
        <v>21</v>
      </c>
      <c r="H59" s="1">
        <v>15</v>
      </c>
      <c r="I59" s="1">
        <v>269</v>
      </c>
      <c r="J59" s="1" t="s">
        <v>107</v>
      </c>
      <c r="K59" s="1" t="s">
        <v>29</v>
      </c>
      <c r="L59" s="1" t="s">
        <v>108</v>
      </c>
      <c r="M59" s="1">
        <v>1</v>
      </c>
      <c r="N59" s="2">
        <v>155.68</v>
      </c>
      <c r="O59" s="3">
        <v>195</v>
      </c>
      <c r="P59" s="1">
        <v>13</v>
      </c>
      <c r="Q59" s="1">
        <v>9</v>
      </c>
      <c r="R59" s="1">
        <v>200010004067</v>
      </c>
      <c r="S59" s="1">
        <v>29</v>
      </c>
      <c r="T59" s="1">
        <v>1</v>
      </c>
      <c r="U59" s="1">
        <v>2</v>
      </c>
      <c r="V59">
        <f t="shared" si="0"/>
        <v>195</v>
      </c>
    </row>
    <row r="60" spans="1:22" ht="13" x14ac:dyDescent="0.15">
      <c r="A60" s="4">
        <v>44774</v>
      </c>
      <c r="B60" s="5">
        <v>0.43967592592592591</v>
      </c>
      <c r="C60" s="1">
        <v>1291</v>
      </c>
      <c r="D60" s="1">
        <v>13002561</v>
      </c>
      <c r="E60" s="1">
        <v>13</v>
      </c>
      <c r="F60" s="1">
        <v>22589</v>
      </c>
      <c r="G60" s="1" t="s">
        <v>21</v>
      </c>
      <c r="H60" s="1">
        <v>15</v>
      </c>
      <c r="I60" s="1">
        <v>2289</v>
      </c>
      <c r="J60" s="1" t="s">
        <v>109</v>
      </c>
      <c r="K60" s="1" t="s">
        <v>110</v>
      </c>
      <c r="L60" s="1" t="s">
        <v>69</v>
      </c>
      <c r="M60" s="1">
        <v>1</v>
      </c>
      <c r="N60" s="2">
        <v>129.03</v>
      </c>
      <c r="O60" s="3">
        <v>153</v>
      </c>
      <c r="P60" s="1">
        <v>7</v>
      </c>
      <c r="Q60" s="1">
        <v>9</v>
      </c>
      <c r="R60" s="1">
        <v>200010004067</v>
      </c>
      <c r="S60" s="1">
        <v>29</v>
      </c>
      <c r="T60" s="1">
        <v>1</v>
      </c>
      <c r="U60" s="1">
        <v>1</v>
      </c>
      <c r="V60">
        <f t="shared" si="0"/>
        <v>153</v>
      </c>
    </row>
    <row r="61" spans="1:22" ht="13" x14ac:dyDescent="0.15">
      <c r="A61" s="4">
        <v>44774</v>
      </c>
      <c r="B61" s="5">
        <v>0.44123842592592594</v>
      </c>
      <c r="C61" s="1">
        <v>1292</v>
      </c>
      <c r="D61" s="1">
        <v>13002561</v>
      </c>
      <c r="E61" s="1">
        <v>13</v>
      </c>
      <c r="F61" s="1">
        <v>22589</v>
      </c>
      <c r="G61" s="1" t="s">
        <v>21</v>
      </c>
      <c r="H61" s="1">
        <v>18</v>
      </c>
      <c r="I61" s="1">
        <v>41348</v>
      </c>
      <c r="J61" s="1" t="s">
        <v>111</v>
      </c>
      <c r="K61" s="1" t="s">
        <v>29</v>
      </c>
      <c r="L61" s="1" t="s">
        <v>112</v>
      </c>
      <c r="M61" s="1">
        <v>1</v>
      </c>
      <c r="N61" s="2">
        <v>205.78</v>
      </c>
      <c r="O61" s="3">
        <v>247</v>
      </c>
      <c r="P61" s="1">
        <v>12</v>
      </c>
      <c r="Q61" s="1">
        <v>9</v>
      </c>
      <c r="R61" s="1">
        <v>200010020276</v>
      </c>
      <c r="S61" s="1">
        <v>29</v>
      </c>
      <c r="T61" s="1">
        <v>1</v>
      </c>
      <c r="U61" s="1">
        <v>2</v>
      </c>
      <c r="V61">
        <f t="shared" si="0"/>
        <v>247</v>
      </c>
    </row>
    <row r="62" spans="1:22" ht="13" x14ac:dyDescent="0.15">
      <c r="A62" s="4">
        <v>44774</v>
      </c>
      <c r="B62" s="5">
        <v>0.44123842592592594</v>
      </c>
      <c r="C62" s="1">
        <v>1292</v>
      </c>
      <c r="D62" s="1">
        <v>13002561</v>
      </c>
      <c r="E62" s="1">
        <v>13</v>
      </c>
      <c r="F62" s="1">
        <v>22589</v>
      </c>
      <c r="G62" s="1" t="s">
        <v>21</v>
      </c>
      <c r="H62" s="1">
        <v>18</v>
      </c>
      <c r="I62" s="1">
        <v>304</v>
      </c>
      <c r="J62" s="1" t="s">
        <v>113</v>
      </c>
      <c r="K62" s="1" t="s">
        <v>29</v>
      </c>
      <c r="L62" s="1" t="s">
        <v>114</v>
      </c>
      <c r="M62" s="1">
        <v>1</v>
      </c>
      <c r="N62" s="2">
        <v>104.35</v>
      </c>
      <c r="O62" s="3">
        <v>125</v>
      </c>
      <c r="P62" s="1">
        <v>6</v>
      </c>
      <c r="Q62" s="1">
        <v>9</v>
      </c>
      <c r="R62" s="1">
        <v>200010020276</v>
      </c>
      <c r="S62" s="1">
        <v>29</v>
      </c>
      <c r="T62" s="1">
        <v>1</v>
      </c>
      <c r="U62" s="1">
        <v>1</v>
      </c>
      <c r="V62">
        <f t="shared" si="0"/>
        <v>125</v>
      </c>
    </row>
    <row r="63" spans="1:22" ht="13" x14ac:dyDescent="0.15">
      <c r="A63" s="4">
        <v>44774</v>
      </c>
      <c r="B63" s="5">
        <v>0.44123842592592594</v>
      </c>
      <c r="C63" s="1">
        <v>1292</v>
      </c>
      <c r="D63" s="1">
        <v>13002561</v>
      </c>
      <c r="E63" s="1">
        <v>13</v>
      </c>
      <c r="F63" s="1">
        <v>22589</v>
      </c>
      <c r="G63" s="1" t="s">
        <v>21</v>
      </c>
      <c r="H63" s="1">
        <v>18</v>
      </c>
      <c r="I63" s="1">
        <v>443170</v>
      </c>
      <c r="J63" s="1" t="s">
        <v>115</v>
      </c>
      <c r="K63" s="1" t="s">
        <v>51</v>
      </c>
      <c r="L63" s="1" t="s">
        <v>52</v>
      </c>
      <c r="M63" s="1">
        <v>2</v>
      </c>
      <c r="N63" s="2">
        <v>57.11</v>
      </c>
      <c r="O63" s="3">
        <v>90</v>
      </c>
      <c r="P63" s="1">
        <v>18</v>
      </c>
      <c r="Q63" s="1">
        <v>9</v>
      </c>
      <c r="R63" s="1">
        <v>200010020276</v>
      </c>
      <c r="S63" s="1">
        <v>29</v>
      </c>
      <c r="T63" s="1">
        <v>1</v>
      </c>
      <c r="U63" s="1">
        <v>4</v>
      </c>
      <c r="V63">
        <f t="shared" si="0"/>
        <v>180</v>
      </c>
    </row>
    <row r="64" spans="1:22" ht="13" x14ac:dyDescent="0.15">
      <c r="A64" s="4">
        <v>44774</v>
      </c>
      <c r="B64" s="5">
        <v>0.44200231481481483</v>
      </c>
      <c r="C64" s="1">
        <v>1293</v>
      </c>
      <c r="D64" s="1">
        <v>13002561</v>
      </c>
      <c r="E64" s="1">
        <v>13</v>
      </c>
      <c r="F64" s="1">
        <v>22589</v>
      </c>
      <c r="G64" s="1" t="s">
        <v>21</v>
      </c>
      <c r="H64" s="1">
        <v>18</v>
      </c>
      <c r="I64" s="1">
        <v>19646</v>
      </c>
      <c r="J64" s="1" t="s">
        <v>116</v>
      </c>
      <c r="K64" s="1" t="s">
        <v>117</v>
      </c>
      <c r="L64" s="1" t="s">
        <v>118</v>
      </c>
      <c r="M64" s="1">
        <v>1</v>
      </c>
      <c r="N64" s="2">
        <v>88.91</v>
      </c>
      <c r="O64" s="3">
        <v>127</v>
      </c>
      <c r="P64" s="1">
        <v>0</v>
      </c>
      <c r="Q64" s="1" t="s">
        <v>25</v>
      </c>
      <c r="R64" s="1" t="s">
        <v>25</v>
      </c>
      <c r="S64" s="1">
        <v>29</v>
      </c>
      <c r="T64" s="1">
        <v>1</v>
      </c>
      <c r="U64" s="1">
        <v>1</v>
      </c>
      <c r="V64">
        <f t="shared" si="0"/>
        <v>127</v>
      </c>
    </row>
    <row r="65" spans="1:22" ht="13" x14ac:dyDescent="0.15">
      <c r="A65" s="4">
        <v>44774</v>
      </c>
      <c r="B65" s="5">
        <v>0.4432638888888889</v>
      </c>
      <c r="C65" s="1">
        <v>1294</v>
      </c>
      <c r="D65" s="1">
        <v>13002561</v>
      </c>
      <c r="E65" s="1">
        <v>13</v>
      </c>
      <c r="F65" s="1">
        <v>22589</v>
      </c>
      <c r="G65" s="1" t="s">
        <v>21</v>
      </c>
      <c r="H65" s="1">
        <v>18</v>
      </c>
      <c r="I65" s="1">
        <v>105888</v>
      </c>
      <c r="J65" s="1" t="s">
        <v>119</v>
      </c>
      <c r="K65" s="1" t="s">
        <v>117</v>
      </c>
      <c r="L65" s="1" t="s">
        <v>120</v>
      </c>
      <c r="M65" s="1">
        <v>1</v>
      </c>
      <c r="N65" s="2">
        <v>35.770000000000003</v>
      </c>
      <c r="O65" s="3">
        <v>58</v>
      </c>
      <c r="P65" s="1">
        <v>0</v>
      </c>
      <c r="Q65" s="1" t="s">
        <v>25</v>
      </c>
      <c r="R65" s="1" t="s">
        <v>25</v>
      </c>
      <c r="S65" s="1">
        <v>29</v>
      </c>
      <c r="T65" s="1">
        <v>1</v>
      </c>
      <c r="U65" s="1">
        <v>1</v>
      </c>
      <c r="V65">
        <f t="shared" si="0"/>
        <v>58</v>
      </c>
    </row>
    <row r="66" spans="1:22" ht="13" x14ac:dyDescent="0.15">
      <c r="A66" s="4">
        <v>44774</v>
      </c>
      <c r="B66" s="5">
        <v>0.57680555555555557</v>
      </c>
      <c r="C66" s="1">
        <v>1348</v>
      </c>
      <c r="D66" s="1">
        <v>13002561</v>
      </c>
      <c r="E66" s="1">
        <v>13</v>
      </c>
      <c r="F66" s="1">
        <v>22589</v>
      </c>
      <c r="G66" s="1" t="s">
        <v>21</v>
      </c>
      <c r="H66" s="1">
        <v>15</v>
      </c>
      <c r="I66" s="1">
        <v>105888</v>
      </c>
      <c r="J66" s="1" t="s">
        <v>119</v>
      </c>
      <c r="K66" s="1" t="s">
        <v>117</v>
      </c>
      <c r="L66" s="1" t="s">
        <v>120</v>
      </c>
      <c r="M66" s="1">
        <v>1</v>
      </c>
      <c r="N66" s="2">
        <v>35.770000000000003</v>
      </c>
      <c r="O66" s="3">
        <v>58</v>
      </c>
      <c r="P66" s="1">
        <v>5</v>
      </c>
      <c r="Q66" s="1">
        <v>9</v>
      </c>
      <c r="R66" s="1">
        <v>200010021953</v>
      </c>
      <c r="S66" s="1">
        <v>29</v>
      </c>
      <c r="T66" s="1">
        <v>1</v>
      </c>
      <c r="U66" s="1">
        <v>1</v>
      </c>
      <c r="V66">
        <f t="shared" si="0"/>
        <v>58</v>
      </c>
    </row>
    <row r="67" spans="1:22" ht="13" x14ac:dyDescent="0.15">
      <c r="A67" s="4">
        <v>44774</v>
      </c>
      <c r="B67" s="5">
        <v>0.4432638888888889</v>
      </c>
      <c r="C67" s="1">
        <v>1294</v>
      </c>
      <c r="D67" s="1">
        <v>13002561</v>
      </c>
      <c r="E67" s="1">
        <v>13</v>
      </c>
      <c r="F67" s="1">
        <v>22589</v>
      </c>
      <c r="G67" s="1" t="s">
        <v>21</v>
      </c>
      <c r="H67" s="1">
        <v>18</v>
      </c>
      <c r="I67" s="1">
        <v>345578</v>
      </c>
      <c r="J67" s="1" t="s">
        <v>121</v>
      </c>
      <c r="K67" s="1" t="s">
        <v>51</v>
      </c>
      <c r="L67" s="1" t="s">
        <v>76</v>
      </c>
      <c r="M67" s="1">
        <v>1</v>
      </c>
      <c r="N67" s="2">
        <v>20.61</v>
      </c>
      <c r="O67" s="3">
        <v>25</v>
      </c>
      <c r="P67" s="1">
        <v>0</v>
      </c>
      <c r="Q67" s="1" t="s">
        <v>25</v>
      </c>
      <c r="R67" s="1" t="s">
        <v>25</v>
      </c>
      <c r="S67" s="1">
        <v>29</v>
      </c>
      <c r="T67" s="1">
        <v>1</v>
      </c>
      <c r="U67" s="1">
        <v>2</v>
      </c>
      <c r="V67">
        <f t="shared" ref="V67:V130" si="1">O67*M67</f>
        <v>25</v>
      </c>
    </row>
    <row r="68" spans="1:22" ht="13" x14ac:dyDescent="0.15">
      <c r="A68" s="4">
        <v>44774</v>
      </c>
      <c r="B68" s="5">
        <v>0.79040509259259262</v>
      </c>
      <c r="C68" s="1">
        <v>1405</v>
      </c>
      <c r="D68" s="1">
        <v>13002561</v>
      </c>
      <c r="E68" s="1">
        <v>13</v>
      </c>
      <c r="F68" s="1">
        <v>22589</v>
      </c>
      <c r="G68" s="1" t="s">
        <v>21</v>
      </c>
      <c r="H68" s="1">
        <v>18</v>
      </c>
      <c r="I68" s="1">
        <v>345578</v>
      </c>
      <c r="J68" s="1" t="s">
        <v>121</v>
      </c>
      <c r="K68" s="1" t="s">
        <v>51</v>
      </c>
      <c r="L68" s="1" t="s">
        <v>76</v>
      </c>
      <c r="M68" s="1">
        <v>1</v>
      </c>
      <c r="N68" s="2">
        <v>20.61</v>
      </c>
      <c r="O68" s="3">
        <v>25</v>
      </c>
      <c r="P68" s="1">
        <v>0</v>
      </c>
      <c r="Q68" s="1" t="s">
        <v>25</v>
      </c>
      <c r="R68" s="1" t="s">
        <v>25</v>
      </c>
      <c r="S68" s="1">
        <v>29</v>
      </c>
      <c r="T68" s="1">
        <v>1</v>
      </c>
      <c r="U68" s="1">
        <v>7</v>
      </c>
      <c r="V68">
        <f t="shared" si="1"/>
        <v>25</v>
      </c>
    </row>
    <row r="69" spans="1:22" ht="13" x14ac:dyDescent="0.15">
      <c r="A69" s="4">
        <v>44774</v>
      </c>
      <c r="B69" s="5">
        <v>0.4432638888888889</v>
      </c>
      <c r="C69" s="1">
        <v>1294</v>
      </c>
      <c r="D69" s="1">
        <v>13002561</v>
      </c>
      <c r="E69" s="1">
        <v>13</v>
      </c>
      <c r="F69" s="1">
        <v>22589</v>
      </c>
      <c r="G69" s="1" t="s">
        <v>21</v>
      </c>
      <c r="H69" s="1">
        <v>18</v>
      </c>
      <c r="I69" s="1">
        <v>338912</v>
      </c>
      <c r="J69" s="1" t="s">
        <v>122</v>
      </c>
      <c r="K69" s="1" t="s">
        <v>61</v>
      </c>
      <c r="L69" s="1" t="s">
        <v>123</v>
      </c>
      <c r="M69" s="1">
        <v>1</v>
      </c>
      <c r="N69" s="2">
        <v>37.950000000000003</v>
      </c>
      <c r="O69" s="3">
        <v>47.04</v>
      </c>
      <c r="P69" s="1">
        <v>0</v>
      </c>
      <c r="Q69" s="1" t="s">
        <v>25</v>
      </c>
      <c r="R69" s="1" t="s">
        <v>25</v>
      </c>
      <c r="S69" s="1">
        <v>29</v>
      </c>
      <c r="T69" s="1">
        <v>1</v>
      </c>
      <c r="U69" s="1">
        <v>4</v>
      </c>
      <c r="V69">
        <f t="shared" si="1"/>
        <v>47.04</v>
      </c>
    </row>
    <row r="70" spans="1:22" ht="13" x14ac:dyDescent="0.15">
      <c r="A70" s="4">
        <v>44774</v>
      </c>
      <c r="B70" s="5">
        <v>0.44415509259259262</v>
      </c>
      <c r="C70" s="1">
        <v>1295</v>
      </c>
      <c r="D70" s="1">
        <v>13002561</v>
      </c>
      <c r="E70" s="1">
        <v>13</v>
      </c>
      <c r="F70" s="1">
        <v>22589</v>
      </c>
      <c r="G70" s="1" t="s">
        <v>21</v>
      </c>
      <c r="H70" s="1">
        <v>15</v>
      </c>
      <c r="I70" s="1">
        <v>157466</v>
      </c>
      <c r="J70" s="1" t="s">
        <v>124</v>
      </c>
      <c r="K70" s="1" t="s">
        <v>29</v>
      </c>
      <c r="L70" s="1" t="s">
        <v>125</v>
      </c>
      <c r="M70" s="1">
        <v>1</v>
      </c>
      <c r="N70" s="2">
        <v>169.99</v>
      </c>
      <c r="O70" s="3">
        <v>233</v>
      </c>
      <c r="P70" s="1">
        <v>16</v>
      </c>
      <c r="Q70" s="1">
        <v>9</v>
      </c>
      <c r="R70" s="1">
        <v>200010013040</v>
      </c>
      <c r="S70" s="1">
        <v>29</v>
      </c>
      <c r="T70" s="1">
        <v>1</v>
      </c>
      <c r="U70" s="1">
        <v>1</v>
      </c>
      <c r="V70">
        <f t="shared" si="1"/>
        <v>233</v>
      </c>
    </row>
    <row r="71" spans="1:22" ht="13" x14ac:dyDescent="0.15">
      <c r="A71" s="4">
        <v>44774</v>
      </c>
      <c r="B71" s="5">
        <v>0.44601851851851854</v>
      </c>
      <c r="C71" s="1">
        <v>1296</v>
      </c>
      <c r="D71" s="1">
        <v>13002561</v>
      </c>
      <c r="E71" s="1">
        <v>13</v>
      </c>
      <c r="F71" s="1">
        <v>22589</v>
      </c>
      <c r="G71" s="1" t="s">
        <v>21</v>
      </c>
      <c r="H71" s="1">
        <v>15</v>
      </c>
      <c r="I71" s="1">
        <v>74670</v>
      </c>
      <c r="J71" s="1" t="s">
        <v>126</v>
      </c>
      <c r="K71" s="1" t="s">
        <v>84</v>
      </c>
      <c r="L71" s="1" t="s">
        <v>127</v>
      </c>
      <c r="M71" s="1">
        <v>1</v>
      </c>
      <c r="N71" s="2">
        <v>93.55</v>
      </c>
      <c r="O71" s="3">
        <v>133</v>
      </c>
      <c r="P71" s="1">
        <v>9</v>
      </c>
      <c r="Q71" s="1">
        <v>9</v>
      </c>
      <c r="R71" s="1">
        <v>200010007414</v>
      </c>
      <c r="S71" s="1">
        <v>29</v>
      </c>
      <c r="T71" s="1">
        <v>1</v>
      </c>
      <c r="U71" s="1">
        <v>4</v>
      </c>
      <c r="V71">
        <f t="shared" si="1"/>
        <v>133</v>
      </c>
    </row>
    <row r="72" spans="1:22" ht="13" x14ac:dyDescent="0.15">
      <c r="A72" s="4">
        <v>44774</v>
      </c>
      <c r="B72" s="5">
        <v>0.44601851851851854</v>
      </c>
      <c r="C72" s="1">
        <v>1296</v>
      </c>
      <c r="D72" s="1">
        <v>13002561</v>
      </c>
      <c r="E72" s="1">
        <v>13</v>
      </c>
      <c r="F72" s="1">
        <v>22589</v>
      </c>
      <c r="G72" s="1" t="s">
        <v>21</v>
      </c>
      <c r="H72" s="1">
        <v>15</v>
      </c>
      <c r="I72" s="1">
        <v>468466</v>
      </c>
      <c r="J72" s="1" t="s">
        <v>128</v>
      </c>
      <c r="K72" s="1" t="s">
        <v>51</v>
      </c>
      <c r="L72" s="1" t="s">
        <v>129</v>
      </c>
      <c r="M72" s="1">
        <v>1</v>
      </c>
      <c r="N72" s="2">
        <v>666.45</v>
      </c>
      <c r="O72" s="3">
        <v>739</v>
      </c>
      <c r="P72" s="1">
        <v>22</v>
      </c>
      <c r="Q72" s="1">
        <v>9</v>
      </c>
      <c r="R72" s="1">
        <v>200010007414</v>
      </c>
      <c r="S72" s="1">
        <v>29</v>
      </c>
      <c r="T72" s="1">
        <v>1</v>
      </c>
      <c r="U72" s="1">
        <v>2</v>
      </c>
      <c r="V72">
        <f t="shared" si="1"/>
        <v>739</v>
      </c>
    </row>
    <row r="73" spans="1:22" ht="13" x14ac:dyDescent="0.15">
      <c r="A73" s="4">
        <v>44774</v>
      </c>
      <c r="B73" s="5">
        <v>0.44601851851851854</v>
      </c>
      <c r="C73" s="1">
        <v>1296</v>
      </c>
      <c r="D73" s="1">
        <v>13002561</v>
      </c>
      <c r="E73" s="1">
        <v>13</v>
      </c>
      <c r="F73" s="1">
        <v>22589</v>
      </c>
      <c r="G73" s="1" t="s">
        <v>21</v>
      </c>
      <c r="H73" s="1">
        <v>15</v>
      </c>
      <c r="I73" s="1">
        <v>167293</v>
      </c>
      <c r="J73" s="1" t="s">
        <v>130</v>
      </c>
      <c r="K73" s="1" t="s">
        <v>23</v>
      </c>
      <c r="L73" s="1" t="s">
        <v>131</v>
      </c>
      <c r="M73" s="1">
        <v>1</v>
      </c>
      <c r="N73" s="2">
        <v>360.47</v>
      </c>
      <c r="O73" s="3">
        <v>476</v>
      </c>
      <c r="P73" s="1">
        <v>33</v>
      </c>
      <c r="Q73" s="1">
        <v>9</v>
      </c>
      <c r="R73" s="1">
        <v>200010007414</v>
      </c>
      <c r="S73" s="1">
        <v>29</v>
      </c>
      <c r="T73" s="1">
        <v>1</v>
      </c>
      <c r="U73" s="1">
        <v>1</v>
      </c>
      <c r="V73">
        <f t="shared" si="1"/>
        <v>476</v>
      </c>
    </row>
    <row r="74" spans="1:22" ht="13" x14ac:dyDescent="0.15">
      <c r="A74" s="4">
        <v>44774</v>
      </c>
      <c r="B74" s="5">
        <v>0.44601851851851854</v>
      </c>
      <c r="C74" s="1">
        <v>1296</v>
      </c>
      <c r="D74" s="1">
        <v>13002561</v>
      </c>
      <c r="E74" s="1">
        <v>13</v>
      </c>
      <c r="F74" s="1">
        <v>22589</v>
      </c>
      <c r="G74" s="1" t="s">
        <v>21</v>
      </c>
      <c r="H74" s="1">
        <v>15</v>
      </c>
      <c r="I74" s="1">
        <v>954</v>
      </c>
      <c r="J74" s="1" t="s">
        <v>132</v>
      </c>
      <c r="K74" s="1" t="s">
        <v>45</v>
      </c>
      <c r="L74" s="1" t="s">
        <v>133</v>
      </c>
      <c r="M74" s="1">
        <v>1</v>
      </c>
      <c r="N74" s="2">
        <v>206.7</v>
      </c>
      <c r="O74" s="3">
        <v>280</v>
      </c>
      <c r="P74" s="1">
        <v>19</v>
      </c>
      <c r="Q74" s="1">
        <v>9</v>
      </c>
      <c r="R74" s="1">
        <v>200010007414</v>
      </c>
      <c r="S74" s="1">
        <v>29</v>
      </c>
      <c r="T74" s="1">
        <v>1</v>
      </c>
      <c r="U74" s="1">
        <v>3</v>
      </c>
      <c r="V74">
        <f t="shared" si="1"/>
        <v>280</v>
      </c>
    </row>
    <row r="75" spans="1:22" ht="13" x14ac:dyDescent="0.15">
      <c r="A75" s="4">
        <v>44774</v>
      </c>
      <c r="B75" s="5">
        <v>0.44861111111111113</v>
      </c>
      <c r="C75" s="1">
        <v>1297</v>
      </c>
      <c r="D75" s="1">
        <v>13002561</v>
      </c>
      <c r="E75" s="1">
        <v>13</v>
      </c>
      <c r="F75" s="1">
        <v>22589</v>
      </c>
      <c r="G75" s="1" t="s">
        <v>21</v>
      </c>
      <c r="H75" s="1">
        <v>15</v>
      </c>
      <c r="I75" s="1">
        <v>8529</v>
      </c>
      <c r="J75" s="1" t="s">
        <v>134</v>
      </c>
      <c r="K75" s="1" t="s">
        <v>23</v>
      </c>
      <c r="L75" s="1" t="s">
        <v>135</v>
      </c>
      <c r="M75" s="1">
        <v>1</v>
      </c>
      <c r="N75" s="2">
        <v>299.66000000000003</v>
      </c>
      <c r="O75" s="3">
        <v>405</v>
      </c>
      <c r="P75" s="1">
        <v>0</v>
      </c>
      <c r="Q75" s="1" t="s">
        <v>25</v>
      </c>
      <c r="R75" s="1" t="s">
        <v>25</v>
      </c>
      <c r="S75" s="1">
        <v>29</v>
      </c>
      <c r="T75" s="1">
        <v>1</v>
      </c>
      <c r="U75" s="1">
        <v>5</v>
      </c>
      <c r="V75">
        <f t="shared" si="1"/>
        <v>405</v>
      </c>
    </row>
    <row r="76" spans="1:22" ht="13" x14ac:dyDescent="0.15">
      <c r="A76" s="4">
        <v>44774</v>
      </c>
      <c r="B76" s="5">
        <v>0.44861111111111113</v>
      </c>
      <c r="C76" s="1">
        <v>1297</v>
      </c>
      <c r="D76" s="1">
        <v>13002561</v>
      </c>
      <c r="E76" s="1">
        <v>13</v>
      </c>
      <c r="F76" s="1">
        <v>22589</v>
      </c>
      <c r="G76" s="1" t="s">
        <v>21</v>
      </c>
      <c r="H76" s="1">
        <v>15</v>
      </c>
      <c r="I76" s="1">
        <v>4735</v>
      </c>
      <c r="J76" s="1" t="s">
        <v>136</v>
      </c>
      <c r="K76" s="1" t="s">
        <v>23</v>
      </c>
      <c r="L76" s="1" t="s">
        <v>137</v>
      </c>
      <c r="M76" s="1">
        <v>1</v>
      </c>
      <c r="N76" s="2">
        <v>311.77999999999997</v>
      </c>
      <c r="O76" s="3">
        <v>370</v>
      </c>
      <c r="P76" s="1">
        <v>0</v>
      </c>
      <c r="Q76" s="1" t="s">
        <v>25</v>
      </c>
      <c r="R76" s="1" t="s">
        <v>25</v>
      </c>
      <c r="S76" s="1">
        <v>29</v>
      </c>
      <c r="T76" s="1">
        <v>1</v>
      </c>
      <c r="U76" s="1">
        <v>6</v>
      </c>
      <c r="V76">
        <f t="shared" si="1"/>
        <v>370</v>
      </c>
    </row>
    <row r="77" spans="1:22" ht="13" x14ac:dyDescent="0.15">
      <c r="A77" s="4">
        <v>44774</v>
      </c>
      <c r="B77" s="5">
        <v>0.44861111111111113</v>
      </c>
      <c r="C77" s="1">
        <v>1297</v>
      </c>
      <c r="D77" s="1">
        <v>13002561</v>
      </c>
      <c r="E77" s="1">
        <v>13</v>
      </c>
      <c r="F77" s="1">
        <v>22589</v>
      </c>
      <c r="G77" s="1" t="s">
        <v>21</v>
      </c>
      <c r="H77" s="1">
        <v>15</v>
      </c>
      <c r="I77" s="1">
        <v>512333</v>
      </c>
      <c r="J77" s="1" t="s">
        <v>138</v>
      </c>
      <c r="K77" s="1" t="s">
        <v>61</v>
      </c>
      <c r="L77" s="1" t="s">
        <v>139</v>
      </c>
      <c r="M77" s="1">
        <v>1</v>
      </c>
      <c r="N77" s="2">
        <v>115.28</v>
      </c>
      <c r="O77" s="3">
        <v>158</v>
      </c>
      <c r="P77" s="1">
        <v>0</v>
      </c>
      <c r="Q77" s="1" t="s">
        <v>25</v>
      </c>
      <c r="R77" s="1" t="s">
        <v>25</v>
      </c>
      <c r="S77" s="1">
        <v>29</v>
      </c>
      <c r="T77" s="1">
        <v>1</v>
      </c>
      <c r="U77" s="1">
        <v>1</v>
      </c>
      <c r="V77">
        <f t="shared" si="1"/>
        <v>158</v>
      </c>
    </row>
    <row r="78" spans="1:22" ht="13" x14ac:dyDescent="0.15">
      <c r="A78" s="4">
        <v>44774</v>
      </c>
      <c r="B78" s="5">
        <v>0.44861111111111113</v>
      </c>
      <c r="C78" s="1">
        <v>1297</v>
      </c>
      <c r="D78" s="1">
        <v>13002561</v>
      </c>
      <c r="E78" s="1">
        <v>13</v>
      </c>
      <c r="F78" s="1">
        <v>22589</v>
      </c>
      <c r="G78" s="1" t="s">
        <v>21</v>
      </c>
      <c r="H78" s="1">
        <v>15</v>
      </c>
      <c r="I78" s="1">
        <v>292820</v>
      </c>
      <c r="J78" s="1" t="s">
        <v>140</v>
      </c>
      <c r="K78" s="1" t="s">
        <v>141</v>
      </c>
      <c r="L78" s="1" t="s">
        <v>142</v>
      </c>
      <c r="M78" s="1">
        <v>1</v>
      </c>
      <c r="N78" s="2">
        <v>23.04</v>
      </c>
      <c r="O78" s="3">
        <v>38</v>
      </c>
      <c r="P78" s="1">
        <v>0</v>
      </c>
      <c r="Q78" s="1" t="s">
        <v>25</v>
      </c>
      <c r="R78" s="1" t="s">
        <v>25</v>
      </c>
      <c r="S78" s="1">
        <v>29</v>
      </c>
      <c r="T78" s="1">
        <v>1</v>
      </c>
      <c r="U78" s="1">
        <v>2</v>
      </c>
      <c r="V78">
        <f t="shared" si="1"/>
        <v>38</v>
      </c>
    </row>
    <row r="79" spans="1:22" ht="13" x14ac:dyDescent="0.15">
      <c r="A79" s="4">
        <v>44774</v>
      </c>
      <c r="B79" s="5">
        <v>0.44861111111111113</v>
      </c>
      <c r="C79" s="1">
        <v>1297</v>
      </c>
      <c r="D79" s="1">
        <v>13002561</v>
      </c>
      <c r="E79" s="1">
        <v>13</v>
      </c>
      <c r="F79" s="1">
        <v>22589</v>
      </c>
      <c r="G79" s="1" t="s">
        <v>21</v>
      </c>
      <c r="H79" s="1">
        <v>15</v>
      </c>
      <c r="I79" s="1">
        <v>1504331</v>
      </c>
      <c r="J79" s="1" t="s">
        <v>143</v>
      </c>
      <c r="K79" s="1" t="s">
        <v>144</v>
      </c>
      <c r="L79" s="1" t="s">
        <v>142</v>
      </c>
      <c r="M79" s="1">
        <v>1</v>
      </c>
      <c r="N79" s="2">
        <v>0.01</v>
      </c>
      <c r="O79" s="3">
        <v>0.01</v>
      </c>
      <c r="P79" s="1">
        <v>0</v>
      </c>
      <c r="Q79" s="1" t="s">
        <v>25</v>
      </c>
      <c r="R79" s="1" t="s">
        <v>25</v>
      </c>
      <c r="S79" s="1">
        <v>29</v>
      </c>
      <c r="T79" s="1">
        <v>1</v>
      </c>
      <c r="U79" s="1">
        <v>3</v>
      </c>
      <c r="V79">
        <f t="shared" si="1"/>
        <v>0.01</v>
      </c>
    </row>
    <row r="80" spans="1:22" ht="13" x14ac:dyDescent="0.15">
      <c r="A80" s="4">
        <v>44774</v>
      </c>
      <c r="B80" s="5">
        <v>0.48900462962962965</v>
      </c>
      <c r="C80" s="1">
        <v>1312</v>
      </c>
      <c r="D80" s="1">
        <v>13002561</v>
      </c>
      <c r="E80" s="1">
        <v>13</v>
      </c>
      <c r="F80" s="1">
        <v>22589</v>
      </c>
      <c r="G80" s="1" t="s">
        <v>21</v>
      </c>
      <c r="H80" s="1">
        <v>18</v>
      </c>
      <c r="I80" s="1">
        <v>1504331</v>
      </c>
      <c r="J80" s="1" t="s">
        <v>143</v>
      </c>
      <c r="K80" s="1" t="s">
        <v>144</v>
      </c>
      <c r="L80" s="1" t="s">
        <v>142</v>
      </c>
      <c r="M80" s="1">
        <v>1</v>
      </c>
      <c r="N80" s="2">
        <v>0.01</v>
      </c>
      <c r="O80" s="3">
        <v>0.01</v>
      </c>
      <c r="P80" s="1">
        <v>0</v>
      </c>
      <c r="Q80" s="1" t="s">
        <v>25</v>
      </c>
      <c r="R80" s="1" t="s">
        <v>25</v>
      </c>
      <c r="S80" s="1">
        <v>29</v>
      </c>
      <c r="T80" s="1">
        <v>1</v>
      </c>
      <c r="U80" s="1">
        <v>2</v>
      </c>
      <c r="V80">
        <f t="shared" si="1"/>
        <v>0.01</v>
      </c>
    </row>
    <row r="81" spans="1:22" ht="13" x14ac:dyDescent="0.15">
      <c r="A81" s="4">
        <v>44774</v>
      </c>
      <c r="B81" s="5">
        <v>0.7457407407407407</v>
      </c>
      <c r="C81" s="1">
        <v>1394</v>
      </c>
      <c r="D81" s="1">
        <v>13002561</v>
      </c>
      <c r="E81" s="1">
        <v>13</v>
      </c>
      <c r="F81" s="1">
        <v>22589</v>
      </c>
      <c r="G81" s="1" t="s">
        <v>21</v>
      </c>
      <c r="H81" s="1">
        <v>18</v>
      </c>
      <c r="I81" s="1">
        <v>1504331</v>
      </c>
      <c r="J81" s="1" t="s">
        <v>143</v>
      </c>
      <c r="K81" s="1" t="s">
        <v>144</v>
      </c>
      <c r="L81" s="1" t="s">
        <v>142</v>
      </c>
      <c r="M81" s="1">
        <v>1</v>
      </c>
      <c r="N81" s="2">
        <v>0.01</v>
      </c>
      <c r="O81" s="3">
        <v>0.01</v>
      </c>
      <c r="P81" s="1">
        <v>0</v>
      </c>
      <c r="Q81" s="1" t="s">
        <v>25</v>
      </c>
      <c r="R81" s="1" t="s">
        <v>25</v>
      </c>
      <c r="S81" s="1">
        <v>29</v>
      </c>
      <c r="T81" s="1">
        <v>1</v>
      </c>
      <c r="U81" s="1">
        <v>1</v>
      </c>
      <c r="V81">
        <f t="shared" si="1"/>
        <v>0.01</v>
      </c>
    </row>
    <row r="82" spans="1:22" ht="13" x14ac:dyDescent="0.15">
      <c r="A82" s="4">
        <v>44774</v>
      </c>
      <c r="B82" s="5">
        <v>0.45111111111111113</v>
      </c>
      <c r="C82" s="1">
        <v>1298</v>
      </c>
      <c r="D82" s="1">
        <v>13002561</v>
      </c>
      <c r="E82" s="1">
        <v>13</v>
      </c>
      <c r="F82" s="1">
        <v>22589</v>
      </c>
      <c r="G82" s="1" t="s">
        <v>21</v>
      </c>
      <c r="H82" s="1">
        <v>18</v>
      </c>
      <c r="I82" s="1">
        <v>54354</v>
      </c>
      <c r="J82" s="1" t="s">
        <v>145</v>
      </c>
      <c r="K82" s="1" t="s">
        <v>34</v>
      </c>
      <c r="L82" s="1" t="s">
        <v>146</v>
      </c>
      <c r="M82" s="1">
        <v>1</v>
      </c>
      <c r="N82" s="2">
        <v>134.66</v>
      </c>
      <c r="O82" s="3">
        <v>160</v>
      </c>
      <c r="P82" s="1">
        <v>0</v>
      </c>
      <c r="Q82" s="1" t="s">
        <v>25</v>
      </c>
      <c r="R82" s="1" t="s">
        <v>25</v>
      </c>
      <c r="S82" s="1">
        <v>29</v>
      </c>
      <c r="T82" s="1">
        <v>1</v>
      </c>
      <c r="U82" s="1">
        <v>1</v>
      </c>
      <c r="V82">
        <f t="shared" si="1"/>
        <v>160</v>
      </c>
    </row>
    <row r="83" spans="1:22" ht="13" x14ac:dyDescent="0.15">
      <c r="A83" s="4">
        <v>44774</v>
      </c>
      <c r="B83" s="5">
        <v>0.45111111111111113</v>
      </c>
      <c r="C83" s="1">
        <v>1298</v>
      </c>
      <c r="D83" s="1">
        <v>13002561</v>
      </c>
      <c r="E83" s="1">
        <v>13</v>
      </c>
      <c r="F83" s="1">
        <v>22589</v>
      </c>
      <c r="G83" s="1" t="s">
        <v>21</v>
      </c>
      <c r="H83" s="1">
        <v>18</v>
      </c>
      <c r="I83" s="1">
        <v>100086</v>
      </c>
      <c r="J83" s="1" t="s">
        <v>147</v>
      </c>
      <c r="K83" s="1" t="s">
        <v>51</v>
      </c>
      <c r="L83" s="1" t="s">
        <v>148</v>
      </c>
      <c r="M83" s="1">
        <v>1</v>
      </c>
      <c r="N83" s="2">
        <v>198.75</v>
      </c>
      <c r="O83" s="3">
        <v>249</v>
      </c>
      <c r="P83" s="1">
        <v>0</v>
      </c>
      <c r="Q83" s="1" t="s">
        <v>25</v>
      </c>
      <c r="R83" s="1" t="s">
        <v>25</v>
      </c>
      <c r="S83" s="1">
        <v>29</v>
      </c>
      <c r="T83" s="1">
        <v>1</v>
      </c>
      <c r="U83" s="1">
        <v>2</v>
      </c>
      <c r="V83">
        <f t="shared" si="1"/>
        <v>249</v>
      </c>
    </row>
    <row r="84" spans="1:22" ht="13" x14ac:dyDescent="0.15">
      <c r="A84" s="4">
        <v>44774</v>
      </c>
      <c r="B84" s="5">
        <v>0.45111111111111113</v>
      </c>
      <c r="C84" s="1">
        <v>1298</v>
      </c>
      <c r="D84" s="1">
        <v>13002561</v>
      </c>
      <c r="E84" s="1">
        <v>13</v>
      </c>
      <c r="F84" s="1">
        <v>22589</v>
      </c>
      <c r="G84" s="1" t="s">
        <v>21</v>
      </c>
      <c r="H84" s="1">
        <v>18</v>
      </c>
      <c r="I84" s="1">
        <v>46046</v>
      </c>
      <c r="J84" s="1" t="s">
        <v>149</v>
      </c>
      <c r="K84" s="1" t="s">
        <v>48</v>
      </c>
      <c r="L84" s="1" t="s">
        <v>118</v>
      </c>
      <c r="M84" s="1">
        <v>1</v>
      </c>
      <c r="N84" s="2">
        <v>71.849999999999994</v>
      </c>
      <c r="O84" s="3">
        <v>103</v>
      </c>
      <c r="P84" s="1">
        <v>0</v>
      </c>
      <c r="Q84" s="1" t="s">
        <v>25</v>
      </c>
      <c r="R84" s="1" t="s">
        <v>25</v>
      </c>
      <c r="S84" s="1">
        <v>29</v>
      </c>
      <c r="T84" s="1">
        <v>1</v>
      </c>
      <c r="U84" s="1">
        <v>5</v>
      </c>
      <c r="V84">
        <f t="shared" si="1"/>
        <v>103</v>
      </c>
    </row>
    <row r="85" spans="1:22" ht="13" x14ac:dyDescent="0.15">
      <c r="A85" s="4">
        <v>44774</v>
      </c>
      <c r="B85" s="5">
        <v>0.57680555555555557</v>
      </c>
      <c r="C85" s="1">
        <v>1348</v>
      </c>
      <c r="D85" s="1">
        <v>13002561</v>
      </c>
      <c r="E85" s="1">
        <v>13</v>
      </c>
      <c r="F85" s="1">
        <v>22589</v>
      </c>
      <c r="G85" s="1" t="s">
        <v>21</v>
      </c>
      <c r="H85" s="1">
        <v>15</v>
      </c>
      <c r="I85" s="1">
        <v>46046</v>
      </c>
      <c r="J85" s="1" t="s">
        <v>149</v>
      </c>
      <c r="K85" s="1" t="s">
        <v>48</v>
      </c>
      <c r="L85" s="1" t="s">
        <v>118</v>
      </c>
      <c r="M85" s="1">
        <v>1</v>
      </c>
      <c r="N85" s="2">
        <v>71.849999999999994</v>
      </c>
      <c r="O85" s="3">
        <v>103</v>
      </c>
      <c r="P85" s="1">
        <v>7</v>
      </c>
      <c r="Q85" s="1">
        <v>9</v>
      </c>
      <c r="R85" s="1">
        <v>200010021953</v>
      </c>
      <c r="S85" s="1">
        <v>29</v>
      </c>
      <c r="T85" s="1">
        <v>1</v>
      </c>
      <c r="U85" s="1">
        <v>6</v>
      </c>
      <c r="V85">
        <f t="shared" si="1"/>
        <v>103</v>
      </c>
    </row>
    <row r="86" spans="1:22" ht="13" x14ac:dyDescent="0.15">
      <c r="A86" s="4">
        <v>44774</v>
      </c>
      <c r="B86" s="5">
        <v>0.45111111111111113</v>
      </c>
      <c r="C86" s="1">
        <v>1298</v>
      </c>
      <c r="D86" s="1">
        <v>13002561</v>
      </c>
      <c r="E86" s="1">
        <v>13</v>
      </c>
      <c r="F86" s="1">
        <v>22589</v>
      </c>
      <c r="G86" s="1" t="s">
        <v>21</v>
      </c>
      <c r="H86" s="1">
        <v>18</v>
      </c>
      <c r="I86" s="1">
        <v>41241</v>
      </c>
      <c r="J86" s="1" t="s">
        <v>150</v>
      </c>
      <c r="K86" s="1" t="s">
        <v>34</v>
      </c>
      <c r="L86" s="1" t="s">
        <v>151</v>
      </c>
      <c r="M86" s="1">
        <v>1</v>
      </c>
      <c r="N86" s="2">
        <v>99.97</v>
      </c>
      <c r="O86" s="3">
        <v>121.72</v>
      </c>
      <c r="P86" s="1">
        <v>0</v>
      </c>
      <c r="Q86" s="1" t="s">
        <v>25</v>
      </c>
      <c r="R86" s="1" t="s">
        <v>25</v>
      </c>
      <c r="S86" s="1">
        <v>29</v>
      </c>
      <c r="T86" s="1">
        <v>2</v>
      </c>
      <c r="U86" s="1">
        <v>3</v>
      </c>
      <c r="V86">
        <f t="shared" si="1"/>
        <v>121.72</v>
      </c>
    </row>
    <row r="87" spans="1:22" ht="13" x14ac:dyDescent="0.15">
      <c r="A87" s="4">
        <v>44774</v>
      </c>
      <c r="B87" s="5">
        <v>0.45239583333333333</v>
      </c>
      <c r="C87" s="1">
        <v>1299</v>
      </c>
      <c r="D87" s="1">
        <v>13002561</v>
      </c>
      <c r="E87" s="1">
        <v>13</v>
      </c>
      <c r="F87" s="1">
        <v>22589</v>
      </c>
      <c r="G87" s="1" t="s">
        <v>21</v>
      </c>
      <c r="H87" s="1">
        <v>18</v>
      </c>
      <c r="I87" s="1">
        <v>16407</v>
      </c>
      <c r="J87" s="1" t="s">
        <v>152</v>
      </c>
      <c r="K87" s="1" t="s">
        <v>51</v>
      </c>
      <c r="L87" s="1" t="s">
        <v>153</v>
      </c>
      <c r="M87" s="1">
        <v>1</v>
      </c>
      <c r="N87" s="2">
        <v>135.54</v>
      </c>
      <c r="O87" s="3">
        <v>211</v>
      </c>
      <c r="P87" s="1">
        <v>21</v>
      </c>
      <c r="Q87" s="1">
        <v>9</v>
      </c>
      <c r="R87" s="1">
        <v>200010023919</v>
      </c>
      <c r="S87" s="1">
        <v>29</v>
      </c>
      <c r="T87" s="1">
        <v>1</v>
      </c>
      <c r="U87" s="1">
        <v>4</v>
      </c>
      <c r="V87">
        <f t="shared" si="1"/>
        <v>211</v>
      </c>
    </row>
    <row r="88" spans="1:22" ht="13" x14ac:dyDescent="0.15">
      <c r="A88" s="4">
        <v>44774</v>
      </c>
      <c r="B88" s="5">
        <v>0.45239583333333333</v>
      </c>
      <c r="C88" s="1">
        <v>1299</v>
      </c>
      <c r="D88" s="1">
        <v>13002561</v>
      </c>
      <c r="E88" s="1">
        <v>13</v>
      </c>
      <c r="F88" s="1">
        <v>22589</v>
      </c>
      <c r="G88" s="1" t="s">
        <v>21</v>
      </c>
      <c r="H88" s="1">
        <v>18</v>
      </c>
      <c r="I88" s="1">
        <v>26351</v>
      </c>
      <c r="J88" s="1" t="s">
        <v>154</v>
      </c>
      <c r="K88" s="1" t="s">
        <v>34</v>
      </c>
      <c r="L88" s="1" t="s">
        <v>155</v>
      </c>
      <c r="M88" s="1">
        <v>1</v>
      </c>
      <c r="N88" s="2">
        <v>75.81</v>
      </c>
      <c r="O88" s="3">
        <v>120</v>
      </c>
      <c r="P88" s="1">
        <v>12</v>
      </c>
      <c r="Q88" s="1">
        <v>9</v>
      </c>
      <c r="R88" s="1">
        <v>200010023919</v>
      </c>
      <c r="S88" s="1">
        <v>29</v>
      </c>
      <c r="T88" s="1">
        <v>1</v>
      </c>
      <c r="U88" s="1">
        <v>1</v>
      </c>
      <c r="V88">
        <f t="shared" si="1"/>
        <v>120</v>
      </c>
    </row>
    <row r="89" spans="1:22" ht="13" x14ac:dyDescent="0.15">
      <c r="A89" s="4">
        <v>44774</v>
      </c>
      <c r="B89" s="5">
        <v>0.45239583333333333</v>
      </c>
      <c r="C89" s="1">
        <v>1299</v>
      </c>
      <c r="D89" s="1">
        <v>13002561</v>
      </c>
      <c r="E89" s="1">
        <v>13</v>
      </c>
      <c r="F89" s="1">
        <v>22589</v>
      </c>
      <c r="G89" s="1" t="s">
        <v>21</v>
      </c>
      <c r="H89" s="1">
        <v>18</v>
      </c>
      <c r="I89" s="1">
        <v>22533</v>
      </c>
      <c r="J89" s="1" t="s">
        <v>156</v>
      </c>
      <c r="K89" s="1" t="s">
        <v>29</v>
      </c>
      <c r="L89" s="1" t="s">
        <v>157</v>
      </c>
      <c r="M89" s="1">
        <v>1</v>
      </c>
      <c r="N89" s="2">
        <v>130.83000000000001</v>
      </c>
      <c r="O89" s="3">
        <v>151</v>
      </c>
      <c r="P89" s="1">
        <v>7</v>
      </c>
      <c r="Q89" s="1">
        <v>9</v>
      </c>
      <c r="R89" s="1">
        <v>200010023919</v>
      </c>
      <c r="S89" s="1">
        <v>29</v>
      </c>
      <c r="T89" s="1">
        <v>1</v>
      </c>
      <c r="U89" s="1">
        <v>3</v>
      </c>
      <c r="V89">
        <f t="shared" si="1"/>
        <v>151</v>
      </c>
    </row>
    <row r="90" spans="1:22" ht="13" x14ac:dyDescent="0.15">
      <c r="A90" s="4">
        <v>44774</v>
      </c>
      <c r="B90" s="5">
        <v>0.66700231481481487</v>
      </c>
      <c r="C90" s="1">
        <v>1370</v>
      </c>
      <c r="D90" s="1">
        <v>13002561</v>
      </c>
      <c r="E90" s="1">
        <v>13</v>
      </c>
      <c r="F90" s="1">
        <v>22589</v>
      </c>
      <c r="G90" s="1" t="s">
        <v>21</v>
      </c>
      <c r="H90" s="1">
        <v>18</v>
      </c>
      <c r="I90" s="1">
        <v>22533</v>
      </c>
      <c r="J90" s="1" t="s">
        <v>156</v>
      </c>
      <c r="K90" s="1" t="s">
        <v>29</v>
      </c>
      <c r="L90" s="1" t="s">
        <v>157</v>
      </c>
      <c r="M90" s="1">
        <v>1</v>
      </c>
      <c r="N90" s="2">
        <v>130.83000000000001</v>
      </c>
      <c r="O90" s="3">
        <v>151</v>
      </c>
      <c r="P90" s="1">
        <v>7</v>
      </c>
      <c r="Q90" s="1">
        <v>9</v>
      </c>
      <c r="R90" s="1">
        <v>200010016459</v>
      </c>
      <c r="S90" s="1">
        <v>29</v>
      </c>
      <c r="T90" s="1">
        <v>1</v>
      </c>
      <c r="U90" s="1">
        <v>2</v>
      </c>
      <c r="V90">
        <f t="shared" si="1"/>
        <v>151</v>
      </c>
    </row>
    <row r="91" spans="1:22" ht="13" x14ac:dyDescent="0.15">
      <c r="A91" s="4">
        <v>44774</v>
      </c>
      <c r="B91" s="5">
        <v>0.45239583333333333</v>
      </c>
      <c r="C91" s="1">
        <v>1299</v>
      </c>
      <c r="D91" s="1">
        <v>13002561</v>
      </c>
      <c r="E91" s="1">
        <v>13</v>
      </c>
      <c r="F91" s="1">
        <v>22589</v>
      </c>
      <c r="G91" s="1" t="s">
        <v>21</v>
      </c>
      <c r="H91" s="1">
        <v>18</v>
      </c>
      <c r="I91" s="1">
        <v>488299</v>
      </c>
      <c r="J91" s="1" t="s">
        <v>158</v>
      </c>
      <c r="K91" s="1" t="s">
        <v>23</v>
      </c>
      <c r="L91" s="1" t="s">
        <v>159</v>
      </c>
      <c r="M91" s="1">
        <v>1</v>
      </c>
      <c r="N91" s="2">
        <v>156.19999999999999</v>
      </c>
      <c r="O91" s="3">
        <v>186</v>
      </c>
      <c r="P91" s="1">
        <v>9</v>
      </c>
      <c r="Q91" s="1">
        <v>9</v>
      </c>
      <c r="R91" s="1">
        <v>200010023919</v>
      </c>
      <c r="S91" s="1">
        <v>29</v>
      </c>
      <c r="T91" s="1">
        <v>1</v>
      </c>
      <c r="U91" s="1">
        <v>2</v>
      </c>
      <c r="V91">
        <f t="shared" si="1"/>
        <v>186</v>
      </c>
    </row>
    <row r="92" spans="1:22" ht="13" x14ac:dyDescent="0.15">
      <c r="A92" s="4">
        <v>44774</v>
      </c>
      <c r="B92" s="5">
        <v>0.4528240740740741</v>
      </c>
      <c r="C92" s="1">
        <v>1300</v>
      </c>
      <c r="D92" s="1">
        <v>13002561</v>
      </c>
      <c r="E92" s="1">
        <v>13</v>
      </c>
      <c r="F92" s="1">
        <v>22589</v>
      </c>
      <c r="G92" s="1" t="s">
        <v>21</v>
      </c>
      <c r="H92" s="1">
        <v>18</v>
      </c>
      <c r="I92" s="1">
        <v>72392</v>
      </c>
      <c r="J92" s="1" t="s">
        <v>160</v>
      </c>
      <c r="K92" s="1" t="s">
        <v>51</v>
      </c>
      <c r="L92" s="1" t="s">
        <v>161</v>
      </c>
      <c r="M92" s="1">
        <v>1</v>
      </c>
      <c r="N92" s="2">
        <v>103.5</v>
      </c>
      <c r="O92" s="3">
        <v>122</v>
      </c>
      <c r="P92" s="1">
        <v>6</v>
      </c>
      <c r="Q92" s="1">
        <v>9</v>
      </c>
      <c r="R92" s="1">
        <v>200010018337</v>
      </c>
      <c r="S92" s="1">
        <v>29</v>
      </c>
      <c r="T92" s="1">
        <v>1</v>
      </c>
      <c r="U92" s="1">
        <v>1</v>
      </c>
      <c r="V92">
        <f t="shared" si="1"/>
        <v>122</v>
      </c>
    </row>
    <row r="93" spans="1:22" ht="13" x14ac:dyDescent="0.15">
      <c r="A93" s="4">
        <v>44774</v>
      </c>
      <c r="B93" s="5">
        <v>0.81680555555555556</v>
      </c>
      <c r="C93" s="1">
        <v>1410</v>
      </c>
      <c r="D93" s="1">
        <v>13002561</v>
      </c>
      <c r="E93" s="1">
        <v>13</v>
      </c>
      <c r="F93" s="1">
        <v>22589</v>
      </c>
      <c r="G93" s="1" t="s">
        <v>21</v>
      </c>
      <c r="H93" s="1">
        <v>18</v>
      </c>
      <c r="I93" s="1">
        <v>72392</v>
      </c>
      <c r="J93" s="1" t="s">
        <v>160</v>
      </c>
      <c r="K93" s="1" t="s">
        <v>51</v>
      </c>
      <c r="L93" s="1" t="s">
        <v>161</v>
      </c>
      <c r="M93" s="1">
        <v>1</v>
      </c>
      <c r="N93" s="2">
        <v>103.5</v>
      </c>
      <c r="O93" s="3">
        <v>122</v>
      </c>
      <c r="P93" s="1">
        <v>6</v>
      </c>
      <c r="Q93" s="1">
        <v>9</v>
      </c>
      <c r="R93" s="1">
        <v>200010015192</v>
      </c>
      <c r="S93" s="1">
        <v>29</v>
      </c>
      <c r="T93" s="1">
        <v>1</v>
      </c>
      <c r="U93" s="1">
        <v>2</v>
      </c>
      <c r="V93">
        <f t="shared" si="1"/>
        <v>122</v>
      </c>
    </row>
    <row r="94" spans="1:22" ht="13" x14ac:dyDescent="0.15">
      <c r="A94" s="4">
        <v>44774</v>
      </c>
      <c r="B94" s="5">
        <v>0.46287037037037038</v>
      </c>
      <c r="C94" s="1">
        <v>1301</v>
      </c>
      <c r="D94" s="1">
        <v>13002561</v>
      </c>
      <c r="E94" s="1">
        <v>13</v>
      </c>
      <c r="F94" s="1">
        <v>22589</v>
      </c>
      <c r="G94" s="1" t="s">
        <v>21</v>
      </c>
      <c r="H94" s="1">
        <v>18</v>
      </c>
      <c r="I94" s="1">
        <v>17182</v>
      </c>
      <c r="J94" s="1" t="s">
        <v>162</v>
      </c>
      <c r="K94" s="1" t="s">
        <v>117</v>
      </c>
      <c r="L94" s="1" t="s">
        <v>163</v>
      </c>
      <c r="M94" s="1">
        <v>1</v>
      </c>
      <c r="N94" s="2">
        <v>525</v>
      </c>
      <c r="O94" s="3">
        <v>678</v>
      </c>
      <c r="P94" s="1">
        <v>20.21</v>
      </c>
      <c r="Q94" s="1">
        <v>925</v>
      </c>
      <c r="R94" s="1">
        <v>200000000492</v>
      </c>
      <c r="S94" s="1">
        <v>29</v>
      </c>
      <c r="T94" s="1">
        <v>1</v>
      </c>
      <c r="U94" s="1">
        <v>1</v>
      </c>
      <c r="V94">
        <f t="shared" si="1"/>
        <v>678</v>
      </c>
    </row>
    <row r="95" spans="1:22" ht="13" x14ac:dyDescent="0.15">
      <c r="A95" s="4">
        <v>44774</v>
      </c>
      <c r="B95" s="5">
        <v>0.46287037037037038</v>
      </c>
      <c r="C95" s="1">
        <v>1301</v>
      </c>
      <c r="D95" s="1">
        <v>13002561</v>
      </c>
      <c r="E95" s="1">
        <v>13</v>
      </c>
      <c r="F95" s="1">
        <v>22589</v>
      </c>
      <c r="G95" s="1" t="s">
        <v>21</v>
      </c>
      <c r="H95" s="1">
        <v>18</v>
      </c>
      <c r="I95" s="1">
        <v>26900</v>
      </c>
      <c r="J95" s="1" t="s">
        <v>164</v>
      </c>
      <c r="K95" s="1" t="s">
        <v>117</v>
      </c>
      <c r="L95" s="1" t="s">
        <v>165</v>
      </c>
      <c r="M95" s="1">
        <v>1</v>
      </c>
      <c r="N95" s="2">
        <v>190</v>
      </c>
      <c r="O95" s="3">
        <v>295</v>
      </c>
      <c r="P95" s="1">
        <v>8.7899999999999991</v>
      </c>
      <c r="Q95" s="1">
        <v>925</v>
      </c>
      <c r="R95" s="1">
        <v>200000000492</v>
      </c>
      <c r="S95" s="1">
        <v>29</v>
      </c>
      <c r="T95" s="1">
        <v>1</v>
      </c>
      <c r="U95" s="1">
        <v>2</v>
      </c>
      <c r="V95">
        <f t="shared" si="1"/>
        <v>295</v>
      </c>
    </row>
    <row r="96" spans="1:22" ht="13" x14ac:dyDescent="0.15">
      <c r="A96" s="4">
        <v>44774</v>
      </c>
      <c r="B96" s="5">
        <v>0.46440972222222221</v>
      </c>
      <c r="C96" s="1">
        <v>1302</v>
      </c>
      <c r="D96" s="1">
        <v>13002561</v>
      </c>
      <c r="E96" s="1">
        <v>13</v>
      </c>
      <c r="F96" s="1">
        <v>22589</v>
      </c>
      <c r="G96" s="1" t="s">
        <v>21</v>
      </c>
      <c r="H96" s="1">
        <v>15</v>
      </c>
      <c r="I96" s="1">
        <v>30028</v>
      </c>
      <c r="J96" s="1" t="s">
        <v>166</v>
      </c>
      <c r="K96" s="1" t="s">
        <v>51</v>
      </c>
      <c r="L96" s="1" t="s">
        <v>167</v>
      </c>
      <c r="M96" s="1">
        <v>2</v>
      </c>
      <c r="N96" s="2">
        <v>10.01</v>
      </c>
      <c r="O96" s="3">
        <v>17</v>
      </c>
      <c r="P96" s="1">
        <v>3</v>
      </c>
      <c r="Q96" s="1">
        <v>9</v>
      </c>
      <c r="R96" s="1">
        <v>200010019633</v>
      </c>
      <c r="S96" s="1">
        <v>29</v>
      </c>
      <c r="T96" s="1">
        <v>1</v>
      </c>
      <c r="U96" s="1">
        <v>1</v>
      </c>
      <c r="V96">
        <f t="shared" si="1"/>
        <v>34</v>
      </c>
    </row>
    <row r="97" spans="1:22" ht="13" x14ac:dyDescent="0.15">
      <c r="A97" s="4">
        <v>44774</v>
      </c>
      <c r="B97" s="5">
        <v>0.60392361111111115</v>
      </c>
      <c r="C97" s="1">
        <v>1356</v>
      </c>
      <c r="D97" s="1">
        <v>13002561</v>
      </c>
      <c r="E97" s="1">
        <v>13</v>
      </c>
      <c r="F97" s="1">
        <v>22589</v>
      </c>
      <c r="G97" s="1" t="s">
        <v>21</v>
      </c>
      <c r="H97" s="1">
        <v>18</v>
      </c>
      <c r="I97" s="1">
        <v>30028</v>
      </c>
      <c r="J97" s="1" t="s">
        <v>166</v>
      </c>
      <c r="K97" s="1" t="s">
        <v>51</v>
      </c>
      <c r="L97" s="1" t="s">
        <v>167</v>
      </c>
      <c r="M97" s="1">
        <v>1</v>
      </c>
      <c r="N97" s="2">
        <v>10.01</v>
      </c>
      <c r="O97" s="3">
        <v>17</v>
      </c>
      <c r="P97" s="1">
        <v>0</v>
      </c>
      <c r="Q97" s="1" t="s">
        <v>25</v>
      </c>
      <c r="R97" s="1" t="s">
        <v>25</v>
      </c>
      <c r="S97" s="1">
        <v>29</v>
      </c>
      <c r="T97" s="1">
        <v>1</v>
      </c>
      <c r="U97" s="1">
        <v>1</v>
      </c>
      <c r="V97">
        <f t="shared" si="1"/>
        <v>17</v>
      </c>
    </row>
    <row r="98" spans="1:22" ht="13" x14ac:dyDescent="0.15">
      <c r="A98" s="4">
        <v>44774</v>
      </c>
      <c r="B98" s="5">
        <v>0.46513888888888888</v>
      </c>
      <c r="C98" s="1">
        <v>1303</v>
      </c>
      <c r="D98" s="1">
        <v>13002561</v>
      </c>
      <c r="E98" s="1">
        <v>13</v>
      </c>
      <c r="F98" s="1">
        <v>22589</v>
      </c>
      <c r="G98" s="1" t="s">
        <v>21</v>
      </c>
      <c r="H98" s="1">
        <v>15</v>
      </c>
      <c r="I98" s="1">
        <v>371526</v>
      </c>
      <c r="J98" s="1" t="s">
        <v>168</v>
      </c>
      <c r="K98" s="1" t="s">
        <v>23</v>
      </c>
      <c r="L98" s="1" t="s">
        <v>169</v>
      </c>
      <c r="M98" s="1">
        <v>1</v>
      </c>
      <c r="N98" s="2">
        <v>27.12</v>
      </c>
      <c r="O98" s="3">
        <v>33</v>
      </c>
      <c r="P98" s="1">
        <v>1</v>
      </c>
      <c r="Q98" s="1">
        <v>9</v>
      </c>
      <c r="R98" s="1">
        <v>200010000167</v>
      </c>
      <c r="S98" s="1">
        <v>29</v>
      </c>
      <c r="T98" s="1">
        <v>1</v>
      </c>
      <c r="U98" s="1">
        <v>1</v>
      </c>
      <c r="V98">
        <f t="shared" si="1"/>
        <v>33</v>
      </c>
    </row>
    <row r="99" spans="1:22" ht="13" x14ac:dyDescent="0.15">
      <c r="A99" s="4">
        <v>44774</v>
      </c>
      <c r="B99" s="5">
        <v>0.46513888888888888</v>
      </c>
      <c r="C99" s="1">
        <v>1303</v>
      </c>
      <c r="D99" s="1">
        <v>13002561</v>
      </c>
      <c r="E99" s="1">
        <v>13</v>
      </c>
      <c r="F99" s="1">
        <v>22589</v>
      </c>
      <c r="G99" s="1" t="s">
        <v>21</v>
      </c>
      <c r="H99" s="1">
        <v>15</v>
      </c>
      <c r="I99" s="1">
        <v>371526</v>
      </c>
      <c r="J99" s="1" t="s">
        <v>168</v>
      </c>
      <c r="K99" s="1" t="s">
        <v>61</v>
      </c>
      <c r="L99" s="1" t="s">
        <v>169</v>
      </c>
      <c r="M99" s="1">
        <v>1</v>
      </c>
      <c r="N99" s="2">
        <v>27.06</v>
      </c>
      <c r="O99" s="3">
        <v>33.54</v>
      </c>
      <c r="P99" s="1">
        <v>1.54</v>
      </c>
      <c r="Q99" s="1">
        <v>9</v>
      </c>
      <c r="R99" s="1">
        <v>200010000167</v>
      </c>
      <c r="S99" s="1">
        <v>29</v>
      </c>
      <c r="T99" s="1">
        <v>1</v>
      </c>
      <c r="U99" s="1">
        <v>2</v>
      </c>
      <c r="V99">
        <f t="shared" si="1"/>
        <v>33.54</v>
      </c>
    </row>
    <row r="100" spans="1:22" ht="13" x14ac:dyDescent="0.15">
      <c r="A100" s="4">
        <v>44774</v>
      </c>
      <c r="B100" s="5">
        <v>0.46856481481481482</v>
      </c>
      <c r="C100" s="1">
        <v>1304</v>
      </c>
      <c r="D100" s="1">
        <v>13002561</v>
      </c>
      <c r="E100" s="1">
        <v>13</v>
      </c>
      <c r="F100" s="1">
        <v>22589</v>
      </c>
      <c r="G100" s="1" t="s">
        <v>21</v>
      </c>
      <c r="H100" s="1">
        <v>15</v>
      </c>
      <c r="I100" s="1">
        <v>79666</v>
      </c>
      <c r="J100" s="1" t="s">
        <v>170</v>
      </c>
      <c r="K100" s="1" t="s">
        <v>51</v>
      </c>
      <c r="L100" s="1" t="s">
        <v>171</v>
      </c>
      <c r="M100" s="1">
        <v>1</v>
      </c>
      <c r="N100" s="2">
        <v>1380.93</v>
      </c>
      <c r="O100" s="3">
        <v>1727</v>
      </c>
      <c r="P100" s="1">
        <v>120</v>
      </c>
      <c r="Q100" s="1">
        <v>9</v>
      </c>
      <c r="R100" s="1">
        <v>200010026858</v>
      </c>
      <c r="S100" s="1">
        <v>29</v>
      </c>
      <c r="T100" s="1">
        <v>1</v>
      </c>
      <c r="U100" s="1">
        <v>1</v>
      </c>
      <c r="V100">
        <f t="shared" si="1"/>
        <v>1727</v>
      </c>
    </row>
    <row r="101" spans="1:22" ht="13" x14ac:dyDescent="0.15">
      <c r="A101" s="4">
        <v>44774</v>
      </c>
      <c r="B101" s="5">
        <v>0.46856481481481482</v>
      </c>
      <c r="C101" s="1">
        <v>1304</v>
      </c>
      <c r="D101" s="1">
        <v>13002561</v>
      </c>
      <c r="E101" s="1">
        <v>13</v>
      </c>
      <c r="F101" s="1">
        <v>22589</v>
      </c>
      <c r="G101" s="1" t="s">
        <v>21</v>
      </c>
      <c r="H101" s="1">
        <v>15</v>
      </c>
      <c r="I101" s="1">
        <v>435523</v>
      </c>
      <c r="J101" s="1" t="s">
        <v>172</v>
      </c>
      <c r="K101" s="1" t="s">
        <v>141</v>
      </c>
      <c r="L101" s="1" t="s">
        <v>173</v>
      </c>
      <c r="M101" s="1">
        <v>1</v>
      </c>
      <c r="N101" s="2">
        <v>27.94</v>
      </c>
      <c r="O101" s="3">
        <v>43</v>
      </c>
      <c r="P101" s="1">
        <v>3</v>
      </c>
      <c r="Q101" s="1">
        <v>9</v>
      </c>
      <c r="R101" s="1">
        <v>200010026858</v>
      </c>
      <c r="S101" s="1">
        <v>29</v>
      </c>
      <c r="T101" s="1">
        <v>1</v>
      </c>
      <c r="U101" s="1">
        <v>2</v>
      </c>
      <c r="V101">
        <f t="shared" si="1"/>
        <v>43</v>
      </c>
    </row>
    <row r="102" spans="1:22" ht="13" x14ac:dyDescent="0.15">
      <c r="A102" s="4">
        <v>44774</v>
      </c>
      <c r="B102" s="5">
        <v>0.69579861111111108</v>
      </c>
      <c r="C102" s="1">
        <v>1378</v>
      </c>
      <c r="D102" s="1">
        <v>13002561</v>
      </c>
      <c r="E102" s="1">
        <v>13</v>
      </c>
      <c r="F102" s="1">
        <v>22589</v>
      </c>
      <c r="G102" s="1" t="s">
        <v>21</v>
      </c>
      <c r="H102" s="1">
        <v>15</v>
      </c>
      <c r="I102" s="1">
        <v>435523</v>
      </c>
      <c r="J102" s="1" t="s">
        <v>172</v>
      </c>
      <c r="K102" s="1" t="s">
        <v>141</v>
      </c>
      <c r="L102" s="1" t="s">
        <v>173</v>
      </c>
      <c r="M102" s="1">
        <v>1</v>
      </c>
      <c r="N102" s="2">
        <v>27.94</v>
      </c>
      <c r="O102" s="3">
        <v>43</v>
      </c>
      <c r="P102" s="1">
        <v>3</v>
      </c>
      <c r="Q102" s="1">
        <v>9</v>
      </c>
      <c r="R102" s="1">
        <v>200010000750</v>
      </c>
      <c r="S102" s="1">
        <v>29</v>
      </c>
      <c r="T102" s="1">
        <v>1</v>
      </c>
      <c r="U102" s="1">
        <v>3</v>
      </c>
      <c r="V102">
        <f t="shared" si="1"/>
        <v>43</v>
      </c>
    </row>
    <row r="103" spans="1:22" ht="13" x14ac:dyDescent="0.15">
      <c r="A103" s="4">
        <v>44774</v>
      </c>
      <c r="B103" s="5">
        <v>0.69579861111111108</v>
      </c>
      <c r="C103" s="1">
        <v>1378</v>
      </c>
      <c r="D103" s="1">
        <v>13002561</v>
      </c>
      <c r="E103" s="1">
        <v>13</v>
      </c>
      <c r="F103" s="1">
        <v>22589</v>
      </c>
      <c r="G103" s="1" t="s">
        <v>21</v>
      </c>
      <c r="H103" s="1">
        <v>15</v>
      </c>
      <c r="I103" s="1">
        <v>435523</v>
      </c>
      <c r="J103" s="1" t="s">
        <v>172</v>
      </c>
      <c r="K103" s="1" t="s">
        <v>141</v>
      </c>
      <c r="L103" s="1" t="s">
        <v>173</v>
      </c>
      <c r="M103" s="1">
        <v>1</v>
      </c>
      <c r="N103" s="2">
        <v>27.94</v>
      </c>
      <c r="O103" s="3">
        <v>43</v>
      </c>
      <c r="P103" s="1">
        <v>3</v>
      </c>
      <c r="Q103" s="1">
        <v>9</v>
      </c>
      <c r="R103" s="1">
        <v>200010000750</v>
      </c>
      <c r="S103" s="1">
        <v>29</v>
      </c>
      <c r="T103" s="1">
        <v>1</v>
      </c>
      <c r="U103" s="1">
        <v>4</v>
      </c>
      <c r="V103">
        <f t="shared" si="1"/>
        <v>43</v>
      </c>
    </row>
    <row r="104" spans="1:22" ht="13" x14ac:dyDescent="0.15">
      <c r="A104" s="4">
        <v>44774</v>
      </c>
      <c r="B104" s="5">
        <v>0.47072916666666664</v>
      </c>
      <c r="C104" s="1">
        <v>1305</v>
      </c>
      <c r="D104" s="1">
        <v>13002561</v>
      </c>
      <c r="E104" s="1">
        <v>13</v>
      </c>
      <c r="F104" s="1">
        <v>22589</v>
      </c>
      <c r="G104" s="1" t="s">
        <v>21</v>
      </c>
      <c r="H104" s="1">
        <v>18</v>
      </c>
      <c r="I104" s="1">
        <v>82080</v>
      </c>
      <c r="J104" s="1" t="s">
        <v>174</v>
      </c>
      <c r="K104" s="1" t="s">
        <v>23</v>
      </c>
      <c r="L104" s="1" t="s">
        <v>175</v>
      </c>
      <c r="M104" s="1">
        <v>1</v>
      </c>
      <c r="N104" s="2">
        <v>56.34</v>
      </c>
      <c r="O104" s="3">
        <v>70</v>
      </c>
      <c r="P104" s="1">
        <v>3</v>
      </c>
      <c r="Q104" s="1">
        <v>9</v>
      </c>
      <c r="R104" s="1">
        <v>200010005191</v>
      </c>
      <c r="S104" s="1">
        <v>29</v>
      </c>
      <c r="T104" s="1">
        <v>1</v>
      </c>
      <c r="U104" s="1">
        <v>1</v>
      </c>
      <c r="V104">
        <f t="shared" si="1"/>
        <v>70</v>
      </c>
    </row>
    <row r="105" spans="1:22" ht="13" x14ac:dyDescent="0.15">
      <c r="A105" s="4">
        <v>44774</v>
      </c>
      <c r="B105" s="5">
        <v>0.47605324074074074</v>
      </c>
      <c r="C105" s="1">
        <v>1306</v>
      </c>
      <c r="D105" s="1">
        <v>13002561</v>
      </c>
      <c r="E105" s="1">
        <v>13</v>
      </c>
      <c r="F105" s="1">
        <v>22589</v>
      </c>
      <c r="G105" s="1" t="s">
        <v>21</v>
      </c>
      <c r="H105" s="1">
        <v>15</v>
      </c>
      <c r="I105" s="1">
        <v>48192</v>
      </c>
      <c r="J105" s="1" t="s">
        <v>176</v>
      </c>
      <c r="K105" s="1" t="s">
        <v>58</v>
      </c>
      <c r="L105" s="1" t="s">
        <v>177</v>
      </c>
      <c r="M105" s="1">
        <v>1</v>
      </c>
      <c r="N105" s="2">
        <v>22.43</v>
      </c>
      <c r="O105" s="3">
        <v>37</v>
      </c>
      <c r="P105" s="1">
        <v>0</v>
      </c>
      <c r="Q105" s="1" t="s">
        <v>25</v>
      </c>
      <c r="R105" s="1" t="s">
        <v>25</v>
      </c>
      <c r="S105" s="1">
        <v>29</v>
      </c>
      <c r="T105" s="1">
        <v>1</v>
      </c>
      <c r="U105" s="1">
        <v>1</v>
      </c>
      <c r="V105">
        <f t="shared" si="1"/>
        <v>37</v>
      </c>
    </row>
    <row r="106" spans="1:22" ht="13" x14ac:dyDescent="0.15">
      <c r="A106" s="4">
        <v>44774</v>
      </c>
      <c r="B106" s="5">
        <v>0.47800925925925924</v>
      </c>
      <c r="C106" s="1">
        <v>1307</v>
      </c>
      <c r="D106" s="1">
        <v>13002561</v>
      </c>
      <c r="E106" s="1">
        <v>13</v>
      </c>
      <c r="F106" s="1">
        <v>22589</v>
      </c>
      <c r="G106" s="1" t="s">
        <v>21</v>
      </c>
      <c r="H106" s="1">
        <v>18</v>
      </c>
      <c r="I106" s="1">
        <v>345211</v>
      </c>
      <c r="J106" s="1" t="s">
        <v>92</v>
      </c>
      <c r="K106" s="1" t="s">
        <v>51</v>
      </c>
      <c r="L106" s="1" t="s">
        <v>93</v>
      </c>
      <c r="M106" s="1">
        <v>1</v>
      </c>
      <c r="N106" s="2">
        <v>25.71</v>
      </c>
      <c r="O106" s="3">
        <v>31</v>
      </c>
      <c r="P106" s="1">
        <v>1</v>
      </c>
      <c r="Q106" s="1">
        <v>9</v>
      </c>
      <c r="R106" s="1">
        <v>200010000452</v>
      </c>
      <c r="S106" s="1">
        <v>29</v>
      </c>
      <c r="T106" s="1">
        <v>1</v>
      </c>
      <c r="U106" s="1">
        <v>2</v>
      </c>
      <c r="V106">
        <f t="shared" si="1"/>
        <v>31</v>
      </c>
    </row>
    <row r="107" spans="1:22" ht="13" x14ac:dyDescent="0.15">
      <c r="A107" s="4">
        <v>44774</v>
      </c>
      <c r="B107" s="5">
        <v>0.47800925925925924</v>
      </c>
      <c r="C107" s="1">
        <v>1307</v>
      </c>
      <c r="D107" s="1">
        <v>13002561</v>
      </c>
      <c r="E107" s="1">
        <v>13</v>
      </c>
      <c r="F107" s="1">
        <v>22589</v>
      </c>
      <c r="G107" s="1" t="s">
        <v>21</v>
      </c>
      <c r="H107" s="1">
        <v>18</v>
      </c>
      <c r="I107" s="1">
        <v>345211</v>
      </c>
      <c r="J107" s="1" t="s">
        <v>92</v>
      </c>
      <c r="K107" s="1" t="s">
        <v>51</v>
      </c>
      <c r="L107" s="1" t="s">
        <v>93</v>
      </c>
      <c r="M107" s="1">
        <v>1</v>
      </c>
      <c r="N107" s="2">
        <v>25.71</v>
      </c>
      <c r="O107" s="3">
        <v>31</v>
      </c>
      <c r="P107" s="1">
        <v>1</v>
      </c>
      <c r="Q107" s="1">
        <v>9</v>
      </c>
      <c r="R107" s="1">
        <v>200010000452</v>
      </c>
      <c r="S107" s="1">
        <v>29</v>
      </c>
      <c r="T107" s="1">
        <v>1</v>
      </c>
      <c r="U107" s="1">
        <v>3</v>
      </c>
      <c r="V107">
        <f t="shared" si="1"/>
        <v>31</v>
      </c>
    </row>
    <row r="108" spans="1:22" ht="13" x14ac:dyDescent="0.15">
      <c r="A108" s="4">
        <v>44774</v>
      </c>
      <c r="B108" s="5">
        <v>0.50760416666666663</v>
      </c>
      <c r="C108" s="1">
        <v>1320</v>
      </c>
      <c r="D108" s="1">
        <v>13002561</v>
      </c>
      <c r="E108" s="1">
        <v>13</v>
      </c>
      <c r="F108" s="1">
        <v>22589</v>
      </c>
      <c r="G108" s="1" t="s">
        <v>21</v>
      </c>
      <c r="H108" s="1">
        <v>15</v>
      </c>
      <c r="I108" s="1">
        <v>345211</v>
      </c>
      <c r="J108" s="1" t="s">
        <v>92</v>
      </c>
      <c r="K108" s="1" t="s">
        <v>51</v>
      </c>
      <c r="L108" s="1" t="s">
        <v>93</v>
      </c>
      <c r="M108" s="1">
        <v>1</v>
      </c>
      <c r="N108" s="2">
        <v>25.71</v>
      </c>
      <c r="O108" s="3">
        <v>31</v>
      </c>
      <c r="P108" s="1">
        <v>1</v>
      </c>
      <c r="Q108" s="1">
        <v>9</v>
      </c>
      <c r="R108" s="1">
        <v>200010018337</v>
      </c>
      <c r="S108" s="1">
        <v>29</v>
      </c>
      <c r="T108" s="1">
        <v>1</v>
      </c>
      <c r="U108" s="1">
        <v>2</v>
      </c>
      <c r="V108">
        <f t="shared" si="1"/>
        <v>31</v>
      </c>
    </row>
    <row r="109" spans="1:22" ht="13" x14ac:dyDescent="0.15">
      <c r="A109" s="4">
        <v>44774</v>
      </c>
      <c r="B109" s="5">
        <v>0.50760416666666663</v>
      </c>
      <c r="C109" s="1">
        <v>1320</v>
      </c>
      <c r="D109" s="1">
        <v>13002561</v>
      </c>
      <c r="E109" s="1">
        <v>13</v>
      </c>
      <c r="F109" s="1">
        <v>22589</v>
      </c>
      <c r="G109" s="1" t="s">
        <v>21</v>
      </c>
      <c r="H109" s="1">
        <v>15</v>
      </c>
      <c r="I109" s="1">
        <v>345211</v>
      </c>
      <c r="J109" s="1" t="s">
        <v>92</v>
      </c>
      <c r="K109" s="1" t="s">
        <v>51</v>
      </c>
      <c r="L109" s="1" t="s">
        <v>93</v>
      </c>
      <c r="M109" s="1">
        <v>1</v>
      </c>
      <c r="N109" s="2">
        <v>25.71</v>
      </c>
      <c r="O109" s="3">
        <v>31</v>
      </c>
      <c r="P109" s="1">
        <v>1</v>
      </c>
      <c r="Q109" s="1">
        <v>9</v>
      </c>
      <c r="R109" s="1">
        <v>200010018337</v>
      </c>
      <c r="S109" s="1">
        <v>29</v>
      </c>
      <c r="T109" s="1">
        <v>1</v>
      </c>
      <c r="U109" s="1">
        <v>3</v>
      </c>
      <c r="V109">
        <f t="shared" si="1"/>
        <v>31</v>
      </c>
    </row>
    <row r="110" spans="1:22" ht="13" x14ac:dyDescent="0.15">
      <c r="A110" s="4">
        <v>44774</v>
      </c>
      <c r="B110" s="5">
        <v>0.53487268518518516</v>
      </c>
      <c r="C110" s="1">
        <v>1334</v>
      </c>
      <c r="D110" s="1">
        <v>13002561</v>
      </c>
      <c r="E110" s="1">
        <v>13</v>
      </c>
      <c r="F110" s="1">
        <v>22589</v>
      </c>
      <c r="G110" s="1" t="s">
        <v>21</v>
      </c>
      <c r="H110" s="1">
        <v>15</v>
      </c>
      <c r="I110" s="1">
        <v>345211</v>
      </c>
      <c r="J110" s="1" t="s">
        <v>92</v>
      </c>
      <c r="K110" s="1" t="s">
        <v>51</v>
      </c>
      <c r="L110" s="1" t="s">
        <v>93</v>
      </c>
      <c r="M110" s="1">
        <v>1</v>
      </c>
      <c r="N110" s="2">
        <v>25.71</v>
      </c>
      <c r="O110" s="3">
        <v>31</v>
      </c>
      <c r="P110" s="1">
        <v>1</v>
      </c>
      <c r="Q110" s="1">
        <v>9</v>
      </c>
      <c r="R110" s="1">
        <v>200010005104</v>
      </c>
      <c r="S110" s="1">
        <v>29</v>
      </c>
      <c r="T110" s="1">
        <v>1</v>
      </c>
      <c r="U110" s="1">
        <v>1</v>
      </c>
      <c r="V110">
        <f t="shared" si="1"/>
        <v>31</v>
      </c>
    </row>
    <row r="111" spans="1:22" ht="13" x14ac:dyDescent="0.15">
      <c r="A111" s="4">
        <v>44774</v>
      </c>
      <c r="B111" s="5">
        <v>0.47898148148148151</v>
      </c>
      <c r="C111" s="1">
        <v>1308</v>
      </c>
      <c r="D111" s="1">
        <v>13002561</v>
      </c>
      <c r="E111" s="1">
        <v>13</v>
      </c>
      <c r="F111" s="1">
        <v>22589</v>
      </c>
      <c r="G111" s="1" t="s">
        <v>21</v>
      </c>
      <c r="H111" s="1">
        <v>18</v>
      </c>
      <c r="I111" s="1">
        <v>423216</v>
      </c>
      <c r="J111" s="1" t="s">
        <v>178</v>
      </c>
      <c r="K111" s="1" t="s">
        <v>51</v>
      </c>
      <c r="L111" s="1" t="s">
        <v>179</v>
      </c>
      <c r="M111" s="1">
        <v>1</v>
      </c>
      <c r="N111" s="2">
        <v>275.52</v>
      </c>
      <c r="O111" s="3">
        <v>419</v>
      </c>
      <c r="P111" s="1">
        <v>62</v>
      </c>
      <c r="Q111" s="1">
        <v>27</v>
      </c>
      <c r="R111" s="1">
        <v>200010000015</v>
      </c>
      <c r="S111" s="1">
        <v>29</v>
      </c>
      <c r="T111" s="1">
        <v>1</v>
      </c>
      <c r="U111" s="1">
        <v>1</v>
      </c>
      <c r="V111">
        <f t="shared" si="1"/>
        <v>419</v>
      </c>
    </row>
    <row r="112" spans="1:22" ht="13" x14ac:dyDescent="0.15">
      <c r="A112" s="4">
        <v>44774</v>
      </c>
      <c r="B112" s="5">
        <v>0.48202546296296295</v>
      </c>
      <c r="C112" s="1">
        <v>1309</v>
      </c>
      <c r="D112" s="1">
        <v>13002561</v>
      </c>
      <c r="E112" s="1">
        <v>13</v>
      </c>
      <c r="F112" s="1">
        <v>22589</v>
      </c>
      <c r="G112" s="1" t="s">
        <v>21</v>
      </c>
      <c r="H112" s="1">
        <v>18</v>
      </c>
      <c r="I112" s="1">
        <v>75429</v>
      </c>
      <c r="J112" s="1" t="s">
        <v>180</v>
      </c>
      <c r="K112" s="1" t="s">
        <v>29</v>
      </c>
      <c r="L112" s="1" t="s">
        <v>69</v>
      </c>
      <c r="M112" s="1">
        <v>1</v>
      </c>
      <c r="N112" s="2">
        <v>122.18</v>
      </c>
      <c r="O112" s="3">
        <v>144</v>
      </c>
      <c r="P112" s="1">
        <v>7</v>
      </c>
      <c r="Q112" s="1">
        <v>9</v>
      </c>
      <c r="R112" s="1">
        <v>200010002868</v>
      </c>
      <c r="S112" s="1">
        <v>29</v>
      </c>
      <c r="T112" s="1">
        <v>1</v>
      </c>
      <c r="U112" s="1">
        <v>1</v>
      </c>
      <c r="V112">
        <f t="shared" si="1"/>
        <v>144</v>
      </c>
    </row>
    <row r="113" spans="1:22" ht="13" x14ac:dyDescent="0.15">
      <c r="A113" s="4">
        <v>44774</v>
      </c>
      <c r="B113" s="5">
        <v>0.48202546296296295</v>
      </c>
      <c r="C113" s="1">
        <v>1309</v>
      </c>
      <c r="D113" s="1">
        <v>13002561</v>
      </c>
      <c r="E113" s="1">
        <v>13</v>
      </c>
      <c r="F113" s="1">
        <v>22589</v>
      </c>
      <c r="G113" s="1" t="s">
        <v>21</v>
      </c>
      <c r="H113" s="1">
        <v>18</v>
      </c>
      <c r="I113" s="1">
        <v>75429</v>
      </c>
      <c r="J113" s="1" t="s">
        <v>180</v>
      </c>
      <c r="K113" s="1" t="s">
        <v>29</v>
      </c>
      <c r="L113" s="1" t="s">
        <v>69</v>
      </c>
      <c r="M113" s="1">
        <v>1</v>
      </c>
      <c r="N113" s="2">
        <v>122.18</v>
      </c>
      <c r="O113" s="3">
        <v>144</v>
      </c>
      <c r="P113" s="1">
        <v>7</v>
      </c>
      <c r="Q113" s="1">
        <v>9</v>
      </c>
      <c r="R113" s="1">
        <v>200010002868</v>
      </c>
      <c r="S113" s="1">
        <v>29</v>
      </c>
      <c r="T113" s="1">
        <v>1</v>
      </c>
      <c r="U113" s="1">
        <v>2</v>
      </c>
      <c r="V113">
        <f t="shared" si="1"/>
        <v>144</v>
      </c>
    </row>
    <row r="114" spans="1:22" ht="13" x14ac:dyDescent="0.15">
      <c r="A114" s="4">
        <v>44774</v>
      </c>
      <c r="B114" s="5">
        <v>0.48420138888888886</v>
      </c>
      <c r="C114" s="1">
        <v>1310</v>
      </c>
      <c r="D114" s="1">
        <v>13002561</v>
      </c>
      <c r="E114" s="1">
        <v>13</v>
      </c>
      <c r="F114" s="1">
        <v>22589</v>
      </c>
      <c r="G114" s="1" t="s">
        <v>21</v>
      </c>
      <c r="H114" s="1">
        <v>18</v>
      </c>
      <c r="I114" s="1">
        <v>1877</v>
      </c>
      <c r="J114" s="1" t="s">
        <v>181</v>
      </c>
      <c r="K114" s="1" t="s">
        <v>34</v>
      </c>
      <c r="L114" s="1" t="s">
        <v>182</v>
      </c>
      <c r="M114" s="1">
        <v>1</v>
      </c>
      <c r="N114" s="2">
        <v>831.06</v>
      </c>
      <c r="O114" s="3">
        <v>1039</v>
      </c>
      <c r="P114" s="1">
        <v>0</v>
      </c>
      <c r="Q114" s="1" t="s">
        <v>25</v>
      </c>
      <c r="R114" s="1" t="s">
        <v>25</v>
      </c>
      <c r="S114" s="1">
        <v>29</v>
      </c>
      <c r="T114" s="1">
        <v>1</v>
      </c>
      <c r="U114" s="1">
        <v>1</v>
      </c>
      <c r="V114">
        <f t="shared" si="1"/>
        <v>1039</v>
      </c>
    </row>
    <row r="115" spans="1:22" ht="13" x14ac:dyDescent="0.15">
      <c r="A115" s="4">
        <v>44774</v>
      </c>
      <c r="B115" s="5">
        <v>0.48420138888888886</v>
      </c>
      <c r="C115" s="1">
        <v>1310</v>
      </c>
      <c r="D115" s="1">
        <v>13002561</v>
      </c>
      <c r="E115" s="1">
        <v>13</v>
      </c>
      <c r="F115" s="1">
        <v>22589</v>
      </c>
      <c r="G115" s="1" t="s">
        <v>21</v>
      </c>
      <c r="H115" s="1">
        <v>18</v>
      </c>
      <c r="I115" s="1">
        <v>3364</v>
      </c>
      <c r="J115" s="1" t="s">
        <v>183</v>
      </c>
      <c r="K115" s="1" t="s">
        <v>23</v>
      </c>
      <c r="L115" s="1" t="s">
        <v>184</v>
      </c>
      <c r="M115" s="1">
        <v>1</v>
      </c>
      <c r="N115" s="2">
        <v>504.19</v>
      </c>
      <c r="O115" s="3">
        <v>651</v>
      </c>
      <c r="P115" s="1">
        <v>0</v>
      </c>
      <c r="Q115" s="1" t="s">
        <v>25</v>
      </c>
      <c r="R115" s="1" t="s">
        <v>25</v>
      </c>
      <c r="S115" s="1">
        <v>29</v>
      </c>
      <c r="T115" s="1">
        <v>1</v>
      </c>
      <c r="U115" s="1">
        <v>2</v>
      </c>
      <c r="V115">
        <f t="shared" si="1"/>
        <v>651</v>
      </c>
    </row>
    <row r="116" spans="1:22" ht="13" x14ac:dyDescent="0.15">
      <c r="A116" s="4">
        <v>44774</v>
      </c>
      <c r="B116" s="5">
        <v>0.48499999999999999</v>
      </c>
      <c r="C116" s="1">
        <v>1311</v>
      </c>
      <c r="D116" s="1">
        <v>13002561</v>
      </c>
      <c r="E116" s="1">
        <v>13</v>
      </c>
      <c r="F116" s="1">
        <v>22589</v>
      </c>
      <c r="G116" s="1" t="s">
        <v>21</v>
      </c>
      <c r="H116" s="1">
        <v>18</v>
      </c>
      <c r="I116" s="1">
        <v>575493</v>
      </c>
      <c r="J116" s="1" t="s">
        <v>185</v>
      </c>
      <c r="K116" s="1" t="s">
        <v>34</v>
      </c>
      <c r="L116" s="1" t="s">
        <v>186</v>
      </c>
      <c r="M116" s="1">
        <v>1</v>
      </c>
      <c r="N116" s="2">
        <v>50.74</v>
      </c>
      <c r="O116" s="3">
        <v>83</v>
      </c>
      <c r="P116" s="1">
        <v>0</v>
      </c>
      <c r="Q116" s="1" t="s">
        <v>25</v>
      </c>
      <c r="R116" s="1" t="s">
        <v>25</v>
      </c>
      <c r="S116" s="1">
        <v>29</v>
      </c>
      <c r="T116" s="1">
        <v>1</v>
      </c>
      <c r="U116" s="1">
        <v>1</v>
      </c>
      <c r="V116">
        <f t="shared" si="1"/>
        <v>83</v>
      </c>
    </row>
    <row r="117" spans="1:22" ht="13" x14ac:dyDescent="0.15">
      <c r="A117" s="4">
        <v>44774</v>
      </c>
      <c r="B117" s="5">
        <v>0.48900462962962965</v>
      </c>
      <c r="C117" s="1">
        <v>1312</v>
      </c>
      <c r="D117" s="1">
        <v>13002561</v>
      </c>
      <c r="E117" s="1">
        <v>13</v>
      </c>
      <c r="F117" s="1">
        <v>22589</v>
      </c>
      <c r="G117" s="1" t="s">
        <v>21</v>
      </c>
      <c r="H117" s="1">
        <v>18</v>
      </c>
      <c r="I117" s="1">
        <v>82364</v>
      </c>
      <c r="J117" s="1" t="s">
        <v>187</v>
      </c>
      <c r="K117" s="1" t="s">
        <v>23</v>
      </c>
      <c r="L117" s="1" t="s">
        <v>188</v>
      </c>
      <c r="M117" s="1">
        <v>1</v>
      </c>
      <c r="N117" s="2">
        <v>73.069999999999993</v>
      </c>
      <c r="O117" s="3">
        <v>115</v>
      </c>
      <c r="P117" s="1">
        <v>0</v>
      </c>
      <c r="Q117" s="1" t="s">
        <v>25</v>
      </c>
      <c r="R117" s="1" t="s">
        <v>25</v>
      </c>
      <c r="S117" s="1">
        <v>29</v>
      </c>
      <c r="T117" s="1">
        <v>1</v>
      </c>
      <c r="U117" s="1">
        <v>1</v>
      </c>
      <c r="V117">
        <f t="shared" si="1"/>
        <v>115</v>
      </c>
    </row>
    <row r="118" spans="1:22" ht="13" x14ac:dyDescent="0.15">
      <c r="A118" s="4">
        <v>44774</v>
      </c>
      <c r="B118" s="5">
        <v>0.48900462962962965</v>
      </c>
      <c r="C118" s="1">
        <v>1312</v>
      </c>
      <c r="D118" s="1">
        <v>13002561</v>
      </c>
      <c r="E118" s="1">
        <v>13</v>
      </c>
      <c r="F118" s="1">
        <v>22589</v>
      </c>
      <c r="G118" s="1" t="s">
        <v>21</v>
      </c>
      <c r="H118" s="1">
        <v>18</v>
      </c>
      <c r="I118" s="1">
        <v>320000</v>
      </c>
      <c r="J118" s="1" t="s">
        <v>189</v>
      </c>
      <c r="K118" s="1" t="s">
        <v>51</v>
      </c>
      <c r="L118" s="1" t="s">
        <v>190</v>
      </c>
      <c r="M118" s="1">
        <v>1</v>
      </c>
      <c r="N118" s="2">
        <v>146.44999999999999</v>
      </c>
      <c r="O118" s="3">
        <v>227</v>
      </c>
      <c r="P118" s="1">
        <v>0</v>
      </c>
      <c r="Q118" s="1" t="s">
        <v>25</v>
      </c>
      <c r="R118" s="1" t="s">
        <v>25</v>
      </c>
      <c r="S118" s="1">
        <v>29</v>
      </c>
      <c r="T118" s="1">
        <v>1</v>
      </c>
      <c r="U118" s="1">
        <v>3</v>
      </c>
      <c r="V118">
        <f t="shared" si="1"/>
        <v>227</v>
      </c>
    </row>
    <row r="119" spans="1:22" ht="13" x14ac:dyDescent="0.15">
      <c r="A119" s="4">
        <v>44774</v>
      </c>
      <c r="B119" s="5">
        <v>0.49210648148148151</v>
      </c>
      <c r="C119" s="1">
        <v>1313</v>
      </c>
      <c r="D119" s="1">
        <v>13002561</v>
      </c>
      <c r="E119" s="1">
        <v>13</v>
      </c>
      <c r="F119" s="1">
        <v>22589</v>
      </c>
      <c r="G119" s="1" t="s">
        <v>21</v>
      </c>
      <c r="H119" s="1">
        <v>18</v>
      </c>
      <c r="I119" s="1">
        <v>27591</v>
      </c>
      <c r="J119" s="1" t="s">
        <v>191</v>
      </c>
      <c r="K119" s="1" t="s">
        <v>34</v>
      </c>
      <c r="L119" s="1" t="s">
        <v>192</v>
      </c>
      <c r="M119" s="1">
        <v>1</v>
      </c>
      <c r="N119" s="2">
        <v>91.25</v>
      </c>
      <c r="O119" s="3">
        <v>111</v>
      </c>
      <c r="P119" s="1">
        <v>0</v>
      </c>
      <c r="Q119" s="1" t="s">
        <v>25</v>
      </c>
      <c r="R119" s="1" t="s">
        <v>25</v>
      </c>
      <c r="S119" s="1">
        <v>29</v>
      </c>
      <c r="T119" s="1">
        <v>1</v>
      </c>
      <c r="U119" s="1">
        <v>2</v>
      </c>
      <c r="V119">
        <f t="shared" si="1"/>
        <v>111</v>
      </c>
    </row>
    <row r="120" spans="1:22" ht="13" x14ac:dyDescent="0.15">
      <c r="A120" s="4">
        <v>44774</v>
      </c>
      <c r="B120" s="5">
        <v>0.49210648148148151</v>
      </c>
      <c r="C120" s="1">
        <v>1313</v>
      </c>
      <c r="D120" s="1">
        <v>13002561</v>
      </c>
      <c r="E120" s="1">
        <v>13</v>
      </c>
      <c r="F120" s="1">
        <v>22589</v>
      </c>
      <c r="G120" s="1" t="s">
        <v>21</v>
      </c>
      <c r="H120" s="1">
        <v>18</v>
      </c>
      <c r="I120" s="1">
        <v>154472</v>
      </c>
      <c r="J120" s="1" t="s">
        <v>193</v>
      </c>
      <c r="K120" s="1" t="s">
        <v>34</v>
      </c>
      <c r="L120" s="1" t="s">
        <v>159</v>
      </c>
      <c r="M120" s="1">
        <v>1</v>
      </c>
      <c r="N120" s="2">
        <v>74.8</v>
      </c>
      <c r="O120" s="3">
        <v>92</v>
      </c>
      <c r="P120" s="1">
        <v>0</v>
      </c>
      <c r="Q120" s="1" t="s">
        <v>25</v>
      </c>
      <c r="R120" s="1" t="s">
        <v>25</v>
      </c>
      <c r="S120" s="1">
        <v>29</v>
      </c>
      <c r="T120" s="1">
        <v>1</v>
      </c>
      <c r="U120" s="1">
        <v>1</v>
      </c>
      <c r="V120">
        <f t="shared" si="1"/>
        <v>92</v>
      </c>
    </row>
    <row r="121" spans="1:22" ht="13" x14ac:dyDescent="0.15">
      <c r="A121" s="4">
        <v>44774</v>
      </c>
      <c r="B121" s="5">
        <v>0.49380787037037038</v>
      </c>
      <c r="C121" s="1">
        <v>1314</v>
      </c>
      <c r="D121" s="1">
        <v>13002561</v>
      </c>
      <c r="E121" s="1">
        <v>13</v>
      </c>
      <c r="F121" s="1">
        <v>22589</v>
      </c>
      <c r="G121" s="1" t="s">
        <v>21</v>
      </c>
      <c r="H121" s="1">
        <v>15</v>
      </c>
      <c r="I121" s="1">
        <v>279</v>
      </c>
      <c r="J121" s="1" t="s">
        <v>194</v>
      </c>
      <c r="K121" s="1" t="s">
        <v>51</v>
      </c>
      <c r="L121" s="1" t="s">
        <v>195</v>
      </c>
      <c r="M121" s="1">
        <v>1</v>
      </c>
      <c r="N121" s="2">
        <v>77.959999999999994</v>
      </c>
      <c r="O121" s="3">
        <v>96</v>
      </c>
      <c r="P121" s="1">
        <v>4</v>
      </c>
      <c r="Q121" s="1">
        <v>9</v>
      </c>
      <c r="R121" s="1">
        <v>200010001041</v>
      </c>
      <c r="S121" s="1">
        <v>29</v>
      </c>
      <c r="T121" s="1">
        <v>1</v>
      </c>
      <c r="U121" s="1">
        <v>2</v>
      </c>
      <c r="V121">
        <f t="shared" si="1"/>
        <v>96</v>
      </c>
    </row>
    <row r="122" spans="1:22" ht="13" x14ac:dyDescent="0.15">
      <c r="A122" s="4">
        <v>44774</v>
      </c>
      <c r="B122" s="5">
        <v>0.50760416666666663</v>
      </c>
      <c r="C122" s="1">
        <v>1320</v>
      </c>
      <c r="D122" s="1">
        <v>13002561</v>
      </c>
      <c r="E122" s="1">
        <v>13</v>
      </c>
      <c r="F122" s="1">
        <v>22589</v>
      </c>
      <c r="G122" s="1" t="s">
        <v>21</v>
      </c>
      <c r="H122" s="1">
        <v>15</v>
      </c>
      <c r="I122" s="1">
        <v>279</v>
      </c>
      <c r="J122" s="1" t="s">
        <v>194</v>
      </c>
      <c r="K122" s="1" t="s">
        <v>51</v>
      </c>
      <c r="L122" s="1" t="s">
        <v>195</v>
      </c>
      <c r="M122" s="1">
        <v>1</v>
      </c>
      <c r="N122" s="2">
        <v>77.959999999999994</v>
      </c>
      <c r="O122" s="3">
        <v>96</v>
      </c>
      <c r="P122" s="1">
        <v>4</v>
      </c>
      <c r="Q122" s="1">
        <v>9</v>
      </c>
      <c r="R122" s="1">
        <v>200010018337</v>
      </c>
      <c r="S122" s="1">
        <v>29</v>
      </c>
      <c r="T122" s="1">
        <v>1</v>
      </c>
      <c r="U122" s="1">
        <v>1</v>
      </c>
      <c r="V122">
        <f t="shared" si="1"/>
        <v>96</v>
      </c>
    </row>
    <row r="123" spans="1:22" ht="13" x14ac:dyDescent="0.15">
      <c r="A123" s="4">
        <v>44774</v>
      </c>
      <c r="B123" s="5">
        <v>0.49380787037037038</v>
      </c>
      <c r="C123" s="1">
        <v>1314</v>
      </c>
      <c r="D123" s="1">
        <v>13002561</v>
      </c>
      <c r="E123" s="1">
        <v>13</v>
      </c>
      <c r="F123" s="1">
        <v>22589</v>
      </c>
      <c r="G123" s="1" t="s">
        <v>21</v>
      </c>
      <c r="H123" s="1">
        <v>15</v>
      </c>
      <c r="I123" s="1">
        <v>115628</v>
      </c>
      <c r="J123" s="1" t="s">
        <v>196</v>
      </c>
      <c r="K123" s="1" t="s">
        <v>51</v>
      </c>
      <c r="L123" s="1" t="s">
        <v>197</v>
      </c>
      <c r="M123" s="1">
        <v>1</v>
      </c>
      <c r="N123" s="2">
        <v>469.87</v>
      </c>
      <c r="O123" s="3">
        <v>621</v>
      </c>
      <c r="P123" s="1">
        <v>43</v>
      </c>
      <c r="Q123" s="1">
        <v>9</v>
      </c>
      <c r="R123" s="1">
        <v>200010001041</v>
      </c>
      <c r="S123" s="1">
        <v>29</v>
      </c>
      <c r="T123" s="1">
        <v>1</v>
      </c>
      <c r="U123" s="1">
        <v>3</v>
      </c>
      <c r="V123">
        <f t="shared" si="1"/>
        <v>621</v>
      </c>
    </row>
    <row r="124" spans="1:22" ht="13" x14ac:dyDescent="0.15">
      <c r="A124" s="4">
        <v>44774</v>
      </c>
      <c r="B124" s="5">
        <v>0.49380787037037038</v>
      </c>
      <c r="C124" s="1">
        <v>1314</v>
      </c>
      <c r="D124" s="1">
        <v>13002561</v>
      </c>
      <c r="E124" s="1">
        <v>13</v>
      </c>
      <c r="F124" s="1">
        <v>22589</v>
      </c>
      <c r="G124" s="1" t="s">
        <v>21</v>
      </c>
      <c r="H124" s="1">
        <v>15</v>
      </c>
      <c r="I124" s="1">
        <v>74656</v>
      </c>
      <c r="J124" s="1" t="s">
        <v>198</v>
      </c>
      <c r="K124" s="1" t="s">
        <v>51</v>
      </c>
      <c r="L124" s="1" t="s">
        <v>76</v>
      </c>
      <c r="M124" s="1">
        <v>1</v>
      </c>
      <c r="N124" s="2">
        <v>400.74</v>
      </c>
      <c r="O124" s="3">
        <v>481</v>
      </c>
      <c r="P124" s="1">
        <v>33</v>
      </c>
      <c r="Q124" s="1">
        <v>9</v>
      </c>
      <c r="R124" s="1">
        <v>200010001041</v>
      </c>
      <c r="S124" s="1">
        <v>29</v>
      </c>
      <c r="T124" s="1">
        <v>1</v>
      </c>
      <c r="U124" s="1">
        <v>1</v>
      </c>
      <c r="V124">
        <f t="shared" si="1"/>
        <v>481</v>
      </c>
    </row>
    <row r="125" spans="1:22" ht="13" x14ac:dyDescent="0.15">
      <c r="A125" s="4">
        <v>44774</v>
      </c>
      <c r="B125" s="5">
        <v>0.49626157407407406</v>
      </c>
      <c r="C125" s="1">
        <v>1315</v>
      </c>
      <c r="D125" s="1">
        <v>13002561</v>
      </c>
      <c r="E125" s="1">
        <v>13</v>
      </c>
      <c r="F125" s="1">
        <v>22589</v>
      </c>
      <c r="G125" s="1" t="s">
        <v>21</v>
      </c>
      <c r="H125" s="1">
        <v>15</v>
      </c>
      <c r="I125" s="1">
        <v>341505</v>
      </c>
      <c r="J125" s="1" t="s">
        <v>199</v>
      </c>
      <c r="K125" s="1" t="s">
        <v>29</v>
      </c>
      <c r="L125" s="1" t="s">
        <v>200</v>
      </c>
      <c r="M125" s="1">
        <v>1</v>
      </c>
      <c r="N125" s="2">
        <v>46</v>
      </c>
      <c r="O125" s="3">
        <v>70</v>
      </c>
      <c r="P125" s="1">
        <v>4</v>
      </c>
      <c r="Q125" s="1">
        <v>9</v>
      </c>
      <c r="R125" s="1">
        <v>200010013159</v>
      </c>
      <c r="S125" s="1">
        <v>29</v>
      </c>
      <c r="T125" s="1">
        <v>1</v>
      </c>
      <c r="U125" s="1">
        <v>1</v>
      </c>
      <c r="V125">
        <f t="shared" si="1"/>
        <v>70</v>
      </c>
    </row>
    <row r="126" spans="1:22" ht="13" x14ac:dyDescent="0.15">
      <c r="A126" s="4">
        <v>44774</v>
      </c>
      <c r="B126" s="5">
        <v>0.69028935185185181</v>
      </c>
      <c r="C126" s="1">
        <v>1374</v>
      </c>
      <c r="D126" s="1">
        <v>13002561</v>
      </c>
      <c r="E126" s="1">
        <v>13</v>
      </c>
      <c r="F126" s="1">
        <v>22589</v>
      </c>
      <c r="G126" s="1" t="s">
        <v>21</v>
      </c>
      <c r="H126" s="1">
        <v>18</v>
      </c>
      <c r="I126" s="1">
        <v>341505</v>
      </c>
      <c r="J126" s="1" t="s">
        <v>199</v>
      </c>
      <c r="K126" s="1" t="s">
        <v>29</v>
      </c>
      <c r="L126" s="1" t="s">
        <v>200</v>
      </c>
      <c r="M126" s="1">
        <v>1</v>
      </c>
      <c r="N126" s="2">
        <v>46</v>
      </c>
      <c r="O126" s="3">
        <v>70</v>
      </c>
      <c r="P126" s="1">
        <v>4</v>
      </c>
      <c r="Q126" s="1">
        <v>9</v>
      </c>
      <c r="R126" s="1">
        <v>200010015179</v>
      </c>
      <c r="S126" s="1">
        <v>29</v>
      </c>
      <c r="T126" s="1">
        <v>1</v>
      </c>
      <c r="U126" s="1">
        <v>3</v>
      </c>
      <c r="V126">
        <f t="shared" si="1"/>
        <v>70</v>
      </c>
    </row>
    <row r="127" spans="1:22" ht="13" x14ac:dyDescent="0.15">
      <c r="A127" s="4">
        <v>44774</v>
      </c>
      <c r="B127" s="5">
        <v>0.49626157407407406</v>
      </c>
      <c r="C127" s="1">
        <v>1315</v>
      </c>
      <c r="D127" s="1">
        <v>13002561</v>
      </c>
      <c r="E127" s="1">
        <v>13</v>
      </c>
      <c r="F127" s="1">
        <v>22589</v>
      </c>
      <c r="G127" s="1" t="s">
        <v>21</v>
      </c>
      <c r="H127" s="1">
        <v>15</v>
      </c>
      <c r="I127" s="1">
        <v>339175</v>
      </c>
      <c r="J127" s="1" t="s">
        <v>201</v>
      </c>
      <c r="K127" s="1" t="s">
        <v>34</v>
      </c>
      <c r="L127" s="1" t="s">
        <v>202</v>
      </c>
      <c r="M127" s="1">
        <v>1</v>
      </c>
      <c r="N127" s="2">
        <v>111.67</v>
      </c>
      <c r="O127" s="3">
        <v>134</v>
      </c>
      <c r="P127" s="1">
        <v>6</v>
      </c>
      <c r="Q127" s="1">
        <v>9</v>
      </c>
      <c r="R127" s="1">
        <v>200010013159</v>
      </c>
      <c r="S127" s="1">
        <v>29</v>
      </c>
      <c r="T127" s="1">
        <v>1</v>
      </c>
      <c r="U127" s="1">
        <v>2</v>
      </c>
      <c r="V127">
        <f t="shared" si="1"/>
        <v>134</v>
      </c>
    </row>
    <row r="128" spans="1:22" ht="13" x14ac:dyDescent="0.15">
      <c r="A128" s="4">
        <v>44774</v>
      </c>
      <c r="B128" s="5">
        <v>0.49626157407407406</v>
      </c>
      <c r="C128" s="1">
        <v>1315</v>
      </c>
      <c r="D128" s="1">
        <v>13002561</v>
      </c>
      <c r="E128" s="1">
        <v>13</v>
      </c>
      <c r="F128" s="1">
        <v>22589</v>
      </c>
      <c r="G128" s="1" t="s">
        <v>21</v>
      </c>
      <c r="H128" s="1">
        <v>15</v>
      </c>
      <c r="I128" s="1">
        <v>339175</v>
      </c>
      <c r="J128" s="1" t="s">
        <v>201</v>
      </c>
      <c r="K128" s="1" t="s">
        <v>34</v>
      </c>
      <c r="L128" s="1" t="s">
        <v>202</v>
      </c>
      <c r="M128" s="1">
        <v>1</v>
      </c>
      <c r="N128" s="2">
        <v>111.67</v>
      </c>
      <c r="O128" s="3">
        <v>134</v>
      </c>
      <c r="P128" s="1">
        <v>6</v>
      </c>
      <c r="Q128" s="1">
        <v>9</v>
      </c>
      <c r="R128" s="1">
        <v>200010013159</v>
      </c>
      <c r="S128" s="1">
        <v>29</v>
      </c>
      <c r="T128" s="1">
        <v>1</v>
      </c>
      <c r="U128" s="1">
        <v>3</v>
      </c>
      <c r="V128">
        <f t="shared" si="1"/>
        <v>134</v>
      </c>
    </row>
    <row r="129" spans="1:22" ht="13" x14ac:dyDescent="0.15">
      <c r="A129" s="4">
        <v>44774</v>
      </c>
      <c r="B129" s="5">
        <v>0.50112268518518521</v>
      </c>
      <c r="C129" s="1">
        <v>1316</v>
      </c>
      <c r="D129" s="1">
        <v>13002561</v>
      </c>
      <c r="E129" s="1">
        <v>13</v>
      </c>
      <c r="F129" s="1">
        <v>22589</v>
      </c>
      <c r="G129" s="1" t="s">
        <v>21</v>
      </c>
      <c r="H129" s="1">
        <v>15</v>
      </c>
      <c r="I129" s="1">
        <v>350561</v>
      </c>
      <c r="J129" s="1" t="s">
        <v>203</v>
      </c>
      <c r="K129" s="1" t="s">
        <v>141</v>
      </c>
      <c r="L129" s="1" t="s">
        <v>204</v>
      </c>
      <c r="M129" s="1">
        <v>0.21428570999999999</v>
      </c>
      <c r="N129" s="2">
        <v>1786.51</v>
      </c>
      <c r="O129" s="3">
        <v>2448</v>
      </c>
      <c r="P129" s="1">
        <v>51.57</v>
      </c>
      <c r="Q129" s="1">
        <v>9</v>
      </c>
      <c r="R129" s="1">
        <v>200010027861</v>
      </c>
      <c r="S129" s="1">
        <v>29</v>
      </c>
      <c r="T129" s="1">
        <v>1</v>
      </c>
      <c r="U129" s="1">
        <v>2</v>
      </c>
      <c r="V129">
        <f t="shared" si="1"/>
        <v>524.57141807999994</v>
      </c>
    </row>
    <row r="130" spans="1:22" ht="13" x14ac:dyDescent="0.15">
      <c r="A130" s="4">
        <v>44774</v>
      </c>
      <c r="B130" s="5">
        <v>0.50112268518518521</v>
      </c>
      <c r="C130" s="1">
        <v>1316</v>
      </c>
      <c r="D130" s="1">
        <v>13002561</v>
      </c>
      <c r="E130" s="1">
        <v>13</v>
      </c>
      <c r="F130" s="1">
        <v>22589</v>
      </c>
      <c r="G130" s="1" t="s">
        <v>21</v>
      </c>
      <c r="H130" s="1">
        <v>15</v>
      </c>
      <c r="I130" s="1">
        <v>185061</v>
      </c>
      <c r="J130" s="1" t="s">
        <v>205</v>
      </c>
      <c r="K130" s="1" t="s">
        <v>23</v>
      </c>
      <c r="L130" s="1" t="s">
        <v>206</v>
      </c>
      <c r="M130" s="1">
        <v>1</v>
      </c>
      <c r="N130" s="2">
        <v>65.959999999999994</v>
      </c>
      <c r="O130" s="3">
        <v>81</v>
      </c>
      <c r="P130" s="1">
        <v>4</v>
      </c>
      <c r="Q130" s="1">
        <v>9</v>
      </c>
      <c r="R130" s="1">
        <v>200010027861</v>
      </c>
      <c r="S130" s="1">
        <v>29</v>
      </c>
      <c r="T130" s="1">
        <v>1</v>
      </c>
      <c r="U130" s="1">
        <v>1</v>
      </c>
      <c r="V130">
        <f t="shared" si="1"/>
        <v>81</v>
      </c>
    </row>
    <row r="131" spans="1:22" ht="13" x14ac:dyDescent="0.15">
      <c r="A131" s="4">
        <v>44774</v>
      </c>
      <c r="B131" s="5">
        <v>0.5040162037037037</v>
      </c>
      <c r="C131" s="1">
        <v>1317</v>
      </c>
      <c r="D131" s="1">
        <v>13002561</v>
      </c>
      <c r="E131" s="1">
        <v>13</v>
      </c>
      <c r="F131" s="1">
        <v>22589</v>
      </c>
      <c r="G131" s="1" t="s">
        <v>21</v>
      </c>
      <c r="H131" s="1">
        <v>15</v>
      </c>
      <c r="I131" s="1">
        <v>320182</v>
      </c>
      <c r="J131" s="1" t="s">
        <v>207</v>
      </c>
      <c r="K131" s="1" t="s">
        <v>61</v>
      </c>
      <c r="L131" s="1" t="s">
        <v>208</v>
      </c>
      <c r="M131" s="1">
        <v>1</v>
      </c>
      <c r="N131" s="2">
        <v>2796.59</v>
      </c>
      <c r="O131" s="3">
        <v>3832</v>
      </c>
      <c r="P131" s="1">
        <v>383</v>
      </c>
      <c r="Q131" s="1">
        <v>9</v>
      </c>
      <c r="R131" s="1">
        <v>200010016190</v>
      </c>
      <c r="S131" s="1">
        <v>29</v>
      </c>
      <c r="T131" s="1">
        <v>1</v>
      </c>
      <c r="U131" s="1">
        <v>1</v>
      </c>
      <c r="V131">
        <f t="shared" ref="V131:V194" si="2">O131*M131</f>
        <v>3832</v>
      </c>
    </row>
    <row r="132" spans="1:22" ht="13" x14ac:dyDescent="0.15">
      <c r="A132" s="4">
        <v>44774</v>
      </c>
      <c r="B132" s="5">
        <v>0.50451388888888893</v>
      </c>
      <c r="C132" s="1">
        <v>1318</v>
      </c>
      <c r="D132" s="1">
        <v>13002561</v>
      </c>
      <c r="E132" s="1">
        <v>13</v>
      </c>
      <c r="F132" s="1">
        <v>22589</v>
      </c>
      <c r="G132" s="1" t="s">
        <v>21</v>
      </c>
      <c r="H132" s="1">
        <v>15</v>
      </c>
      <c r="I132" s="1">
        <v>12572</v>
      </c>
      <c r="J132" s="1" t="s">
        <v>209</v>
      </c>
      <c r="K132" s="1" t="s">
        <v>29</v>
      </c>
      <c r="L132" s="1" t="s">
        <v>210</v>
      </c>
      <c r="M132" s="1">
        <v>1</v>
      </c>
      <c r="N132" s="2">
        <v>234.28</v>
      </c>
      <c r="O132" s="3">
        <v>317</v>
      </c>
      <c r="P132" s="1">
        <v>22</v>
      </c>
      <c r="Q132" s="1">
        <v>9</v>
      </c>
      <c r="R132" s="1">
        <v>200010002907</v>
      </c>
      <c r="S132" s="1">
        <v>29</v>
      </c>
      <c r="T132" s="1">
        <v>1</v>
      </c>
      <c r="U132" s="1">
        <v>1</v>
      </c>
      <c r="V132">
        <f t="shared" si="2"/>
        <v>317</v>
      </c>
    </row>
    <row r="133" spans="1:22" ht="13" x14ac:dyDescent="0.15">
      <c r="A133" s="4">
        <v>44774</v>
      </c>
      <c r="B133" s="5">
        <v>0.50565972222222222</v>
      </c>
      <c r="C133" s="1">
        <v>1319</v>
      </c>
      <c r="D133" s="1">
        <v>13002561</v>
      </c>
      <c r="E133" s="1">
        <v>13</v>
      </c>
      <c r="F133" s="1">
        <v>22589</v>
      </c>
      <c r="G133" s="1" t="s">
        <v>21</v>
      </c>
      <c r="H133" s="1">
        <v>18</v>
      </c>
      <c r="I133" s="1">
        <v>413067</v>
      </c>
      <c r="J133" s="1" t="s">
        <v>211</v>
      </c>
      <c r="K133" s="1" t="s">
        <v>51</v>
      </c>
      <c r="L133" s="1" t="s">
        <v>212</v>
      </c>
      <c r="M133" s="1">
        <v>1</v>
      </c>
      <c r="N133" s="2">
        <v>46.56</v>
      </c>
      <c r="O133" s="3">
        <v>59</v>
      </c>
      <c r="P133" s="1">
        <v>2</v>
      </c>
      <c r="Q133" s="1">
        <v>9</v>
      </c>
      <c r="R133" s="1">
        <v>200010015482</v>
      </c>
      <c r="S133" s="1">
        <v>29</v>
      </c>
      <c r="T133" s="1">
        <v>1</v>
      </c>
      <c r="U133" s="1">
        <v>2</v>
      </c>
      <c r="V133">
        <f t="shared" si="2"/>
        <v>59</v>
      </c>
    </row>
    <row r="134" spans="1:22" ht="13" x14ac:dyDescent="0.15">
      <c r="A134" s="4">
        <v>44774</v>
      </c>
      <c r="B134" s="5">
        <v>0.50565972222222222</v>
      </c>
      <c r="C134" s="1">
        <v>1319</v>
      </c>
      <c r="D134" s="1">
        <v>13002561</v>
      </c>
      <c r="E134" s="1">
        <v>13</v>
      </c>
      <c r="F134" s="1">
        <v>22589</v>
      </c>
      <c r="G134" s="1" t="s">
        <v>21</v>
      </c>
      <c r="H134" s="1">
        <v>18</v>
      </c>
      <c r="I134" s="1">
        <v>2039</v>
      </c>
      <c r="J134" s="1" t="s">
        <v>213</v>
      </c>
      <c r="K134" s="1" t="s">
        <v>23</v>
      </c>
      <c r="L134" s="1" t="s">
        <v>214</v>
      </c>
      <c r="M134" s="1">
        <v>1</v>
      </c>
      <c r="N134" s="2">
        <v>81.39</v>
      </c>
      <c r="O134" s="3">
        <v>99</v>
      </c>
      <c r="P134" s="1">
        <v>4</v>
      </c>
      <c r="Q134" s="1">
        <v>9</v>
      </c>
      <c r="R134" s="1">
        <v>200010015482</v>
      </c>
      <c r="S134" s="1">
        <v>29</v>
      </c>
      <c r="T134" s="1">
        <v>1</v>
      </c>
      <c r="U134" s="1">
        <v>1</v>
      </c>
      <c r="V134">
        <f t="shared" si="2"/>
        <v>99</v>
      </c>
    </row>
    <row r="135" spans="1:22" ht="13" x14ac:dyDescent="0.15">
      <c r="A135" s="4">
        <v>44774</v>
      </c>
      <c r="B135" s="5">
        <v>0.50760416666666663</v>
      </c>
      <c r="C135" s="1">
        <v>1320</v>
      </c>
      <c r="D135" s="1">
        <v>13002561</v>
      </c>
      <c r="E135" s="1">
        <v>13</v>
      </c>
      <c r="F135" s="1">
        <v>22589</v>
      </c>
      <c r="G135" s="1" t="s">
        <v>21</v>
      </c>
      <c r="H135" s="1">
        <v>15</v>
      </c>
      <c r="I135" s="1">
        <v>82008</v>
      </c>
      <c r="J135" s="1" t="s">
        <v>215</v>
      </c>
      <c r="K135" s="1" t="s">
        <v>51</v>
      </c>
      <c r="L135" s="1" t="s">
        <v>216</v>
      </c>
      <c r="M135" s="1">
        <v>1</v>
      </c>
      <c r="N135" s="2">
        <v>34.42</v>
      </c>
      <c r="O135" s="3">
        <v>39</v>
      </c>
      <c r="P135" s="1">
        <v>1</v>
      </c>
      <c r="Q135" s="1">
        <v>9</v>
      </c>
      <c r="R135" s="1">
        <v>200010018337</v>
      </c>
      <c r="S135" s="1">
        <v>29</v>
      </c>
      <c r="T135" s="1">
        <v>1</v>
      </c>
      <c r="U135" s="1">
        <v>6</v>
      </c>
      <c r="V135">
        <f t="shared" si="2"/>
        <v>39</v>
      </c>
    </row>
    <row r="136" spans="1:22" ht="13" x14ac:dyDescent="0.15">
      <c r="A136" s="4">
        <v>44774</v>
      </c>
      <c r="B136" s="5">
        <v>0.50760416666666663</v>
      </c>
      <c r="C136" s="1">
        <v>1320</v>
      </c>
      <c r="D136" s="1">
        <v>13002561</v>
      </c>
      <c r="E136" s="1">
        <v>13</v>
      </c>
      <c r="F136" s="1">
        <v>22589</v>
      </c>
      <c r="G136" s="1" t="s">
        <v>21</v>
      </c>
      <c r="H136" s="1">
        <v>15</v>
      </c>
      <c r="I136" s="1">
        <v>82008</v>
      </c>
      <c r="J136" s="1" t="s">
        <v>215</v>
      </c>
      <c r="K136" s="1" t="s">
        <v>51</v>
      </c>
      <c r="L136" s="1" t="s">
        <v>216</v>
      </c>
      <c r="M136" s="1">
        <v>1</v>
      </c>
      <c r="N136" s="2">
        <v>34.42</v>
      </c>
      <c r="O136" s="3">
        <v>39</v>
      </c>
      <c r="P136" s="1">
        <v>1</v>
      </c>
      <c r="Q136" s="1">
        <v>9</v>
      </c>
      <c r="R136" s="1">
        <v>200010018337</v>
      </c>
      <c r="S136" s="1">
        <v>29</v>
      </c>
      <c r="T136" s="1">
        <v>1</v>
      </c>
      <c r="U136" s="1">
        <v>7</v>
      </c>
      <c r="V136">
        <f t="shared" si="2"/>
        <v>39</v>
      </c>
    </row>
    <row r="137" spans="1:22" ht="13" x14ac:dyDescent="0.15">
      <c r="A137" s="4">
        <v>44774</v>
      </c>
      <c r="B137" s="5">
        <v>0.50760416666666663</v>
      </c>
      <c r="C137" s="1">
        <v>1320</v>
      </c>
      <c r="D137" s="1">
        <v>13002561</v>
      </c>
      <c r="E137" s="1">
        <v>13</v>
      </c>
      <c r="F137" s="1">
        <v>22589</v>
      </c>
      <c r="G137" s="1" t="s">
        <v>21</v>
      </c>
      <c r="H137" s="1">
        <v>15</v>
      </c>
      <c r="I137" s="1">
        <v>339868</v>
      </c>
      <c r="J137" s="1" t="s">
        <v>217</v>
      </c>
      <c r="K137" s="1" t="s">
        <v>34</v>
      </c>
      <c r="L137" s="1" t="s">
        <v>218</v>
      </c>
      <c r="M137" s="1">
        <v>1</v>
      </c>
      <c r="N137" s="2">
        <v>40.369999999999997</v>
      </c>
      <c r="O137" s="3">
        <v>50</v>
      </c>
      <c r="P137" s="1">
        <v>2</v>
      </c>
      <c r="Q137" s="1">
        <v>9</v>
      </c>
      <c r="R137" s="1">
        <v>200010018337</v>
      </c>
      <c r="S137" s="1">
        <v>29</v>
      </c>
      <c r="T137" s="1">
        <v>1</v>
      </c>
      <c r="U137" s="1">
        <v>4</v>
      </c>
      <c r="V137">
        <f t="shared" si="2"/>
        <v>50</v>
      </c>
    </row>
    <row r="138" spans="1:22" ht="13" x14ac:dyDescent="0.15">
      <c r="A138" s="4">
        <v>44774</v>
      </c>
      <c r="B138" s="5">
        <v>0.79335648148148152</v>
      </c>
      <c r="C138" s="1">
        <v>1406</v>
      </c>
      <c r="D138" s="1">
        <v>13002561</v>
      </c>
      <c r="E138" s="1">
        <v>13</v>
      </c>
      <c r="F138" s="1">
        <v>22589</v>
      </c>
      <c r="G138" s="1" t="s">
        <v>21</v>
      </c>
      <c r="H138" s="1">
        <v>15</v>
      </c>
      <c r="I138" s="1">
        <v>339868</v>
      </c>
      <c r="J138" s="1" t="s">
        <v>217</v>
      </c>
      <c r="K138" s="1" t="s">
        <v>34</v>
      </c>
      <c r="L138" s="1" t="s">
        <v>218</v>
      </c>
      <c r="M138" s="1">
        <v>1</v>
      </c>
      <c r="N138" s="2">
        <v>40.369999999999997</v>
      </c>
      <c r="O138" s="3">
        <v>50</v>
      </c>
      <c r="P138" s="1">
        <v>2</v>
      </c>
      <c r="Q138" s="1">
        <v>9</v>
      </c>
      <c r="R138" s="1">
        <v>200010022528</v>
      </c>
      <c r="S138" s="1">
        <v>29</v>
      </c>
      <c r="T138" s="1">
        <v>1</v>
      </c>
      <c r="U138" s="1">
        <v>8</v>
      </c>
      <c r="V138">
        <f t="shared" si="2"/>
        <v>50</v>
      </c>
    </row>
    <row r="139" spans="1:22" ht="13" x14ac:dyDescent="0.15">
      <c r="A139" s="4">
        <v>44774</v>
      </c>
      <c r="B139" s="5">
        <v>0.79335648148148152</v>
      </c>
      <c r="C139" s="1">
        <v>1406</v>
      </c>
      <c r="D139" s="1">
        <v>13002561</v>
      </c>
      <c r="E139" s="1">
        <v>13</v>
      </c>
      <c r="F139" s="1">
        <v>22589</v>
      </c>
      <c r="G139" s="1" t="s">
        <v>21</v>
      </c>
      <c r="H139" s="1">
        <v>15</v>
      </c>
      <c r="I139" s="1">
        <v>339868</v>
      </c>
      <c r="J139" s="1" t="s">
        <v>217</v>
      </c>
      <c r="K139" s="1" t="s">
        <v>34</v>
      </c>
      <c r="L139" s="1" t="s">
        <v>218</v>
      </c>
      <c r="M139" s="1">
        <v>1</v>
      </c>
      <c r="N139" s="2">
        <v>40.369999999999997</v>
      </c>
      <c r="O139" s="3">
        <v>50</v>
      </c>
      <c r="P139" s="1">
        <v>2</v>
      </c>
      <c r="Q139" s="1">
        <v>9</v>
      </c>
      <c r="R139" s="1">
        <v>200010022528</v>
      </c>
      <c r="S139" s="1">
        <v>29</v>
      </c>
      <c r="T139" s="1">
        <v>1</v>
      </c>
      <c r="U139" s="1">
        <v>9</v>
      </c>
      <c r="V139">
        <f t="shared" si="2"/>
        <v>50</v>
      </c>
    </row>
    <row r="140" spans="1:22" ht="13" x14ac:dyDescent="0.15">
      <c r="A140" s="4">
        <v>44774</v>
      </c>
      <c r="B140" s="5">
        <v>0.79335648148148152</v>
      </c>
      <c r="C140" s="1">
        <v>1406</v>
      </c>
      <c r="D140" s="1">
        <v>13002561</v>
      </c>
      <c r="E140" s="1">
        <v>13</v>
      </c>
      <c r="F140" s="1">
        <v>22589</v>
      </c>
      <c r="G140" s="1" t="s">
        <v>21</v>
      </c>
      <c r="H140" s="1">
        <v>15</v>
      </c>
      <c r="I140" s="1">
        <v>339868</v>
      </c>
      <c r="J140" s="1" t="s">
        <v>217</v>
      </c>
      <c r="K140" s="1" t="s">
        <v>34</v>
      </c>
      <c r="L140" s="1" t="s">
        <v>218</v>
      </c>
      <c r="M140" s="1">
        <v>1</v>
      </c>
      <c r="N140" s="2">
        <v>40.369999999999997</v>
      </c>
      <c r="O140" s="3">
        <v>50</v>
      </c>
      <c r="P140" s="1">
        <v>2</v>
      </c>
      <c r="Q140" s="1">
        <v>9</v>
      </c>
      <c r="R140" s="1">
        <v>200010022528</v>
      </c>
      <c r="S140" s="1">
        <v>29</v>
      </c>
      <c r="T140" s="1">
        <v>1</v>
      </c>
      <c r="U140" s="1">
        <v>10</v>
      </c>
      <c r="V140">
        <f t="shared" si="2"/>
        <v>50</v>
      </c>
    </row>
    <row r="141" spans="1:22" ht="13" x14ac:dyDescent="0.15">
      <c r="A141" s="4">
        <v>44774</v>
      </c>
      <c r="B141" s="5">
        <v>0.79335648148148152</v>
      </c>
      <c r="C141" s="1">
        <v>1406</v>
      </c>
      <c r="D141" s="1">
        <v>13002561</v>
      </c>
      <c r="E141" s="1">
        <v>13</v>
      </c>
      <c r="F141" s="1">
        <v>22589</v>
      </c>
      <c r="G141" s="1" t="s">
        <v>21</v>
      </c>
      <c r="H141" s="1">
        <v>15</v>
      </c>
      <c r="I141" s="1">
        <v>339868</v>
      </c>
      <c r="J141" s="1" t="s">
        <v>217</v>
      </c>
      <c r="K141" s="1" t="s">
        <v>34</v>
      </c>
      <c r="L141" s="1" t="s">
        <v>218</v>
      </c>
      <c r="M141" s="1">
        <v>1</v>
      </c>
      <c r="N141" s="2">
        <v>40.369999999999997</v>
      </c>
      <c r="O141" s="3">
        <v>50</v>
      </c>
      <c r="P141" s="1">
        <v>2</v>
      </c>
      <c r="Q141" s="1">
        <v>9</v>
      </c>
      <c r="R141" s="1">
        <v>200010022528</v>
      </c>
      <c r="S141" s="1">
        <v>29</v>
      </c>
      <c r="T141" s="1">
        <v>1</v>
      </c>
      <c r="U141" s="1">
        <v>11</v>
      </c>
      <c r="V141">
        <f t="shared" si="2"/>
        <v>50</v>
      </c>
    </row>
    <row r="142" spans="1:22" ht="13" x14ac:dyDescent="0.15">
      <c r="A142" s="4">
        <v>44774</v>
      </c>
      <c r="B142" s="5">
        <v>0.79335648148148152</v>
      </c>
      <c r="C142" s="1">
        <v>1406</v>
      </c>
      <c r="D142" s="1">
        <v>13002561</v>
      </c>
      <c r="E142" s="1">
        <v>13</v>
      </c>
      <c r="F142" s="1">
        <v>22589</v>
      </c>
      <c r="G142" s="1" t="s">
        <v>21</v>
      </c>
      <c r="H142" s="1">
        <v>15</v>
      </c>
      <c r="I142" s="1">
        <v>339868</v>
      </c>
      <c r="J142" s="1" t="s">
        <v>217</v>
      </c>
      <c r="K142" s="1" t="s">
        <v>34</v>
      </c>
      <c r="L142" s="1" t="s">
        <v>218</v>
      </c>
      <c r="M142" s="1">
        <v>1</v>
      </c>
      <c r="N142" s="2">
        <v>40.369999999999997</v>
      </c>
      <c r="O142" s="3">
        <v>50</v>
      </c>
      <c r="P142" s="1">
        <v>2</v>
      </c>
      <c r="Q142" s="1">
        <v>9</v>
      </c>
      <c r="R142" s="1">
        <v>200010022528</v>
      </c>
      <c r="S142" s="1">
        <v>29</v>
      </c>
      <c r="T142" s="1">
        <v>1</v>
      </c>
      <c r="U142" s="1">
        <v>12</v>
      </c>
      <c r="V142">
        <f t="shared" si="2"/>
        <v>50</v>
      </c>
    </row>
    <row r="143" spans="1:22" ht="13" x14ac:dyDescent="0.15">
      <c r="A143" s="4">
        <v>44774</v>
      </c>
      <c r="B143" s="5">
        <v>0.50760416666666663</v>
      </c>
      <c r="C143" s="1">
        <v>1320</v>
      </c>
      <c r="D143" s="1">
        <v>13002561</v>
      </c>
      <c r="E143" s="1">
        <v>13</v>
      </c>
      <c r="F143" s="1">
        <v>22589</v>
      </c>
      <c r="G143" s="1" t="s">
        <v>21</v>
      </c>
      <c r="H143" s="1">
        <v>15</v>
      </c>
      <c r="I143" s="1">
        <v>30427</v>
      </c>
      <c r="J143" s="1" t="s">
        <v>219</v>
      </c>
      <c r="K143" s="1" t="s">
        <v>51</v>
      </c>
      <c r="L143" s="1" t="s">
        <v>220</v>
      </c>
      <c r="M143" s="1">
        <v>1</v>
      </c>
      <c r="N143" s="2">
        <v>130.96</v>
      </c>
      <c r="O143" s="3">
        <v>155</v>
      </c>
      <c r="P143" s="1">
        <v>7</v>
      </c>
      <c r="Q143" s="1">
        <v>9</v>
      </c>
      <c r="R143" s="1">
        <v>200010018337</v>
      </c>
      <c r="S143" s="1">
        <v>29</v>
      </c>
      <c r="T143" s="1">
        <v>1</v>
      </c>
      <c r="U143" s="1">
        <v>5</v>
      </c>
      <c r="V143">
        <f t="shared" si="2"/>
        <v>155</v>
      </c>
    </row>
    <row r="144" spans="1:22" ht="13" x14ac:dyDescent="0.15">
      <c r="A144" s="4">
        <v>44774</v>
      </c>
      <c r="B144" s="5">
        <v>0.50760416666666663</v>
      </c>
      <c r="C144" s="1">
        <v>1320</v>
      </c>
      <c r="D144" s="1">
        <v>13002561</v>
      </c>
      <c r="E144" s="1">
        <v>13</v>
      </c>
      <c r="F144" s="1">
        <v>22589</v>
      </c>
      <c r="G144" s="1" t="s">
        <v>21</v>
      </c>
      <c r="H144" s="1">
        <v>15</v>
      </c>
      <c r="I144" s="1">
        <v>497882</v>
      </c>
      <c r="J144" s="1" t="s">
        <v>221</v>
      </c>
      <c r="K144" s="1" t="s">
        <v>48</v>
      </c>
      <c r="L144" s="1" t="s">
        <v>222</v>
      </c>
      <c r="M144" s="1">
        <v>1</v>
      </c>
      <c r="N144" s="2">
        <v>61.96</v>
      </c>
      <c r="O144" s="3">
        <v>88</v>
      </c>
      <c r="P144" s="1">
        <v>6</v>
      </c>
      <c r="Q144" s="1">
        <v>9</v>
      </c>
      <c r="R144" s="1">
        <v>200010018337</v>
      </c>
      <c r="S144" s="1">
        <v>29</v>
      </c>
      <c r="T144" s="1">
        <v>1</v>
      </c>
      <c r="U144" s="1">
        <v>8</v>
      </c>
      <c r="V144">
        <f t="shared" si="2"/>
        <v>88</v>
      </c>
    </row>
    <row r="145" spans="1:22" ht="13" x14ac:dyDescent="0.15">
      <c r="A145" s="4">
        <v>44774</v>
      </c>
      <c r="B145" s="5">
        <v>0.50835648148148149</v>
      </c>
      <c r="C145" s="1">
        <v>1321</v>
      </c>
      <c r="D145" s="1">
        <v>13002561</v>
      </c>
      <c r="E145" s="1">
        <v>13</v>
      </c>
      <c r="F145" s="1">
        <v>22589</v>
      </c>
      <c r="G145" s="1" t="s">
        <v>21</v>
      </c>
      <c r="H145" s="1">
        <v>18</v>
      </c>
      <c r="I145" s="1">
        <v>55575</v>
      </c>
      <c r="J145" s="1" t="s">
        <v>223</v>
      </c>
      <c r="K145" s="1" t="s">
        <v>51</v>
      </c>
      <c r="L145" s="1" t="s">
        <v>224</v>
      </c>
      <c r="M145" s="1">
        <v>1</v>
      </c>
      <c r="N145" s="2">
        <v>6.96</v>
      </c>
      <c r="O145" s="3">
        <v>12</v>
      </c>
      <c r="P145" s="1">
        <v>1</v>
      </c>
      <c r="Q145" s="1">
        <v>9</v>
      </c>
      <c r="R145" s="1">
        <v>200010022507</v>
      </c>
      <c r="S145" s="1">
        <v>29</v>
      </c>
      <c r="T145" s="1">
        <v>1</v>
      </c>
      <c r="U145" s="1">
        <v>2</v>
      </c>
      <c r="V145">
        <f t="shared" si="2"/>
        <v>12</v>
      </c>
    </row>
    <row r="146" spans="1:22" ht="13" x14ac:dyDescent="0.15">
      <c r="A146" s="4">
        <v>44774</v>
      </c>
      <c r="B146" s="5">
        <v>0.78233796296296299</v>
      </c>
      <c r="C146" s="1">
        <v>1402</v>
      </c>
      <c r="D146" s="1">
        <v>13002561</v>
      </c>
      <c r="E146" s="1">
        <v>13</v>
      </c>
      <c r="F146" s="1">
        <v>22589</v>
      </c>
      <c r="G146" s="1" t="s">
        <v>21</v>
      </c>
      <c r="H146" s="1">
        <v>18</v>
      </c>
      <c r="I146" s="1">
        <v>55575</v>
      </c>
      <c r="J146" s="1" t="s">
        <v>223</v>
      </c>
      <c r="K146" s="1" t="s">
        <v>51</v>
      </c>
      <c r="L146" s="1" t="s">
        <v>224</v>
      </c>
      <c r="M146" s="1">
        <v>2</v>
      </c>
      <c r="N146" s="2">
        <v>6.96</v>
      </c>
      <c r="O146" s="3">
        <v>12</v>
      </c>
      <c r="P146" s="1">
        <v>2</v>
      </c>
      <c r="Q146" s="1">
        <v>9</v>
      </c>
      <c r="R146" s="1">
        <v>200010012073</v>
      </c>
      <c r="S146" s="1">
        <v>29</v>
      </c>
      <c r="T146" s="1">
        <v>1</v>
      </c>
      <c r="U146" s="1">
        <v>3</v>
      </c>
      <c r="V146">
        <f t="shared" si="2"/>
        <v>24</v>
      </c>
    </row>
    <row r="147" spans="1:22" ht="13" x14ac:dyDescent="0.15">
      <c r="A147" s="4">
        <v>44774</v>
      </c>
      <c r="B147" s="5">
        <v>0.50835648148148149</v>
      </c>
      <c r="C147" s="1">
        <v>1321</v>
      </c>
      <c r="D147" s="1">
        <v>13002561</v>
      </c>
      <c r="E147" s="1">
        <v>13</v>
      </c>
      <c r="F147" s="1">
        <v>22589</v>
      </c>
      <c r="G147" s="1" t="s">
        <v>21</v>
      </c>
      <c r="H147" s="1">
        <v>18</v>
      </c>
      <c r="I147" s="1">
        <v>162483</v>
      </c>
      <c r="J147" s="1" t="s">
        <v>225</v>
      </c>
      <c r="K147" s="1" t="s">
        <v>51</v>
      </c>
      <c r="L147" s="1" t="s">
        <v>226</v>
      </c>
      <c r="M147" s="1">
        <v>1</v>
      </c>
      <c r="N147" s="2">
        <v>8.08</v>
      </c>
      <c r="O147" s="3">
        <v>14</v>
      </c>
      <c r="P147" s="1">
        <v>1</v>
      </c>
      <c r="Q147" s="1">
        <v>9</v>
      </c>
      <c r="R147" s="1">
        <v>200010022507</v>
      </c>
      <c r="S147" s="1">
        <v>29</v>
      </c>
      <c r="T147" s="1">
        <v>1</v>
      </c>
      <c r="U147" s="1">
        <v>1</v>
      </c>
      <c r="V147">
        <f t="shared" si="2"/>
        <v>14</v>
      </c>
    </row>
    <row r="148" spans="1:22" ht="13" x14ac:dyDescent="0.15">
      <c r="A148" s="4">
        <v>44774</v>
      </c>
      <c r="B148" s="5">
        <v>0.51023148148148145</v>
      </c>
      <c r="C148" s="1">
        <v>1322</v>
      </c>
      <c r="D148" s="1">
        <v>13002561</v>
      </c>
      <c r="E148" s="1">
        <v>13</v>
      </c>
      <c r="F148" s="1">
        <v>22589</v>
      </c>
      <c r="G148" s="1" t="s">
        <v>21</v>
      </c>
      <c r="H148" s="1">
        <v>18</v>
      </c>
      <c r="I148" s="1">
        <v>388404</v>
      </c>
      <c r="J148" s="1" t="s">
        <v>227</v>
      </c>
      <c r="K148" s="1" t="s">
        <v>61</v>
      </c>
      <c r="L148" s="1" t="s">
        <v>228</v>
      </c>
      <c r="M148" s="1">
        <v>1</v>
      </c>
      <c r="N148" s="2">
        <v>56.21</v>
      </c>
      <c r="O148" s="3">
        <v>80</v>
      </c>
      <c r="P148" s="1">
        <v>0</v>
      </c>
      <c r="Q148" s="1" t="s">
        <v>25</v>
      </c>
      <c r="R148" s="1" t="s">
        <v>25</v>
      </c>
      <c r="S148" s="1">
        <v>29</v>
      </c>
      <c r="T148" s="1">
        <v>1</v>
      </c>
      <c r="U148" s="1">
        <v>1</v>
      </c>
      <c r="V148">
        <f t="shared" si="2"/>
        <v>80</v>
      </c>
    </row>
    <row r="149" spans="1:22" ht="13" x14ac:dyDescent="0.15">
      <c r="A149" s="4">
        <v>44774</v>
      </c>
      <c r="B149" s="5">
        <v>0.51023148148148145</v>
      </c>
      <c r="C149" s="1">
        <v>1322</v>
      </c>
      <c r="D149" s="1">
        <v>13002561</v>
      </c>
      <c r="E149" s="1">
        <v>13</v>
      </c>
      <c r="F149" s="1">
        <v>22589</v>
      </c>
      <c r="G149" s="1" t="s">
        <v>21</v>
      </c>
      <c r="H149" s="1">
        <v>18</v>
      </c>
      <c r="I149" s="1">
        <v>298510</v>
      </c>
      <c r="J149" s="1" t="s">
        <v>229</v>
      </c>
      <c r="K149" s="1" t="s">
        <v>51</v>
      </c>
      <c r="L149" s="1" t="s">
        <v>230</v>
      </c>
      <c r="M149" s="1">
        <v>1</v>
      </c>
      <c r="N149" s="2">
        <v>54.29</v>
      </c>
      <c r="O149" s="3">
        <v>68</v>
      </c>
      <c r="P149" s="1">
        <v>0</v>
      </c>
      <c r="Q149" s="1" t="s">
        <v>25</v>
      </c>
      <c r="R149" s="1" t="s">
        <v>25</v>
      </c>
      <c r="S149" s="1">
        <v>29</v>
      </c>
      <c r="T149" s="1">
        <v>1</v>
      </c>
      <c r="U149" s="1">
        <v>3</v>
      </c>
      <c r="V149">
        <f t="shared" si="2"/>
        <v>68</v>
      </c>
    </row>
    <row r="150" spans="1:22" ht="13" x14ac:dyDescent="0.15">
      <c r="A150" s="4">
        <v>44774</v>
      </c>
      <c r="B150" s="5">
        <v>0.51023148148148145</v>
      </c>
      <c r="C150" s="1">
        <v>1322</v>
      </c>
      <c r="D150" s="1">
        <v>13002561</v>
      </c>
      <c r="E150" s="1">
        <v>13</v>
      </c>
      <c r="F150" s="1">
        <v>22589</v>
      </c>
      <c r="G150" s="1" t="s">
        <v>21</v>
      </c>
      <c r="H150" s="1">
        <v>18</v>
      </c>
      <c r="I150" s="1">
        <v>276810</v>
      </c>
      <c r="J150" s="1" t="s">
        <v>231</v>
      </c>
      <c r="K150" s="1" t="s">
        <v>23</v>
      </c>
      <c r="L150" s="1" t="s">
        <v>192</v>
      </c>
      <c r="M150" s="1">
        <v>1</v>
      </c>
      <c r="N150" s="2">
        <v>317.89</v>
      </c>
      <c r="O150" s="3">
        <v>359</v>
      </c>
      <c r="P150" s="1">
        <v>35</v>
      </c>
      <c r="Q150" s="1">
        <v>30</v>
      </c>
      <c r="R150" s="1">
        <v>200000000024</v>
      </c>
      <c r="S150" s="1">
        <v>29</v>
      </c>
      <c r="T150" s="1">
        <v>1</v>
      </c>
      <c r="U150" s="1">
        <v>2</v>
      </c>
      <c r="V150">
        <f t="shared" si="2"/>
        <v>359</v>
      </c>
    </row>
    <row r="151" spans="1:22" ht="13" x14ac:dyDescent="0.15">
      <c r="A151" s="4">
        <v>44774</v>
      </c>
      <c r="B151" s="5">
        <v>0.5113078703703704</v>
      </c>
      <c r="C151" s="1">
        <v>1323</v>
      </c>
      <c r="D151" s="1">
        <v>13002561</v>
      </c>
      <c r="E151" s="1">
        <v>13</v>
      </c>
      <c r="F151" s="1">
        <v>22589</v>
      </c>
      <c r="G151" s="1" t="s">
        <v>21</v>
      </c>
      <c r="H151" s="1">
        <v>18</v>
      </c>
      <c r="I151" s="1">
        <v>20840</v>
      </c>
      <c r="J151" s="1" t="s">
        <v>232</v>
      </c>
      <c r="K151" s="1" t="s">
        <v>23</v>
      </c>
      <c r="L151" s="1" t="s">
        <v>233</v>
      </c>
      <c r="M151" s="1">
        <v>1</v>
      </c>
      <c r="N151" s="2">
        <v>126.92</v>
      </c>
      <c r="O151" s="3">
        <v>153</v>
      </c>
      <c r="P151" s="1">
        <v>7</v>
      </c>
      <c r="Q151" s="1">
        <v>9</v>
      </c>
      <c r="R151" s="1">
        <v>200010015470</v>
      </c>
      <c r="S151" s="1">
        <v>29</v>
      </c>
      <c r="T151" s="1">
        <v>1</v>
      </c>
      <c r="U151" s="1">
        <v>2</v>
      </c>
      <c r="V151">
        <f t="shared" si="2"/>
        <v>153</v>
      </c>
    </row>
    <row r="152" spans="1:22" ht="13" x14ac:dyDescent="0.15">
      <c r="A152" s="4">
        <v>44774</v>
      </c>
      <c r="B152" s="5">
        <v>0.5113078703703704</v>
      </c>
      <c r="C152" s="1">
        <v>1323</v>
      </c>
      <c r="D152" s="1">
        <v>13002561</v>
      </c>
      <c r="E152" s="1">
        <v>13</v>
      </c>
      <c r="F152" s="1">
        <v>22589</v>
      </c>
      <c r="G152" s="1" t="s">
        <v>21</v>
      </c>
      <c r="H152" s="1">
        <v>18</v>
      </c>
      <c r="I152" s="1">
        <v>506913</v>
      </c>
      <c r="J152" s="1" t="s">
        <v>234</v>
      </c>
      <c r="K152" s="1" t="s">
        <v>23</v>
      </c>
      <c r="L152" s="1" t="s">
        <v>97</v>
      </c>
      <c r="M152" s="1">
        <v>1</v>
      </c>
      <c r="N152" s="2">
        <v>10.46</v>
      </c>
      <c r="O152" s="3">
        <v>16</v>
      </c>
      <c r="P152" s="1">
        <v>1</v>
      </c>
      <c r="Q152" s="1">
        <v>9</v>
      </c>
      <c r="R152" s="1">
        <v>200010015470</v>
      </c>
      <c r="S152" s="1">
        <v>29</v>
      </c>
      <c r="T152" s="1">
        <v>1</v>
      </c>
      <c r="U152" s="1">
        <v>1</v>
      </c>
      <c r="V152">
        <f t="shared" si="2"/>
        <v>16</v>
      </c>
    </row>
    <row r="153" spans="1:22" ht="13" x14ac:dyDescent="0.15">
      <c r="A153" s="4">
        <v>44774</v>
      </c>
      <c r="B153" s="5">
        <v>0.5113078703703704</v>
      </c>
      <c r="C153" s="1">
        <v>1323</v>
      </c>
      <c r="D153" s="1">
        <v>13002561</v>
      </c>
      <c r="E153" s="1">
        <v>13</v>
      </c>
      <c r="F153" s="1">
        <v>22589</v>
      </c>
      <c r="G153" s="1" t="s">
        <v>21</v>
      </c>
      <c r="H153" s="1">
        <v>18</v>
      </c>
      <c r="I153" s="1">
        <v>298762</v>
      </c>
      <c r="J153" s="1" t="s">
        <v>235</v>
      </c>
      <c r="K153" s="1" t="s">
        <v>45</v>
      </c>
      <c r="L153" s="1" t="s">
        <v>236</v>
      </c>
      <c r="M153" s="1">
        <v>1</v>
      </c>
      <c r="N153" s="2">
        <v>105.68</v>
      </c>
      <c r="O153" s="3">
        <v>145</v>
      </c>
      <c r="P153" s="1">
        <v>10</v>
      </c>
      <c r="Q153" s="1">
        <v>9</v>
      </c>
      <c r="R153" s="1">
        <v>200010015470</v>
      </c>
      <c r="S153" s="1">
        <v>29</v>
      </c>
      <c r="T153" s="1">
        <v>1</v>
      </c>
      <c r="U153" s="1">
        <v>3</v>
      </c>
      <c r="V153">
        <f t="shared" si="2"/>
        <v>145</v>
      </c>
    </row>
    <row r="154" spans="1:22" ht="13" x14ac:dyDescent="0.15">
      <c r="A154" s="4">
        <v>44774</v>
      </c>
      <c r="B154" s="5">
        <v>0.51331018518518523</v>
      </c>
      <c r="C154" s="1">
        <v>1324</v>
      </c>
      <c r="D154" s="1">
        <v>13002561</v>
      </c>
      <c r="E154" s="1">
        <v>13</v>
      </c>
      <c r="F154" s="1">
        <v>22589</v>
      </c>
      <c r="G154" s="1" t="s">
        <v>21</v>
      </c>
      <c r="H154" s="1">
        <v>15</v>
      </c>
      <c r="I154" s="1">
        <v>345540</v>
      </c>
      <c r="J154" s="1" t="s">
        <v>237</v>
      </c>
      <c r="K154" s="1" t="s">
        <v>51</v>
      </c>
      <c r="L154" s="1" t="s">
        <v>238</v>
      </c>
      <c r="M154" s="1">
        <v>1</v>
      </c>
      <c r="N154" s="2">
        <v>17.72</v>
      </c>
      <c r="O154" s="3">
        <v>22</v>
      </c>
      <c r="P154" s="1">
        <v>0</v>
      </c>
      <c r="Q154" s="1" t="s">
        <v>25</v>
      </c>
      <c r="R154" s="1" t="s">
        <v>25</v>
      </c>
      <c r="S154" s="1">
        <v>29</v>
      </c>
      <c r="T154" s="1">
        <v>1</v>
      </c>
      <c r="U154" s="1">
        <v>3</v>
      </c>
      <c r="V154">
        <f t="shared" si="2"/>
        <v>22</v>
      </c>
    </row>
    <row r="155" spans="1:22" ht="13" x14ac:dyDescent="0.15">
      <c r="A155" s="4">
        <v>44774</v>
      </c>
      <c r="B155" s="5">
        <v>0.51331018518518523</v>
      </c>
      <c r="C155" s="1">
        <v>1324</v>
      </c>
      <c r="D155" s="1">
        <v>13002561</v>
      </c>
      <c r="E155" s="1">
        <v>13</v>
      </c>
      <c r="F155" s="1">
        <v>22589</v>
      </c>
      <c r="G155" s="1" t="s">
        <v>21</v>
      </c>
      <c r="H155" s="1">
        <v>15</v>
      </c>
      <c r="I155" s="1">
        <v>345540</v>
      </c>
      <c r="J155" s="1" t="s">
        <v>237</v>
      </c>
      <c r="K155" s="1" t="s">
        <v>51</v>
      </c>
      <c r="L155" s="1" t="s">
        <v>238</v>
      </c>
      <c r="M155" s="1">
        <v>1</v>
      </c>
      <c r="N155" s="2">
        <v>17.72</v>
      </c>
      <c r="O155" s="3">
        <v>22</v>
      </c>
      <c r="P155" s="1">
        <v>0</v>
      </c>
      <c r="Q155" s="1" t="s">
        <v>25</v>
      </c>
      <c r="R155" s="1" t="s">
        <v>25</v>
      </c>
      <c r="S155" s="1">
        <v>29</v>
      </c>
      <c r="T155" s="1">
        <v>1</v>
      </c>
      <c r="U155" s="1">
        <v>4</v>
      </c>
      <c r="V155">
        <f t="shared" si="2"/>
        <v>22</v>
      </c>
    </row>
    <row r="156" spans="1:22" ht="13" x14ac:dyDescent="0.15">
      <c r="A156" s="4">
        <v>44774</v>
      </c>
      <c r="B156" s="5">
        <v>0.51331018518518523</v>
      </c>
      <c r="C156" s="1">
        <v>1324</v>
      </c>
      <c r="D156" s="1">
        <v>13002561</v>
      </c>
      <c r="E156" s="1">
        <v>13</v>
      </c>
      <c r="F156" s="1">
        <v>22589</v>
      </c>
      <c r="G156" s="1" t="s">
        <v>21</v>
      </c>
      <c r="H156" s="1">
        <v>15</v>
      </c>
      <c r="I156" s="1">
        <v>446021</v>
      </c>
      <c r="J156" s="1" t="s">
        <v>239</v>
      </c>
      <c r="K156" s="1" t="s">
        <v>23</v>
      </c>
      <c r="L156" s="1" t="s">
        <v>97</v>
      </c>
      <c r="M156" s="1">
        <v>1</v>
      </c>
      <c r="N156" s="2">
        <v>23.38</v>
      </c>
      <c r="O156" s="3">
        <v>36</v>
      </c>
      <c r="P156" s="1">
        <v>0</v>
      </c>
      <c r="Q156" s="1" t="s">
        <v>25</v>
      </c>
      <c r="R156" s="1" t="s">
        <v>25</v>
      </c>
      <c r="S156" s="1">
        <v>29</v>
      </c>
      <c r="T156" s="1">
        <v>1</v>
      </c>
      <c r="U156" s="1">
        <v>1</v>
      </c>
      <c r="V156">
        <f t="shared" si="2"/>
        <v>36</v>
      </c>
    </row>
    <row r="157" spans="1:22" ht="13" x14ac:dyDescent="0.15">
      <c r="A157" s="4">
        <v>44774</v>
      </c>
      <c r="B157" s="5">
        <v>0.79335648148148152</v>
      </c>
      <c r="C157" s="1">
        <v>1406</v>
      </c>
      <c r="D157" s="1">
        <v>13002561</v>
      </c>
      <c r="E157" s="1">
        <v>13</v>
      </c>
      <c r="F157" s="1">
        <v>22589</v>
      </c>
      <c r="G157" s="1" t="s">
        <v>21</v>
      </c>
      <c r="H157" s="1">
        <v>15</v>
      </c>
      <c r="I157" s="1">
        <v>446021</v>
      </c>
      <c r="J157" s="1" t="s">
        <v>239</v>
      </c>
      <c r="K157" s="1" t="s">
        <v>23</v>
      </c>
      <c r="L157" s="1" t="s">
        <v>97</v>
      </c>
      <c r="M157" s="1">
        <v>1</v>
      </c>
      <c r="N157" s="2">
        <v>23.38</v>
      </c>
      <c r="O157" s="3">
        <v>36</v>
      </c>
      <c r="P157" s="1">
        <v>2</v>
      </c>
      <c r="Q157" s="1">
        <v>9</v>
      </c>
      <c r="R157" s="1">
        <v>200010022528</v>
      </c>
      <c r="S157" s="1">
        <v>29</v>
      </c>
      <c r="T157" s="1">
        <v>1</v>
      </c>
      <c r="U157" s="1">
        <v>5</v>
      </c>
      <c r="V157">
        <f t="shared" si="2"/>
        <v>36</v>
      </c>
    </row>
    <row r="158" spans="1:22" ht="13" x14ac:dyDescent="0.15">
      <c r="A158" s="4">
        <v>44774</v>
      </c>
      <c r="B158" s="5">
        <v>0.79335648148148152</v>
      </c>
      <c r="C158" s="1">
        <v>1406</v>
      </c>
      <c r="D158" s="1">
        <v>13002561</v>
      </c>
      <c r="E158" s="1">
        <v>13</v>
      </c>
      <c r="F158" s="1">
        <v>22589</v>
      </c>
      <c r="G158" s="1" t="s">
        <v>21</v>
      </c>
      <c r="H158" s="1">
        <v>15</v>
      </c>
      <c r="I158" s="1">
        <v>446021</v>
      </c>
      <c r="J158" s="1" t="s">
        <v>239</v>
      </c>
      <c r="K158" s="1" t="s">
        <v>23</v>
      </c>
      <c r="L158" s="1" t="s">
        <v>97</v>
      </c>
      <c r="M158" s="1">
        <v>1</v>
      </c>
      <c r="N158" s="2">
        <v>23.38</v>
      </c>
      <c r="O158" s="3">
        <v>36</v>
      </c>
      <c r="P158" s="1">
        <v>2</v>
      </c>
      <c r="Q158" s="1">
        <v>9</v>
      </c>
      <c r="R158" s="1">
        <v>200010022528</v>
      </c>
      <c r="S158" s="1">
        <v>29</v>
      </c>
      <c r="T158" s="1">
        <v>1</v>
      </c>
      <c r="U158" s="1">
        <v>6</v>
      </c>
      <c r="V158">
        <f t="shared" si="2"/>
        <v>36</v>
      </c>
    </row>
    <row r="159" spans="1:22" ht="13" x14ac:dyDescent="0.15">
      <c r="A159" s="4">
        <v>44774</v>
      </c>
      <c r="B159" s="5">
        <v>0.79335648148148152</v>
      </c>
      <c r="C159" s="1">
        <v>1406</v>
      </c>
      <c r="D159" s="1">
        <v>13002561</v>
      </c>
      <c r="E159" s="1">
        <v>13</v>
      </c>
      <c r="F159" s="1">
        <v>22589</v>
      </c>
      <c r="G159" s="1" t="s">
        <v>21</v>
      </c>
      <c r="H159" s="1">
        <v>15</v>
      </c>
      <c r="I159" s="1">
        <v>446021</v>
      </c>
      <c r="J159" s="1" t="s">
        <v>239</v>
      </c>
      <c r="K159" s="1" t="s">
        <v>23</v>
      </c>
      <c r="L159" s="1" t="s">
        <v>97</v>
      </c>
      <c r="M159" s="1">
        <v>1</v>
      </c>
      <c r="N159" s="2">
        <v>23.38</v>
      </c>
      <c r="O159" s="3">
        <v>36</v>
      </c>
      <c r="P159" s="1">
        <v>2</v>
      </c>
      <c r="Q159" s="1">
        <v>9</v>
      </c>
      <c r="R159" s="1">
        <v>200010022528</v>
      </c>
      <c r="S159" s="1">
        <v>29</v>
      </c>
      <c r="T159" s="1">
        <v>1</v>
      </c>
      <c r="U159" s="1">
        <v>7</v>
      </c>
      <c r="V159">
        <f t="shared" si="2"/>
        <v>36</v>
      </c>
    </row>
    <row r="160" spans="1:22" ht="13" x14ac:dyDescent="0.15">
      <c r="A160" s="4">
        <v>44774</v>
      </c>
      <c r="B160" s="5">
        <v>0.51331018518518523</v>
      </c>
      <c r="C160" s="1">
        <v>1324</v>
      </c>
      <c r="D160" s="1">
        <v>13002561</v>
      </c>
      <c r="E160" s="1">
        <v>13</v>
      </c>
      <c r="F160" s="1">
        <v>22589</v>
      </c>
      <c r="G160" s="1" t="s">
        <v>21</v>
      </c>
      <c r="H160" s="1">
        <v>15</v>
      </c>
      <c r="I160" s="1">
        <v>260992</v>
      </c>
      <c r="J160" s="1" t="s">
        <v>240</v>
      </c>
      <c r="K160" s="1" t="s">
        <v>117</v>
      </c>
      <c r="L160" s="1" t="s">
        <v>37</v>
      </c>
      <c r="M160" s="1">
        <v>1</v>
      </c>
      <c r="N160" s="2">
        <v>340.5</v>
      </c>
      <c r="O160" s="3">
        <v>450</v>
      </c>
      <c r="P160" s="1">
        <v>0</v>
      </c>
      <c r="Q160" s="1" t="s">
        <v>25</v>
      </c>
      <c r="R160" s="1" t="s">
        <v>25</v>
      </c>
      <c r="S160" s="1">
        <v>29</v>
      </c>
      <c r="T160" s="1">
        <v>1</v>
      </c>
      <c r="U160" s="1">
        <v>5</v>
      </c>
      <c r="V160">
        <f t="shared" si="2"/>
        <v>450</v>
      </c>
    </row>
    <row r="161" spans="1:22" ht="13" x14ac:dyDescent="0.15">
      <c r="A161" s="4">
        <v>44774</v>
      </c>
      <c r="B161" s="5">
        <v>0.52068287037037042</v>
      </c>
      <c r="C161" s="1">
        <v>1325</v>
      </c>
      <c r="D161" s="1">
        <v>13002561</v>
      </c>
      <c r="E161" s="1">
        <v>13</v>
      </c>
      <c r="F161" s="1">
        <v>22589</v>
      </c>
      <c r="G161" s="1" t="s">
        <v>21</v>
      </c>
      <c r="H161" s="1">
        <v>15</v>
      </c>
      <c r="I161" s="1">
        <v>475</v>
      </c>
      <c r="J161" s="1" t="s">
        <v>241</v>
      </c>
      <c r="K161" s="1" t="s">
        <v>117</v>
      </c>
      <c r="L161" s="1" t="s">
        <v>35</v>
      </c>
      <c r="M161" s="1">
        <v>1</v>
      </c>
      <c r="N161" s="2">
        <v>130.46</v>
      </c>
      <c r="O161" s="3">
        <v>179</v>
      </c>
      <c r="P161" s="1">
        <v>12</v>
      </c>
      <c r="Q161" s="1">
        <v>9</v>
      </c>
      <c r="R161" s="1">
        <v>200010013468</v>
      </c>
      <c r="S161" s="1">
        <v>29</v>
      </c>
      <c r="T161" s="1">
        <v>1</v>
      </c>
      <c r="U161" s="1">
        <v>1</v>
      </c>
      <c r="V161">
        <f t="shared" si="2"/>
        <v>179</v>
      </c>
    </row>
    <row r="162" spans="1:22" ht="13" x14ac:dyDescent="0.15">
      <c r="A162" s="4">
        <v>44774</v>
      </c>
      <c r="B162" s="5">
        <v>0.52068287037037042</v>
      </c>
      <c r="C162" s="1">
        <v>1325</v>
      </c>
      <c r="D162" s="1">
        <v>13002561</v>
      </c>
      <c r="E162" s="1">
        <v>13</v>
      </c>
      <c r="F162" s="1">
        <v>22589</v>
      </c>
      <c r="G162" s="1" t="s">
        <v>21</v>
      </c>
      <c r="H162" s="1">
        <v>15</v>
      </c>
      <c r="I162" s="1">
        <v>129036</v>
      </c>
      <c r="J162" s="1" t="s">
        <v>242</v>
      </c>
      <c r="K162" s="1" t="s">
        <v>29</v>
      </c>
      <c r="L162" s="1" t="s">
        <v>35</v>
      </c>
      <c r="M162" s="1">
        <v>1</v>
      </c>
      <c r="N162" s="2">
        <v>223.96</v>
      </c>
      <c r="O162" s="3">
        <v>303</v>
      </c>
      <c r="P162" s="1">
        <v>21</v>
      </c>
      <c r="Q162" s="1">
        <v>9</v>
      </c>
      <c r="R162" s="1">
        <v>200010013468</v>
      </c>
      <c r="S162" s="1">
        <v>29</v>
      </c>
      <c r="T162" s="1">
        <v>1</v>
      </c>
      <c r="U162" s="1">
        <v>2</v>
      </c>
      <c r="V162">
        <f t="shared" si="2"/>
        <v>303</v>
      </c>
    </row>
    <row r="163" spans="1:22" ht="13" x14ac:dyDescent="0.15">
      <c r="A163" s="4">
        <v>44774</v>
      </c>
      <c r="B163" s="5">
        <v>0.52186342592592594</v>
      </c>
      <c r="C163" s="1">
        <v>1326</v>
      </c>
      <c r="D163" s="1">
        <v>13002561</v>
      </c>
      <c r="E163" s="1">
        <v>13</v>
      </c>
      <c r="F163" s="1">
        <v>22589</v>
      </c>
      <c r="G163" s="1" t="s">
        <v>21</v>
      </c>
      <c r="H163" s="1">
        <v>18</v>
      </c>
      <c r="I163" s="1">
        <v>165170</v>
      </c>
      <c r="J163" s="1" t="s">
        <v>243</v>
      </c>
      <c r="K163" s="1" t="s">
        <v>34</v>
      </c>
      <c r="L163" s="1" t="s">
        <v>244</v>
      </c>
      <c r="M163" s="1">
        <v>1</v>
      </c>
      <c r="N163" s="2">
        <v>691.53</v>
      </c>
      <c r="O163" s="3">
        <v>948</v>
      </c>
      <c r="P163" s="1">
        <v>142</v>
      </c>
      <c r="Q163" s="1">
        <v>11</v>
      </c>
      <c r="R163" s="1">
        <v>200010002200</v>
      </c>
      <c r="S163" s="1">
        <v>29</v>
      </c>
      <c r="T163" s="1">
        <v>1</v>
      </c>
      <c r="U163" s="1">
        <v>1</v>
      </c>
      <c r="V163">
        <f t="shared" si="2"/>
        <v>948</v>
      </c>
    </row>
    <row r="164" spans="1:22" ht="13" x14ac:dyDescent="0.15">
      <c r="A164" s="4">
        <v>44774</v>
      </c>
      <c r="B164" s="5">
        <v>0.52379629629629632</v>
      </c>
      <c r="C164" s="1">
        <v>1327</v>
      </c>
      <c r="D164" s="1">
        <v>13002561</v>
      </c>
      <c r="E164" s="1">
        <v>13</v>
      </c>
      <c r="F164" s="1">
        <v>22589</v>
      </c>
      <c r="G164" s="1" t="s">
        <v>21</v>
      </c>
      <c r="H164" s="1">
        <v>18</v>
      </c>
      <c r="I164" s="1">
        <v>172819</v>
      </c>
      <c r="J164" s="1" t="s">
        <v>245</v>
      </c>
      <c r="K164" s="1" t="s">
        <v>34</v>
      </c>
      <c r="L164" s="1" t="s">
        <v>246</v>
      </c>
      <c r="M164" s="1">
        <v>1</v>
      </c>
      <c r="N164" s="2">
        <v>350.47</v>
      </c>
      <c r="O164" s="3">
        <v>463</v>
      </c>
      <c r="P164" s="1">
        <v>0</v>
      </c>
      <c r="Q164" s="1" t="s">
        <v>25</v>
      </c>
      <c r="R164" s="1" t="s">
        <v>25</v>
      </c>
      <c r="S164" s="1">
        <v>29</v>
      </c>
      <c r="T164" s="1">
        <v>1</v>
      </c>
      <c r="U164" s="1">
        <v>3</v>
      </c>
      <c r="V164">
        <f t="shared" si="2"/>
        <v>463</v>
      </c>
    </row>
    <row r="165" spans="1:22" ht="13" x14ac:dyDescent="0.15">
      <c r="A165" s="4">
        <v>44774</v>
      </c>
      <c r="B165" s="5">
        <v>0.52379629629629632</v>
      </c>
      <c r="C165" s="1">
        <v>1327</v>
      </c>
      <c r="D165" s="1">
        <v>13002561</v>
      </c>
      <c r="E165" s="1">
        <v>13</v>
      </c>
      <c r="F165" s="1">
        <v>22589</v>
      </c>
      <c r="G165" s="1" t="s">
        <v>21</v>
      </c>
      <c r="H165" s="1">
        <v>18</v>
      </c>
      <c r="I165" s="1">
        <v>295403</v>
      </c>
      <c r="J165" s="1" t="s">
        <v>247</v>
      </c>
      <c r="K165" s="1" t="s">
        <v>141</v>
      </c>
      <c r="L165" s="1" t="s">
        <v>248</v>
      </c>
      <c r="M165" s="1">
        <v>1</v>
      </c>
      <c r="N165" s="2">
        <v>26.18</v>
      </c>
      <c r="O165" s="3">
        <v>32</v>
      </c>
      <c r="P165" s="1">
        <v>0</v>
      </c>
      <c r="Q165" s="1" t="s">
        <v>25</v>
      </c>
      <c r="R165" s="1" t="s">
        <v>25</v>
      </c>
      <c r="S165" s="1">
        <v>29</v>
      </c>
      <c r="T165" s="1">
        <v>1</v>
      </c>
      <c r="U165" s="1">
        <v>7</v>
      </c>
      <c r="V165">
        <f t="shared" si="2"/>
        <v>32</v>
      </c>
    </row>
    <row r="166" spans="1:22" ht="13" x14ac:dyDescent="0.15">
      <c r="A166" s="4">
        <v>44774</v>
      </c>
      <c r="B166" s="5">
        <v>0.52379629629629632</v>
      </c>
      <c r="C166" s="1">
        <v>1327</v>
      </c>
      <c r="D166" s="1">
        <v>13002561</v>
      </c>
      <c r="E166" s="1">
        <v>13</v>
      </c>
      <c r="F166" s="1">
        <v>22589</v>
      </c>
      <c r="G166" s="1" t="s">
        <v>21</v>
      </c>
      <c r="H166" s="1">
        <v>18</v>
      </c>
      <c r="I166" s="1">
        <v>438721</v>
      </c>
      <c r="J166" s="1" t="s">
        <v>249</v>
      </c>
      <c r="K166" s="1" t="s">
        <v>29</v>
      </c>
      <c r="L166" s="1" t="s">
        <v>49</v>
      </c>
      <c r="M166" s="1">
        <v>1</v>
      </c>
      <c r="N166" s="2">
        <v>26.03</v>
      </c>
      <c r="O166" s="3">
        <v>40</v>
      </c>
      <c r="P166" s="1">
        <v>0</v>
      </c>
      <c r="Q166" s="1" t="s">
        <v>25</v>
      </c>
      <c r="R166" s="1" t="s">
        <v>25</v>
      </c>
      <c r="S166" s="1">
        <v>29</v>
      </c>
      <c r="T166" s="1">
        <v>1</v>
      </c>
      <c r="U166" s="1">
        <v>1</v>
      </c>
      <c r="V166">
        <f t="shared" si="2"/>
        <v>40</v>
      </c>
    </row>
    <row r="167" spans="1:22" ht="13" x14ac:dyDescent="0.15">
      <c r="A167" s="4">
        <v>44774</v>
      </c>
      <c r="B167" s="5">
        <v>0.52379629629629632</v>
      </c>
      <c r="C167" s="1">
        <v>1327</v>
      </c>
      <c r="D167" s="1">
        <v>13002561</v>
      </c>
      <c r="E167" s="1">
        <v>13</v>
      </c>
      <c r="F167" s="1">
        <v>22589</v>
      </c>
      <c r="G167" s="1" t="s">
        <v>21</v>
      </c>
      <c r="H167" s="1">
        <v>18</v>
      </c>
      <c r="I167" s="1">
        <v>438721</v>
      </c>
      <c r="J167" s="1" t="s">
        <v>249</v>
      </c>
      <c r="K167" s="1" t="s">
        <v>29</v>
      </c>
      <c r="L167" s="1" t="s">
        <v>49</v>
      </c>
      <c r="M167" s="1">
        <v>1</v>
      </c>
      <c r="N167" s="2">
        <v>26.03</v>
      </c>
      <c r="O167" s="3">
        <v>40</v>
      </c>
      <c r="P167" s="1">
        <v>0</v>
      </c>
      <c r="Q167" s="1" t="s">
        <v>25</v>
      </c>
      <c r="R167" s="1" t="s">
        <v>25</v>
      </c>
      <c r="S167" s="1">
        <v>29</v>
      </c>
      <c r="T167" s="1">
        <v>1</v>
      </c>
      <c r="U167" s="1">
        <v>2</v>
      </c>
      <c r="V167">
        <f t="shared" si="2"/>
        <v>40</v>
      </c>
    </row>
    <row r="168" spans="1:22" ht="13" x14ac:dyDescent="0.15">
      <c r="A168" s="4">
        <v>44774</v>
      </c>
      <c r="B168" s="5">
        <v>0.52379629629629632</v>
      </c>
      <c r="C168" s="1">
        <v>1327</v>
      </c>
      <c r="D168" s="1">
        <v>13002561</v>
      </c>
      <c r="E168" s="1">
        <v>13</v>
      </c>
      <c r="F168" s="1">
        <v>22589</v>
      </c>
      <c r="G168" s="1" t="s">
        <v>21</v>
      </c>
      <c r="H168" s="1">
        <v>18</v>
      </c>
      <c r="I168" s="1">
        <v>444920</v>
      </c>
      <c r="J168" s="1" t="s">
        <v>250</v>
      </c>
      <c r="K168" s="1" t="s">
        <v>51</v>
      </c>
      <c r="L168" s="1" t="s">
        <v>49</v>
      </c>
      <c r="M168" s="1">
        <v>1</v>
      </c>
      <c r="N168" s="2">
        <v>19.61</v>
      </c>
      <c r="O168" s="3">
        <v>25</v>
      </c>
      <c r="P168" s="1">
        <v>0</v>
      </c>
      <c r="Q168" s="1" t="s">
        <v>25</v>
      </c>
      <c r="R168" s="1" t="s">
        <v>25</v>
      </c>
      <c r="S168" s="1">
        <v>29</v>
      </c>
      <c r="T168" s="1">
        <v>1</v>
      </c>
      <c r="U168" s="1">
        <v>5</v>
      </c>
      <c r="V168">
        <f t="shared" si="2"/>
        <v>25</v>
      </c>
    </row>
    <row r="169" spans="1:22" ht="13" x14ac:dyDescent="0.15">
      <c r="A169" s="4">
        <v>44774</v>
      </c>
      <c r="B169" s="5">
        <v>0.52379629629629632</v>
      </c>
      <c r="C169" s="1">
        <v>1327</v>
      </c>
      <c r="D169" s="1">
        <v>13002561</v>
      </c>
      <c r="E169" s="1">
        <v>13</v>
      </c>
      <c r="F169" s="1">
        <v>22589</v>
      </c>
      <c r="G169" s="1" t="s">
        <v>21</v>
      </c>
      <c r="H169" s="1">
        <v>18</v>
      </c>
      <c r="I169" s="1">
        <v>444920</v>
      </c>
      <c r="J169" s="1" t="s">
        <v>250</v>
      </c>
      <c r="K169" s="1" t="s">
        <v>51</v>
      </c>
      <c r="L169" s="1" t="s">
        <v>49</v>
      </c>
      <c r="M169" s="1">
        <v>1</v>
      </c>
      <c r="N169" s="2">
        <v>19.61</v>
      </c>
      <c r="O169" s="3">
        <v>25</v>
      </c>
      <c r="P169" s="1">
        <v>0</v>
      </c>
      <c r="Q169" s="1" t="s">
        <v>25</v>
      </c>
      <c r="R169" s="1" t="s">
        <v>25</v>
      </c>
      <c r="S169" s="1">
        <v>29</v>
      </c>
      <c r="T169" s="1">
        <v>1</v>
      </c>
      <c r="U169" s="1">
        <v>6</v>
      </c>
      <c r="V169">
        <f t="shared" si="2"/>
        <v>25</v>
      </c>
    </row>
    <row r="170" spans="1:22" ht="13" x14ac:dyDescent="0.15">
      <c r="A170" s="4">
        <v>44774</v>
      </c>
      <c r="B170" s="5">
        <v>0.52379629629629632</v>
      </c>
      <c r="C170" s="1">
        <v>1327</v>
      </c>
      <c r="D170" s="1">
        <v>13002561</v>
      </c>
      <c r="E170" s="1">
        <v>13</v>
      </c>
      <c r="F170" s="1">
        <v>22589</v>
      </c>
      <c r="G170" s="1" t="s">
        <v>21</v>
      </c>
      <c r="H170" s="1">
        <v>18</v>
      </c>
      <c r="I170" s="1">
        <v>339843</v>
      </c>
      <c r="J170" s="1" t="s">
        <v>251</v>
      </c>
      <c r="K170" s="1" t="s">
        <v>252</v>
      </c>
      <c r="L170" s="1" t="s">
        <v>253</v>
      </c>
      <c r="M170" s="1">
        <v>1</v>
      </c>
      <c r="N170" s="2">
        <v>140.97</v>
      </c>
      <c r="O170" s="3">
        <v>219</v>
      </c>
      <c r="P170" s="1">
        <v>21</v>
      </c>
      <c r="Q170" s="1">
        <v>30</v>
      </c>
      <c r="R170" s="1">
        <v>200000000024</v>
      </c>
      <c r="S170" s="1">
        <v>29</v>
      </c>
      <c r="T170" s="1">
        <v>1</v>
      </c>
      <c r="U170" s="1">
        <v>8</v>
      </c>
      <c r="V170">
        <f t="shared" si="2"/>
        <v>219</v>
      </c>
    </row>
    <row r="171" spans="1:22" ht="13" x14ac:dyDescent="0.15">
      <c r="A171" s="4">
        <v>44774</v>
      </c>
      <c r="B171" s="5">
        <v>0.52601851851851855</v>
      </c>
      <c r="C171" s="1">
        <v>1328</v>
      </c>
      <c r="D171" s="1">
        <v>13002561</v>
      </c>
      <c r="E171" s="1">
        <v>13</v>
      </c>
      <c r="F171" s="1">
        <v>22589</v>
      </c>
      <c r="G171" s="1" t="s">
        <v>21</v>
      </c>
      <c r="H171" s="1">
        <v>15</v>
      </c>
      <c r="I171" s="1">
        <v>4800</v>
      </c>
      <c r="J171" s="1" t="s">
        <v>254</v>
      </c>
      <c r="K171" s="1" t="s">
        <v>51</v>
      </c>
      <c r="L171" s="1" t="s">
        <v>255</v>
      </c>
      <c r="M171" s="1">
        <v>1</v>
      </c>
      <c r="N171" s="2">
        <v>42.05</v>
      </c>
      <c r="O171" s="3">
        <v>53</v>
      </c>
      <c r="P171" s="1">
        <v>0</v>
      </c>
      <c r="Q171" s="1" t="s">
        <v>25</v>
      </c>
      <c r="R171" s="1" t="s">
        <v>25</v>
      </c>
      <c r="S171" s="1">
        <v>29</v>
      </c>
      <c r="T171" s="1">
        <v>1</v>
      </c>
      <c r="U171" s="1">
        <v>2</v>
      </c>
      <c r="V171">
        <f t="shared" si="2"/>
        <v>53</v>
      </c>
    </row>
    <row r="172" spans="1:22" ht="13" x14ac:dyDescent="0.15">
      <c r="A172" s="4">
        <v>44774</v>
      </c>
      <c r="B172" s="5">
        <v>0.52601851851851855</v>
      </c>
      <c r="C172" s="1">
        <v>1328</v>
      </c>
      <c r="D172" s="1">
        <v>13002561</v>
      </c>
      <c r="E172" s="1">
        <v>13</v>
      </c>
      <c r="F172" s="1">
        <v>22589</v>
      </c>
      <c r="G172" s="1" t="s">
        <v>21</v>
      </c>
      <c r="H172" s="1">
        <v>15</v>
      </c>
      <c r="I172" s="1">
        <v>4800</v>
      </c>
      <c r="J172" s="1" t="s">
        <v>254</v>
      </c>
      <c r="K172" s="1" t="s">
        <v>51</v>
      </c>
      <c r="L172" s="1" t="s">
        <v>255</v>
      </c>
      <c r="M172" s="1">
        <v>1</v>
      </c>
      <c r="N172" s="2">
        <v>42.05</v>
      </c>
      <c r="O172" s="3">
        <v>53</v>
      </c>
      <c r="P172" s="1">
        <v>0</v>
      </c>
      <c r="Q172" s="1" t="s">
        <v>25</v>
      </c>
      <c r="R172" s="1" t="s">
        <v>25</v>
      </c>
      <c r="S172" s="1">
        <v>29</v>
      </c>
      <c r="T172" s="1">
        <v>1</v>
      </c>
      <c r="U172" s="1">
        <v>3</v>
      </c>
      <c r="V172">
        <f t="shared" si="2"/>
        <v>53</v>
      </c>
    </row>
    <row r="173" spans="1:22" ht="13" x14ac:dyDescent="0.15">
      <c r="A173" s="4">
        <v>44774</v>
      </c>
      <c r="B173" s="5">
        <v>0.52601851851851855</v>
      </c>
      <c r="C173" s="1">
        <v>1328</v>
      </c>
      <c r="D173" s="1">
        <v>13002561</v>
      </c>
      <c r="E173" s="1">
        <v>13</v>
      </c>
      <c r="F173" s="1">
        <v>22589</v>
      </c>
      <c r="G173" s="1" t="s">
        <v>21</v>
      </c>
      <c r="H173" s="1">
        <v>15</v>
      </c>
      <c r="I173" s="1">
        <v>342166</v>
      </c>
      <c r="J173" s="1" t="s">
        <v>256</v>
      </c>
      <c r="K173" s="1" t="s">
        <v>29</v>
      </c>
      <c r="L173" s="1" t="s">
        <v>200</v>
      </c>
      <c r="M173" s="1">
        <v>1</v>
      </c>
      <c r="N173" s="2">
        <v>50.31</v>
      </c>
      <c r="O173" s="3">
        <v>72</v>
      </c>
      <c r="P173" s="1">
        <v>0</v>
      </c>
      <c r="Q173" s="1" t="s">
        <v>25</v>
      </c>
      <c r="R173" s="1" t="s">
        <v>25</v>
      </c>
      <c r="S173" s="1">
        <v>29</v>
      </c>
      <c r="T173" s="1">
        <v>1</v>
      </c>
      <c r="U173" s="1">
        <v>5</v>
      </c>
      <c r="V173">
        <f t="shared" si="2"/>
        <v>72</v>
      </c>
    </row>
    <row r="174" spans="1:22" ht="13" x14ac:dyDescent="0.15">
      <c r="A174" s="4">
        <v>44774</v>
      </c>
      <c r="B174" s="5">
        <v>0.52601851851851855</v>
      </c>
      <c r="C174" s="1">
        <v>1328</v>
      </c>
      <c r="D174" s="1">
        <v>13002561</v>
      </c>
      <c r="E174" s="1">
        <v>13</v>
      </c>
      <c r="F174" s="1">
        <v>22589</v>
      </c>
      <c r="G174" s="1" t="s">
        <v>21</v>
      </c>
      <c r="H174" s="1">
        <v>15</v>
      </c>
      <c r="I174" s="1">
        <v>400035</v>
      </c>
      <c r="J174" s="1" t="s">
        <v>257</v>
      </c>
      <c r="K174" s="1" t="s">
        <v>51</v>
      </c>
      <c r="L174" s="1" t="s">
        <v>76</v>
      </c>
      <c r="M174" s="1">
        <v>1</v>
      </c>
      <c r="N174" s="2">
        <v>37.450000000000003</v>
      </c>
      <c r="O174" s="3">
        <v>57</v>
      </c>
      <c r="P174" s="1">
        <v>0</v>
      </c>
      <c r="Q174" s="1" t="s">
        <v>25</v>
      </c>
      <c r="R174" s="1" t="s">
        <v>25</v>
      </c>
      <c r="S174" s="1">
        <v>29</v>
      </c>
      <c r="T174" s="1">
        <v>1</v>
      </c>
      <c r="U174" s="1">
        <v>1</v>
      </c>
      <c r="V174">
        <f t="shared" si="2"/>
        <v>57</v>
      </c>
    </row>
    <row r="175" spans="1:22" ht="13" x14ac:dyDescent="0.15">
      <c r="A175" s="4">
        <v>44774</v>
      </c>
      <c r="B175" s="5">
        <v>0.53057870370370375</v>
      </c>
      <c r="C175" s="1">
        <v>1329</v>
      </c>
      <c r="D175" s="1">
        <v>13002561</v>
      </c>
      <c r="E175" s="1">
        <v>13</v>
      </c>
      <c r="F175" s="1">
        <v>22589</v>
      </c>
      <c r="G175" s="1" t="s">
        <v>21</v>
      </c>
      <c r="H175" s="1">
        <v>18</v>
      </c>
      <c r="I175" s="1">
        <v>14833</v>
      </c>
      <c r="J175" s="1" t="s">
        <v>258</v>
      </c>
      <c r="K175" s="1" t="s">
        <v>141</v>
      </c>
      <c r="L175" s="1" t="s">
        <v>259</v>
      </c>
      <c r="M175" s="1">
        <v>1</v>
      </c>
      <c r="N175" s="2">
        <v>72.66</v>
      </c>
      <c r="O175" s="3">
        <v>115</v>
      </c>
      <c r="P175" s="1">
        <v>11</v>
      </c>
      <c r="Q175" s="1">
        <v>9</v>
      </c>
      <c r="R175" s="1">
        <v>200010004402</v>
      </c>
      <c r="S175" s="1">
        <v>29</v>
      </c>
      <c r="T175" s="1">
        <v>1</v>
      </c>
      <c r="U175" s="1">
        <v>3</v>
      </c>
      <c r="V175">
        <f t="shared" si="2"/>
        <v>115</v>
      </c>
    </row>
    <row r="176" spans="1:22" ht="13" x14ac:dyDescent="0.15">
      <c r="A176" s="4">
        <v>44774</v>
      </c>
      <c r="B176" s="5">
        <v>0.53057870370370375</v>
      </c>
      <c r="C176" s="1">
        <v>1329</v>
      </c>
      <c r="D176" s="1">
        <v>13002561</v>
      </c>
      <c r="E176" s="1">
        <v>13</v>
      </c>
      <c r="F176" s="1">
        <v>22589</v>
      </c>
      <c r="G176" s="1" t="s">
        <v>21</v>
      </c>
      <c r="H176" s="1">
        <v>18</v>
      </c>
      <c r="I176" s="1">
        <v>348748</v>
      </c>
      <c r="J176" s="1" t="s">
        <v>260</v>
      </c>
      <c r="K176" s="1" t="s">
        <v>29</v>
      </c>
      <c r="L176" s="1" t="s">
        <v>261</v>
      </c>
      <c r="M176" s="1">
        <v>1</v>
      </c>
      <c r="N176" s="2">
        <v>56.03</v>
      </c>
      <c r="O176" s="3">
        <v>70</v>
      </c>
      <c r="P176" s="1">
        <v>3</v>
      </c>
      <c r="Q176" s="1">
        <v>9</v>
      </c>
      <c r="R176" s="1">
        <v>200010004402</v>
      </c>
      <c r="S176" s="1">
        <v>29</v>
      </c>
      <c r="T176" s="1">
        <v>1</v>
      </c>
      <c r="U176" s="1">
        <v>2</v>
      </c>
      <c r="V176">
        <f t="shared" si="2"/>
        <v>70</v>
      </c>
    </row>
    <row r="177" spans="1:22" ht="13" x14ac:dyDescent="0.15">
      <c r="A177" s="4">
        <v>44774</v>
      </c>
      <c r="B177" s="5">
        <v>0.53057870370370375</v>
      </c>
      <c r="C177" s="1">
        <v>1329</v>
      </c>
      <c r="D177" s="1">
        <v>13002561</v>
      </c>
      <c r="E177" s="1">
        <v>13</v>
      </c>
      <c r="F177" s="1">
        <v>22589</v>
      </c>
      <c r="G177" s="1" t="s">
        <v>21</v>
      </c>
      <c r="H177" s="1">
        <v>18</v>
      </c>
      <c r="I177" s="1">
        <v>344242</v>
      </c>
      <c r="J177" s="1" t="s">
        <v>262</v>
      </c>
      <c r="K177" s="1" t="s">
        <v>51</v>
      </c>
      <c r="L177" s="1" t="s">
        <v>222</v>
      </c>
      <c r="M177" s="1">
        <v>1</v>
      </c>
      <c r="N177" s="2">
        <v>44.59</v>
      </c>
      <c r="O177" s="3">
        <v>55</v>
      </c>
      <c r="P177" s="1">
        <v>2</v>
      </c>
      <c r="Q177" s="1">
        <v>9</v>
      </c>
      <c r="R177" s="1">
        <v>200010004402</v>
      </c>
      <c r="S177" s="1">
        <v>29</v>
      </c>
      <c r="T177" s="1">
        <v>1</v>
      </c>
      <c r="U177" s="1">
        <v>1</v>
      </c>
      <c r="V177">
        <f t="shared" si="2"/>
        <v>55</v>
      </c>
    </row>
    <row r="178" spans="1:22" ht="13" x14ac:dyDescent="0.15">
      <c r="A178" s="4">
        <v>44774</v>
      </c>
      <c r="B178" s="5">
        <v>0.53057870370370375</v>
      </c>
      <c r="C178" s="1">
        <v>1329</v>
      </c>
      <c r="D178" s="1">
        <v>13002561</v>
      </c>
      <c r="E178" s="1">
        <v>13</v>
      </c>
      <c r="F178" s="1">
        <v>22589</v>
      </c>
      <c r="G178" s="1" t="s">
        <v>21</v>
      </c>
      <c r="H178" s="1">
        <v>18</v>
      </c>
      <c r="I178" s="1">
        <v>82008</v>
      </c>
      <c r="J178" s="1" t="s">
        <v>215</v>
      </c>
      <c r="K178" s="1" t="s">
        <v>51</v>
      </c>
      <c r="L178" s="1" t="s">
        <v>216</v>
      </c>
      <c r="M178" s="1">
        <v>1</v>
      </c>
      <c r="N178" s="2">
        <v>34.42</v>
      </c>
      <c r="O178" s="3">
        <v>39</v>
      </c>
      <c r="P178" s="1">
        <v>1</v>
      </c>
      <c r="Q178" s="1">
        <v>9</v>
      </c>
      <c r="R178" s="1">
        <v>200010004402</v>
      </c>
      <c r="S178" s="1">
        <v>29</v>
      </c>
      <c r="T178" s="1">
        <v>1</v>
      </c>
      <c r="U178" s="1">
        <v>4</v>
      </c>
      <c r="V178">
        <f t="shared" si="2"/>
        <v>39</v>
      </c>
    </row>
    <row r="179" spans="1:22" ht="13" x14ac:dyDescent="0.15">
      <c r="A179" s="4">
        <v>44774</v>
      </c>
      <c r="B179" s="5">
        <v>0.53057870370370375</v>
      </c>
      <c r="C179" s="1">
        <v>1329</v>
      </c>
      <c r="D179" s="1">
        <v>13002561</v>
      </c>
      <c r="E179" s="1">
        <v>13</v>
      </c>
      <c r="F179" s="1">
        <v>22589</v>
      </c>
      <c r="G179" s="1" t="s">
        <v>21</v>
      </c>
      <c r="H179" s="1">
        <v>18</v>
      </c>
      <c r="I179" s="1">
        <v>82008</v>
      </c>
      <c r="J179" s="1" t="s">
        <v>215</v>
      </c>
      <c r="K179" s="1" t="s">
        <v>51</v>
      </c>
      <c r="L179" s="1" t="s">
        <v>216</v>
      </c>
      <c r="M179" s="1">
        <v>1</v>
      </c>
      <c r="N179" s="2">
        <v>34.42</v>
      </c>
      <c r="O179" s="3">
        <v>39</v>
      </c>
      <c r="P179" s="1">
        <v>1</v>
      </c>
      <c r="Q179" s="1">
        <v>9</v>
      </c>
      <c r="R179" s="1">
        <v>200010004402</v>
      </c>
      <c r="S179" s="1">
        <v>29</v>
      </c>
      <c r="T179" s="1">
        <v>1</v>
      </c>
      <c r="U179" s="1">
        <v>5</v>
      </c>
      <c r="V179">
        <f t="shared" si="2"/>
        <v>39</v>
      </c>
    </row>
    <row r="180" spans="1:22" ht="13" x14ac:dyDescent="0.15">
      <c r="A180" s="4">
        <v>44774</v>
      </c>
      <c r="B180" s="5">
        <v>0.53118055555555554</v>
      </c>
      <c r="C180" s="1">
        <v>1330</v>
      </c>
      <c r="D180" s="1">
        <v>13002561</v>
      </c>
      <c r="E180" s="1">
        <v>13</v>
      </c>
      <c r="F180" s="1">
        <v>22589</v>
      </c>
      <c r="G180" s="1" t="s">
        <v>21</v>
      </c>
      <c r="H180" s="1">
        <v>15</v>
      </c>
      <c r="I180" s="1">
        <v>278598</v>
      </c>
      <c r="J180" s="1" t="s">
        <v>263</v>
      </c>
      <c r="K180" s="1" t="s">
        <v>23</v>
      </c>
      <c r="L180" s="1" t="s">
        <v>99</v>
      </c>
      <c r="M180" s="1">
        <v>1</v>
      </c>
      <c r="N180" s="2">
        <v>17.7</v>
      </c>
      <c r="O180" s="3">
        <v>29</v>
      </c>
      <c r="P180" s="1">
        <v>0</v>
      </c>
      <c r="Q180" s="1" t="s">
        <v>25</v>
      </c>
      <c r="R180" s="1" t="s">
        <v>25</v>
      </c>
      <c r="S180" s="1">
        <v>29</v>
      </c>
      <c r="T180" s="1">
        <v>1</v>
      </c>
      <c r="U180" s="1">
        <v>1</v>
      </c>
      <c r="V180">
        <f t="shared" si="2"/>
        <v>29</v>
      </c>
    </row>
    <row r="181" spans="1:22" ht="13" x14ac:dyDescent="0.15">
      <c r="A181" s="4">
        <v>44774</v>
      </c>
      <c r="B181" s="5">
        <v>0.53203703703703709</v>
      </c>
      <c r="C181" s="1">
        <v>1331</v>
      </c>
      <c r="D181" s="1">
        <v>13002561</v>
      </c>
      <c r="E181" s="1">
        <v>13</v>
      </c>
      <c r="F181" s="1">
        <v>22589</v>
      </c>
      <c r="G181" s="1" t="s">
        <v>21</v>
      </c>
      <c r="H181" s="1">
        <v>15</v>
      </c>
      <c r="I181" s="1">
        <v>338502</v>
      </c>
      <c r="J181" s="1" t="s">
        <v>264</v>
      </c>
      <c r="K181" s="1" t="s">
        <v>51</v>
      </c>
      <c r="L181" s="1" t="s">
        <v>37</v>
      </c>
      <c r="M181" s="1">
        <v>1</v>
      </c>
      <c r="N181" s="2">
        <v>182.82</v>
      </c>
      <c r="O181" s="3">
        <v>234</v>
      </c>
      <c r="P181" s="1">
        <v>11</v>
      </c>
      <c r="Q181" s="1">
        <v>9</v>
      </c>
      <c r="R181" s="1">
        <v>200010002141</v>
      </c>
      <c r="S181" s="1">
        <v>29</v>
      </c>
      <c r="T181" s="1">
        <v>1</v>
      </c>
      <c r="U181" s="1">
        <v>1</v>
      </c>
      <c r="V181">
        <f t="shared" si="2"/>
        <v>234</v>
      </c>
    </row>
    <row r="182" spans="1:22" ht="13" x14ac:dyDescent="0.15">
      <c r="A182" s="4">
        <v>44774</v>
      </c>
      <c r="B182" s="5">
        <v>0.53337962962962959</v>
      </c>
      <c r="C182" s="1">
        <v>1332</v>
      </c>
      <c r="D182" s="1">
        <v>13002561</v>
      </c>
      <c r="E182" s="1">
        <v>13</v>
      </c>
      <c r="F182" s="1">
        <v>22589</v>
      </c>
      <c r="G182" s="1" t="s">
        <v>21</v>
      </c>
      <c r="H182" s="1">
        <v>15</v>
      </c>
      <c r="I182" s="1">
        <v>7951</v>
      </c>
      <c r="J182" s="1" t="s">
        <v>265</v>
      </c>
      <c r="K182" s="1" t="s">
        <v>61</v>
      </c>
      <c r="L182" s="1" t="s">
        <v>266</v>
      </c>
      <c r="M182" s="1">
        <v>1</v>
      </c>
      <c r="N182" s="2">
        <v>41.58</v>
      </c>
      <c r="O182" s="3">
        <v>68</v>
      </c>
      <c r="P182" s="1">
        <v>6</v>
      </c>
      <c r="Q182" s="1">
        <v>9</v>
      </c>
      <c r="R182" s="1">
        <v>200010023521</v>
      </c>
      <c r="S182" s="1">
        <v>29</v>
      </c>
      <c r="T182" s="1">
        <v>1</v>
      </c>
      <c r="U182" s="1">
        <v>2</v>
      </c>
      <c r="V182">
        <f t="shared" si="2"/>
        <v>68</v>
      </c>
    </row>
    <row r="183" spans="1:22" ht="13" x14ac:dyDescent="0.15">
      <c r="A183" s="4">
        <v>44774</v>
      </c>
      <c r="B183" s="5">
        <v>0.53337962962962959</v>
      </c>
      <c r="C183" s="1">
        <v>1332</v>
      </c>
      <c r="D183" s="1">
        <v>13002561</v>
      </c>
      <c r="E183" s="1">
        <v>13</v>
      </c>
      <c r="F183" s="1">
        <v>22589</v>
      </c>
      <c r="G183" s="1" t="s">
        <v>21</v>
      </c>
      <c r="H183" s="1">
        <v>15</v>
      </c>
      <c r="I183" s="1">
        <v>375726</v>
      </c>
      <c r="J183" s="1" t="s">
        <v>267</v>
      </c>
      <c r="K183" s="1" t="s">
        <v>29</v>
      </c>
      <c r="L183" s="1" t="s">
        <v>266</v>
      </c>
      <c r="M183" s="1">
        <v>2</v>
      </c>
      <c r="N183" s="2">
        <v>47.58</v>
      </c>
      <c r="O183" s="3">
        <v>78</v>
      </c>
      <c r="P183" s="1">
        <v>15</v>
      </c>
      <c r="Q183" s="1">
        <v>9</v>
      </c>
      <c r="R183" s="1">
        <v>200010023521</v>
      </c>
      <c r="S183" s="1">
        <v>29</v>
      </c>
      <c r="T183" s="1">
        <v>1</v>
      </c>
      <c r="U183" s="1">
        <v>1</v>
      </c>
      <c r="V183">
        <f t="shared" si="2"/>
        <v>156</v>
      </c>
    </row>
    <row r="184" spans="1:22" ht="13" x14ac:dyDescent="0.15">
      <c r="A184" s="4">
        <v>44774</v>
      </c>
      <c r="B184" s="5">
        <v>0.53408564814814818</v>
      </c>
      <c r="C184" s="1">
        <v>1333</v>
      </c>
      <c r="D184" s="1">
        <v>13002561</v>
      </c>
      <c r="E184" s="1">
        <v>13</v>
      </c>
      <c r="F184" s="1">
        <v>22589</v>
      </c>
      <c r="G184" s="1" t="s">
        <v>21</v>
      </c>
      <c r="H184" s="1">
        <v>15</v>
      </c>
      <c r="I184" s="1">
        <v>72603</v>
      </c>
      <c r="J184" s="1" t="s">
        <v>268</v>
      </c>
      <c r="K184" s="1" t="s">
        <v>51</v>
      </c>
      <c r="L184" s="1" t="s">
        <v>269</v>
      </c>
      <c r="M184" s="1">
        <v>1</v>
      </c>
      <c r="N184" s="2">
        <v>29.11</v>
      </c>
      <c r="O184" s="3">
        <v>48</v>
      </c>
      <c r="P184" s="1">
        <v>4</v>
      </c>
      <c r="Q184" s="1">
        <v>9</v>
      </c>
      <c r="R184" s="1">
        <v>200010002141</v>
      </c>
      <c r="S184" s="1">
        <v>29</v>
      </c>
      <c r="T184" s="1">
        <v>1</v>
      </c>
      <c r="U184" s="1">
        <v>1</v>
      </c>
      <c r="V184">
        <f t="shared" si="2"/>
        <v>48</v>
      </c>
    </row>
    <row r="185" spans="1:22" ht="13" x14ac:dyDescent="0.15">
      <c r="A185" s="4">
        <v>44774</v>
      </c>
      <c r="B185" s="5">
        <v>0.53487268518518516</v>
      </c>
      <c r="C185" s="1">
        <v>1334</v>
      </c>
      <c r="D185" s="1">
        <v>13002561</v>
      </c>
      <c r="E185" s="1">
        <v>13</v>
      </c>
      <c r="F185" s="1">
        <v>22589</v>
      </c>
      <c r="G185" s="1" t="s">
        <v>21</v>
      </c>
      <c r="H185" s="1">
        <v>15</v>
      </c>
      <c r="I185" s="1">
        <v>393314</v>
      </c>
      <c r="J185" s="1" t="s">
        <v>270</v>
      </c>
      <c r="K185" s="1" t="s">
        <v>51</v>
      </c>
      <c r="L185" s="1" t="s">
        <v>76</v>
      </c>
      <c r="M185" s="1">
        <v>1</v>
      </c>
      <c r="N185" s="2">
        <v>42.82</v>
      </c>
      <c r="O185" s="3">
        <v>66</v>
      </c>
      <c r="P185" s="1">
        <v>4</v>
      </c>
      <c r="Q185" s="1">
        <v>9</v>
      </c>
      <c r="R185" s="1">
        <v>200010005104</v>
      </c>
      <c r="S185" s="1">
        <v>29</v>
      </c>
      <c r="T185" s="1">
        <v>1</v>
      </c>
      <c r="U185" s="1">
        <v>3</v>
      </c>
      <c r="V185">
        <f t="shared" si="2"/>
        <v>66</v>
      </c>
    </row>
    <row r="186" spans="1:22" ht="13" x14ac:dyDescent="0.15">
      <c r="A186" s="4">
        <v>44774</v>
      </c>
      <c r="B186" s="5">
        <v>0.71243055555555557</v>
      </c>
      <c r="C186" s="1">
        <v>1383</v>
      </c>
      <c r="D186" s="1">
        <v>13002561</v>
      </c>
      <c r="E186" s="1">
        <v>13</v>
      </c>
      <c r="F186" s="1">
        <v>22589</v>
      </c>
      <c r="G186" s="1" t="s">
        <v>21</v>
      </c>
      <c r="H186" s="1">
        <v>15</v>
      </c>
      <c r="I186" s="1">
        <v>393314</v>
      </c>
      <c r="J186" s="1" t="s">
        <v>270</v>
      </c>
      <c r="K186" s="1" t="s">
        <v>51</v>
      </c>
      <c r="L186" s="1" t="s">
        <v>76</v>
      </c>
      <c r="M186" s="1">
        <v>1</v>
      </c>
      <c r="N186" s="2">
        <v>42.82</v>
      </c>
      <c r="O186" s="3">
        <v>66</v>
      </c>
      <c r="P186" s="1">
        <v>0</v>
      </c>
      <c r="Q186" s="1" t="s">
        <v>25</v>
      </c>
      <c r="R186" s="1" t="s">
        <v>25</v>
      </c>
      <c r="S186" s="1">
        <v>29</v>
      </c>
      <c r="T186" s="1">
        <v>1</v>
      </c>
      <c r="U186" s="1">
        <v>1</v>
      </c>
      <c r="V186">
        <f t="shared" si="2"/>
        <v>66</v>
      </c>
    </row>
    <row r="187" spans="1:22" ht="13" x14ac:dyDescent="0.15">
      <c r="A187" s="4">
        <v>44774</v>
      </c>
      <c r="B187" s="5">
        <v>0.71243055555555557</v>
      </c>
      <c r="C187" s="1">
        <v>1383</v>
      </c>
      <c r="D187" s="1">
        <v>13002561</v>
      </c>
      <c r="E187" s="1">
        <v>13</v>
      </c>
      <c r="F187" s="1">
        <v>22589</v>
      </c>
      <c r="G187" s="1" t="s">
        <v>21</v>
      </c>
      <c r="H187" s="1">
        <v>15</v>
      </c>
      <c r="I187" s="1">
        <v>393314</v>
      </c>
      <c r="J187" s="1" t="s">
        <v>270</v>
      </c>
      <c r="K187" s="1" t="s">
        <v>51</v>
      </c>
      <c r="L187" s="1" t="s">
        <v>76</v>
      </c>
      <c r="M187" s="1">
        <v>1</v>
      </c>
      <c r="N187" s="2">
        <v>42.82</v>
      </c>
      <c r="O187" s="3">
        <v>66</v>
      </c>
      <c r="P187" s="1">
        <v>0</v>
      </c>
      <c r="Q187" s="1" t="s">
        <v>25</v>
      </c>
      <c r="R187" s="1" t="s">
        <v>25</v>
      </c>
      <c r="S187" s="1">
        <v>29</v>
      </c>
      <c r="T187" s="1">
        <v>1</v>
      </c>
      <c r="U187" s="1">
        <v>2</v>
      </c>
      <c r="V187">
        <f t="shared" si="2"/>
        <v>66</v>
      </c>
    </row>
    <row r="188" spans="1:22" ht="13" x14ac:dyDescent="0.15">
      <c r="A188" s="4">
        <v>44774</v>
      </c>
      <c r="B188" s="5">
        <v>0.71243055555555557</v>
      </c>
      <c r="C188" s="1">
        <v>1383</v>
      </c>
      <c r="D188" s="1">
        <v>13002561</v>
      </c>
      <c r="E188" s="1">
        <v>13</v>
      </c>
      <c r="F188" s="1">
        <v>22589</v>
      </c>
      <c r="G188" s="1" t="s">
        <v>21</v>
      </c>
      <c r="H188" s="1">
        <v>15</v>
      </c>
      <c r="I188" s="1">
        <v>393314</v>
      </c>
      <c r="J188" s="1" t="s">
        <v>270</v>
      </c>
      <c r="K188" s="1" t="s">
        <v>51</v>
      </c>
      <c r="L188" s="1" t="s">
        <v>76</v>
      </c>
      <c r="M188" s="1">
        <v>1</v>
      </c>
      <c r="N188" s="2">
        <v>42.82</v>
      </c>
      <c r="O188" s="3">
        <v>66</v>
      </c>
      <c r="P188" s="1">
        <v>0</v>
      </c>
      <c r="Q188" s="1" t="s">
        <v>25</v>
      </c>
      <c r="R188" s="1" t="s">
        <v>25</v>
      </c>
      <c r="S188" s="1">
        <v>29</v>
      </c>
      <c r="T188" s="1">
        <v>1</v>
      </c>
      <c r="U188" s="1">
        <v>3</v>
      </c>
      <c r="V188">
        <f t="shared" si="2"/>
        <v>66</v>
      </c>
    </row>
    <row r="189" spans="1:22" ht="13" x14ac:dyDescent="0.15">
      <c r="A189" s="4">
        <v>44774</v>
      </c>
      <c r="B189" s="5">
        <v>0.53487268518518516</v>
      </c>
      <c r="C189" s="1">
        <v>1334</v>
      </c>
      <c r="D189" s="1">
        <v>13002561</v>
      </c>
      <c r="E189" s="1">
        <v>13</v>
      </c>
      <c r="F189" s="1">
        <v>22589</v>
      </c>
      <c r="G189" s="1" t="s">
        <v>21</v>
      </c>
      <c r="H189" s="1">
        <v>15</v>
      </c>
      <c r="I189" s="1">
        <v>12278</v>
      </c>
      <c r="J189" s="1" t="s">
        <v>271</v>
      </c>
      <c r="K189" s="1" t="s">
        <v>51</v>
      </c>
      <c r="L189" s="1" t="s">
        <v>272</v>
      </c>
      <c r="M189" s="1">
        <v>1</v>
      </c>
      <c r="N189" s="2">
        <v>211.21</v>
      </c>
      <c r="O189" s="3">
        <v>286</v>
      </c>
      <c r="P189" s="1">
        <v>20</v>
      </c>
      <c r="Q189" s="1">
        <v>9</v>
      </c>
      <c r="R189" s="1">
        <v>200010005104</v>
      </c>
      <c r="S189" s="1">
        <v>29</v>
      </c>
      <c r="T189" s="1">
        <v>1</v>
      </c>
      <c r="U189" s="1">
        <v>2</v>
      </c>
      <c r="V189">
        <f t="shared" si="2"/>
        <v>286</v>
      </c>
    </row>
    <row r="190" spans="1:22" ht="13" x14ac:dyDescent="0.15">
      <c r="A190" s="4">
        <v>44774</v>
      </c>
      <c r="B190" s="5">
        <v>0.54072916666666671</v>
      </c>
      <c r="C190" s="1">
        <v>1335</v>
      </c>
      <c r="D190" s="1">
        <v>13002561</v>
      </c>
      <c r="E190" s="1">
        <v>13</v>
      </c>
      <c r="F190" s="1">
        <v>22589</v>
      </c>
      <c r="G190" s="1" t="s">
        <v>21</v>
      </c>
      <c r="H190" s="1">
        <v>15</v>
      </c>
      <c r="I190" s="1">
        <v>173202</v>
      </c>
      <c r="J190" s="1" t="s">
        <v>273</v>
      </c>
      <c r="K190" s="1" t="s">
        <v>23</v>
      </c>
      <c r="L190" s="1" t="s">
        <v>274</v>
      </c>
      <c r="M190" s="1">
        <v>1</v>
      </c>
      <c r="N190" s="2">
        <v>25.78</v>
      </c>
      <c r="O190" s="3">
        <v>40</v>
      </c>
      <c r="P190" s="1">
        <v>0</v>
      </c>
      <c r="Q190" s="1" t="s">
        <v>25</v>
      </c>
      <c r="R190" s="1" t="s">
        <v>25</v>
      </c>
      <c r="S190" s="1">
        <v>29</v>
      </c>
      <c r="T190" s="1">
        <v>1</v>
      </c>
      <c r="U190" s="1">
        <v>1</v>
      </c>
      <c r="V190">
        <f t="shared" si="2"/>
        <v>40</v>
      </c>
    </row>
    <row r="191" spans="1:22" ht="13" x14ac:dyDescent="0.15">
      <c r="A191" s="4">
        <v>44774</v>
      </c>
      <c r="B191" s="5">
        <v>0.54072916666666671</v>
      </c>
      <c r="C191" s="1">
        <v>1335</v>
      </c>
      <c r="D191" s="1">
        <v>13002561</v>
      </c>
      <c r="E191" s="1">
        <v>13</v>
      </c>
      <c r="F191" s="1">
        <v>22589</v>
      </c>
      <c r="G191" s="1" t="s">
        <v>21</v>
      </c>
      <c r="H191" s="1">
        <v>15</v>
      </c>
      <c r="I191" s="1">
        <v>173202</v>
      </c>
      <c r="J191" s="1" t="s">
        <v>273</v>
      </c>
      <c r="K191" s="1" t="s">
        <v>23</v>
      </c>
      <c r="L191" s="1" t="s">
        <v>274</v>
      </c>
      <c r="M191" s="1">
        <v>1</v>
      </c>
      <c r="N191" s="2">
        <v>25.78</v>
      </c>
      <c r="O191" s="3">
        <v>40</v>
      </c>
      <c r="P191" s="1">
        <v>0</v>
      </c>
      <c r="Q191" s="1" t="s">
        <v>25</v>
      </c>
      <c r="R191" s="1" t="s">
        <v>25</v>
      </c>
      <c r="S191" s="1">
        <v>29</v>
      </c>
      <c r="T191" s="1">
        <v>1</v>
      </c>
      <c r="U191" s="1">
        <v>2</v>
      </c>
      <c r="V191">
        <f t="shared" si="2"/>
        <v>40</v>
      </c>
    </row>
    <row r="192" spans="1:22" ht="13" x14ac:dyDescent="0.15">
      <c r="A192" s="4">
        <v>44774</v>
      </c>
      <c r="B192" s="5">
        <v>0.54684027777777777</v>
      </c>
      <c r="C192" s="1">
        <v>1336</v>
      </c>
      <c r="D192" s="1">
        <v>13002561</v>
      </c>
      <c r="E192" s="1">
        <v>13</v>
      </c>
      <c r="F192" s="1">
        <v>22589</v>
      </c>
      <c r="G192" s="1" t="s">
        <v>21</v>
      </c>
      <c r="H192" s="1">
        <v>15</v>
      </c>
      <c r="I192" s="1">
        <v>100228</v>
      </c>
      <c r="J192" s="1" t="s">
        <v>275</v>
      </c>
      <c r="K192" s="1" t="s">
        <v>23</v>
      </c>
      <c r="L192" s="1" t="s">
        <v>276</v>
      </c>
      <c r="M192" s="1">
        <v>1</v>
      </c>
      <c r="N192" s="2">
        <v>639.91999999999996</v>
      </c>
      <c r="O192" s="3">
        <v>788</v>
      </c>
      <c r="P192" s="1">
        <v>0</v>
      </c>
      <c r="Q192" s="1" t="s">
        <v>25</v>
      </c>
      <c r="R192" s="1" t="s">
        <v>25</v>
      </c>
      <c r="S192" s="1">
        <v>29</v>
      </c>
      <c r="T192" s="1">
        <v>1</v>
      </c>
      <c r="U192" s="1">
        <v>1</v>
      </c>
      <c r="V192">
        <f t="shared" si="2"/>
        <v>788</v>
      </c>
    </row>
    <row r="193" spans="1:22" ht="13" x14ac:dyDescent="0.15">
      <c r="A193" s="4">
        <v>44774</v>
      </c>
      <c r="B193" s="5">
        <v>0.54684027777777777</v>
      </c>
      <c r="C193" s="1">
        <v>1336</v>
      </c>
      <c r="D193" s="1">
        <v>13002561</v>
      </c>
      <c r="E193" s="1">
        <v>13</v>
      </c>
      <c r="F193" s="1">
        <v>22589</v>
      </c>
      <c r="G193" s="1" t="s">
        <v>21</v>
      </c>
      <c r="H193" s="1">
        <v>15</v>
      </c>
      <c r="I193" s="1">
        <v>2197</v>
      </c>
      <c r="J193" s="1" t="s">
        <v>277</v>
      </c>
      <c r="K193" s="1" t="s">
        <v>34</v>
      </c>
      <c r="L193" s="1" t="s">
        <v>35</v>
      </c>
      <c r="M193" s="1">
        <v>1</v>
      </c>
      <c r="N193" s="2">
        <v>29.96</v>
      </c>
      <c r="O193" s="3">
        <v>37</v>
      </c>
      <c r="P193" s="1">
        <v>0</v>
      </c>
      <c r="Q193" s="1" t="s">
        <v>25</v>
      </c>
      <c r="R193" s="1" t="s">
        <v>25</v>
      </c>
      <c r="S193" s="1">
        <v>29</v>
      </c>
      <c r="T193" s="1">
        <v>1</v>
      </c>
      <c r="U193" s="1">
        <v>2</v>
      </c>
      <c r="V193">
        <f t="shared" si="2"/>
        <v>37</v>
      </c>
    </row>
    <row r="194" spans="1:22" ht="13" x14ac:dyDescent="0.15">
      <c r="A194" s="4">
        <v>44774</v>
      </c>
      <c r="B194" s="5">
        <v>0.55163194444444441</v>
      </c>
      <c r="C194" s="1">
        <v>1337</v>
      </c>
      <c r="D194" s="1">
        <v>13002561</v>
      </c>
      <c r="E194" s="1">
        <v>13</v>
      </c>
      <c r="F194" s="1">
        <v>22589</v>
      </c>
      <c r="G194" s="1" t="s">
        <v>21</v>
      </c>
      <c r="H194" s="1">
        <v>15</v>
      </c>
      <c r="I194" s="1">
        <v>514074</v>
      </c>
      <c r="J194" s="1" t="s">
        <v>278</v>
      </c>
      <c r="K194" s="1" t="s">
        <v>23</v>
      </c>
      <c r="L194" s="1" t="s">
        <v>279</v>
      </c>
      <c r="M194" s="1">
        <v>1</v>
      </c>
      <c r="N194" s="2">
        <v>313.2</v>
      </c>
      <c r="O194" s="3">
        <v>414</v>
      </c>
      <c r="P194" s="1">
        <v>28</v>
      </c>
      <c r="Q194" s="1">
        <v>9</v>
      </c>
      <c r="R194" s="1">
        <v>200010027862</v>
      </c>
      <c r="S194" s="1">
        <v>29</v>
      </c>
      <c r="T194" s="1">
        <v>1</v>
      </c>
      <c r="U194" s="1">
        <v>1</v>
      </c>
      <c r="V194">
        <f t="shared" si="2"/>
        <v>414</v>
      </c>
    </row>
    <row r="195" spans="1:22" ht="13" x14ac:dyDescent="0.15">
      <c r="A195" s="4">
        <v>44774</v>
      </c>
      <c r="B195" s="5">
        <v>0.55163194444444441</v>
      </c>
      <c r="C195" s="1">
        <v>1337</v>
      </c>
      <c r="D195" s="1">
        <v>13002561</v>
      </c>
      <c r="E195" s="1">
        <v>13</v>
      </c>
      <c r="F195" s="1">
        <v>22589</v>
      </c>
      <c r="G195" s="1" t="s">
        <v>21</v>
      </c>
      <c r="H195" s="1">
        <v>15</v>
      </c>
      <c r="I195" s="1">
        <v>60526</v>
      </c>
      <c r="J195" s="1" t="s">
        <v>280</v>
      </c>
      <c r="K195" s="1" t="s">
        <v>51</v>
      </c>
      <c r="L195" s="1" t="s">
        <v>197</v>
      </c>
      <c r="M195" s="1">
        <v>1</v>
      </c>
      <c r="N195" s="2">
        <v>263.64999999999998</v>
      </c>
      <c r="O195" s="3">
        <v>356</v>
      </c>
      <c r="P195" s="1">
        <v>24</v>
      </c>
      <c r="Q195" s="1">
        <v>9</v>
      </c>
      <c r="R195" s="1">
        <v>200010027862</v>
      </c>
      <c r="S195" s="1">
        <v>29</v>
      </c>
      <c r="T195" s="1">
        <v>1</v>
      </c>
      <c r="U195" s="1">
        <v>2</v>
      </c>
      <c r="V195">
        <f t="shared" ref="V195:V258" si="3">O195*M195</f>
        <v>356</v>
      </c>
    </row>
    <row r="196" spans="1:22" ht="13" x14ac:dyDescent="0.15">
      <c r="A196" s="4">
        <v>44774</v>
      </c>
      <c r="B196" s="5">
        <v>0.55306712962962967</v>
      </c>
      <c r="C196" s="1">
        <v>1338</v>
      </c>
      <c r="D196" s="1">
        <v>13002561</v>
      </c>
      <c r="E196" s="1">
        <v>13</v>
      </c>
      <c r="F196" s="1">
        <v>22589</v>
      </c>
      <c r="G196" s="1" t="s">
        <v>21</v>
      </c>
      <c r="H196" s="1">
        <v>15</v>
      </c>
      <c r="I196" s="1">
        <v>196444</v>
      </c>
      <c r="J196" s="1" t="s">
        <v>281</v>
      </c>
      <c r="K196" s="1" t="s">
        <v>51</v>
      </c>
      <c r="L196" s="1" t="s">
        <v>32</v>
      </c>
      <c r="M196" s="1">
        <v>1</v>
      </c>
      <c r="N196" s="2">
        <v>79.930000000000007</v>
      </c>
      <c r="O196" s="3">
        <v>100</v>
      </c>
      <c r="P196" s="1">
        <v>5</v>
      </c>
      <c r="Q196" s="1">
        <v>9</v>
      </c>
      <c r="R196" s="1">
        <v>200010018363</v>
      </c>
      <c r="S196" s="1">
        <v>29</v>
      </c>
      <c r="T196" s="1">
        <v>1</v>
      </c>
      <c r="U196" s="1">
        <v>1</v>
      </c>
      <c r="V196">
        <f t="shared" si="3"/>
        <v>100</v>
      </c>
    </row>
    <row r="197" spans="1:22" ht="13" x14ac:dyDescent="0.15">
      <c r="A197" s="4">
        <v>44774</v>
      </c>
      <c r="B197" s="5">
        <v>0.55306712962962967</v>
      </c>
      <c r="C197" s="1">
        <v>1338</v>
      </c>
      <c r="D197" s="1">
        <v>13002561</v>
      </c>
      <c r="E197" s="1">
        <v>13</v>
      </c>
      <c r="F197" s="1">
        <v>22589</v>
      </c>
      <c r="G197" s="1" t="s">
        <v>21</v>
      </c>
      <c r="H197" s="1">
        <v>15</v>
      </c>
      <c r="I197" s="1">
        <v>336402</v>
      </c>
      <c r="J197" s="1" t="s">
        <v>282</v>
      </c>
      <c r="K197" s="1" t="s">
        <v>58</v>
      </c>
      <c r="L197" s="1" t="s">
        <v>99</v>
      </c>
      <c r="M197" s="1">
        <v>1</v>
      </c>
      <c r="N197" s="2">
        <v>100.59</v>
      </c>
      <c r="O197" s="3">
        <v>156</v>
      </c>
      <c r="P197" s="1">
        <v>15</v>
      </c>
      <c r="Q197" s="1">
        <v>9</v>
      </c>
      <c r="R197" s="1">
        <v>200010018363</v>
      </c>
      <c r="S197" s="1">
        <v>29</v>
      </c>
      <c r="T197" s="1">
        <v>1</v>
      </c>
      <c r="U197" s="1">
        <v>2</v>
      </c>
      <c r="V197">
        <f t="shared" si="3"/>
        <v>156</v>
      </c>
    </row>
    <row r="198" spans="1:22" ht="13" x14ac:dyDescent="0.15">
      <c r="A198" s="4">
        <v>44774</v>
      </c>
      <c r="B198" s="5">
        <v>0.55539351851851848</v>
      </c>
      <c r="C198" s="1">
        <v>1339</v>
      </c>
      <c r="D198" s="1">
        <v>13002561</v>
      </c>
      <c r="E198" s="1">
        <v>13</v>
      </c>
      <c r="F198" s="1">
        <v>22589</v>
      </c>
      <c r="G198" s="1" t="s">
        <v>21</v>
      </c>
      <c r="H198" s="1">
        <v>18</v>
      </c>
      <c r="I198" s="1">
        <v>291637</v>
      </c>
      <c r="J198" s="1" t="s">
        <v>283</v>
      </c>
      <c r="K198" s="1" t="s">
        <v>117</v>
      </c>
      <c r="L198" s="1" t="s">
        <v>284</v>
      </c>
      <c r="M198" s="1">
        <v>1</v>
      </c>
      <c r="N198" s="2">
        <v>1082.73</v>
      </c>
      <c r="O198" s="3">
        <v>1354</v>
      </c>
      <c r="P198" s="1">
        <v>94</v>
      </c>
      <c r="Q198" s="1">
        <v>9</v>
      </c>
      <c r="R198" s="1">
        <v>200010016178</v>
      </c>
      <c r="S198" s="1">
        <v>29</v>
      </c>
      <c r="T198" s="1">
        <v>1</v>
      </c>
      <c r="U198" s="1">
        <v>1</v>
      </c>
      <c r="V198">
        <f t="shared" si="3"/>
        <v>1354</v>
      </c>
    </row>
    <row r="199" spans="1:22" ht="13" x14ac:dyDescent="0.15">
      <c r="A199" s="4">
        <v>44774</v>
      </c>
      <c r="B199" s="5">
        <v>0.55760416666666668</v>
      </c>
      <c r="C199" s="1">
        <v>1340</v>
      </c>
      <c r="D199" s="1">
        <v>13002561</v>
      </c>
      <c r="E199" s="1">
        <v>13</v>
      </c>
      <c r="F199" s="1">
        <v>22589</v>
      </c>
      <c r="G199" s="1" t="s">
        <v>21</v>
      </c>
      <c r="H199" s="1">
        <v>18</v>
      </c>
      <c r="I199" s="1">
        <v>102068</v>
      </c>
      <c r="J199" s="1" t="s">
        <v>285</v>
      </c>
      <c r="K199" s="1" t="s">
        <v>29</v>
      </c>
      <c r="L199" s="1" t="s">
        <v>286</v>
      </c>
      <c r="M199" s="1">
        <v>1</v>
      </c>
      <c r="N199" s="2">
        <v>151.01</v>
      </c>
      <c r="O199" s="3">
        <v>235</v>
      </c>
      <c r="P199" s="1">
        <v>23</v>
      </c>
      <c r="Q199" s="1">
        <v>9</v>
      </c>
      <c r="R199" s="1">
        <v>200010000752</v>
      </c>
      <c r="S199" s="1">
        <v>29</v>
      </c>
      <c r="T199" s="1">
        <v>1</v>
      </c>
      <c r="U199" s="1">
        <v>2</v>
      </c>
      <c r="V199">
        <f t="shared" si="3"/>
        <v>235</v>
      </c>
    </row>
    <row r="200" spans="1:22" ht="13" x14ac:dyDescent="0.15">
      <c r="A200" s="4">
        <v>44774</v>
      </c>
      <c r="B200" s="5">
        <v>0.55760416666666668</v>
      </c>
      <c r="C200" s="1">
        <v>1340</v>
      </c>
      <c r="D200" s="1">
        <v>13002561</v>
      </c>
      <c r="E200" s="1">
        <v>13</v>
      </c>
      <c r="F200" s="1">
        <v>22589</v>
      </c>
      <c r="G200" s="1" t="s">
        <v>21</v>
      </c>
      <c r="H200" s="1">
        <v>18</v>
      </c>
      <c r="I200" s="1">
        <v>53737</v>
      </c>
      <c r="J200" s="1" t="s">
        <v>287</v>
      </c>
      <c r="K200" s="1" t="s">
        <v>34</v>
      </c>
      <c r="L200" s="1" t="s">
        <v>159</v>
      </c>
      <c r="M200" s="1">
        <v>1</v>
      </c>
      <c r="N200" s="2">
        <v>196.8</v>
      </c>
      <c r="O200" s="3">
        <v>306</v>
      </c>
      <c r="P200" s="1">
        <v>30</v>
      </c>
      <c r="Q200" s="1">
        <v>9</v>
      </c>
      <c r="R200" s="1">
        <v>200010000752</v>
      </c>
      <c r="S200" s="1">
        <v>29</v>
      </c>
      <c r="T200" s="1">
        <v>1</v>
      </c>
      <c r="U200" s="1">
        <v>1</v>
      </c>
      <c r="V200">
        <f t="shared" si="3"/>
        <v>306</v>
      </c>
    </row>
    <row r="201" spans="1:22" ht="13" x14ac:dyDescent="0.15">
      <c r="A201" s="4">
        <v>44774</v>
      </c>
      <c r="B201" s="5">
        <v>0.55872685185185189</v>
      </c>
      <c r="C201" s="1">
        <v>1341</v>
      </c>
      <c r="D201" s="1">
        <v>13002561</v>
      </c>
      <c r="E201" s="1">
        <v>13</v>
      </c>
      <c r="F201" s="1">
        <v>22589</v>
      </c>
      <c r="G201" s="1" t="s">
        <v>21</v>
      </c>
      <c r="H201" s="1">
        <v>15</v>
      </c>
      <c r="I201" s="1">
        <v>945</v>
      </c>
      <c r="J201" s="1" t="s">
        <v>288</v>
      </c>
      <c r="K201" s="1" t="s">
        <v>51</v>
      </c>
      <c r="L201" s="1" t="s">
        <v>197</v>
      </c>
      <c r="M201" s="1">
        <v>1</v>
      </c>
      <c r="N201" s="2">
        <v>88.23</v>
      </c>
      <c r="O201" s="3">
        <v>126</v>
      </c>
      <c r="P201" s="1">
        <v>0</v>
      </c>
      <c r="Q201" s="1" t="s">
        <v>25</v>
      </c>
      <c r="R201" s="1" t="s">
        <v>25</v>
      </c>
      <c r="S201" s="1">
        <v>29</v>
      </c>
      <c r="T201" s="1">
        <v>1</v>
      </c>
      <c r="U201" s="1">
        <v>1</v>
      </c>
      <c r="V201">
        <f t="shared" si="3"/>
        <v>126</v>
      </c>
    </row>
    <row r="202" spans="1:22" ht="13" x14ac:dyDescent="0.15">
      <c r="A202" s="4">
        <v>44774</v>
      </c>
      <c r="B202" s="5">
        <v>0.55872685185185189</v>
      </c>
      <c r="C202" s="1">
        <v>1341</v>
      </c>
      <c r="D202" s="1">
        <v>13002561</v>
      </c>
      <c r="E202" s="1">
        <v>13</v>
      </c>
      <c r="F202" s="1">
        <v>22589</v>
      </c>
      <c r="G202" s="1" t="s">
        <v>21</v>
      </c>
      <c r="H202" s="1">
        <v>15</v>
      </c>
      <c r="I202" s="1">
        <v>945</v>
      </c>
      <c r="J202" s="1" t="s">
        <v>288</v>
      </c>
      <c r="K202" s="1" t="s">
        <v>51</v>
      </c>
      <c r="L202" s="1" t="s">
        <v>197</v>
      </c>
      <c r="M202" s="1">
        <v>1</v>
      </c>
      <c r="N202" s="2">
        <v>88.23</v>
      </c>
      <c r="O202" s="3">
        <v>126</v>
      </c>
      <c r="P202" s="1">
        <v>0</v>
      </c>
      <c r="Q202" s="1" t="s">
        <v>25</v>
      </c>
      <c r="R202" s="1" t="s">
        <v>25</v>
      </c>
      <c r="S202" s="1">
        <v>29</v>
      </c>
      <c r="T202" s="1">
        <v>1</v>
      </c>
      <c r="U202" s="1">
        <v>2</v>
      </c>
      <c r="V202">
        <f t="shared" si="3"/>
        <v>126</v>
      </c>
    </row>
    <row r="203" spans="1:22" ht="13" x14ac:dyDescent="0.15">
      <c r="A203" s="4">
        <v>44774</v>
      </c>
      <c r="B203" s="5">
        <v>0.55973379629629627</v>
      </c>
      <c r="C203" s="1">
        <v>1342</v>
      </c>
      <c r="D203" s="1">
        <v>13002561</v>
      </c>
      <c r="E203" s="1">
        <v>13</v>
      </c>
      <c r="F203" s="1">
        <v>22589</v>
      </c>
      <c r="G203" s="1" t="s">
        <v>21</v>
      </c>
      <c r="H203" s="1">
        <v>18</v>
      </c>
      <c r="I203" s="1">
        <v>82079</v>
      </c>
      <c r="J203" s="1" t="s">
        <v>289</v>
      </c>
      <c r="K203" s="1" t="s">
        <v>51</v>
      </c>
      <c r="L203" s="1" t="s">
        <v>175</v>
      </c>
      <c r="M203" s="1">
        <v>1</v>
      </c>
      <c r="N203" s="2">
        <v>55.76</v>
      </c>
      <c r="O203" s="3">
        <v>70</v>
      </c>
      <c r="P203" s="1">
        <v>0</v>
      </c>
      <c r="Q203" s="1" t="s">
        <v>25</v>
      </c>
      <c r="R203" s="1" t="s">
        <v>25</v>
      </c>
      <c r="S203" s="1">
        <v>29</v>
      </c>
      <c r="T203" s="1">
        <v>1</v>
      </c>
      <c r="U203" s="1">
        <v>2</v>
      </c>
      <c r="V203">
        <f t="shared" si="3"/>
        <v>70</v>
      </c>
    </row>
    <row r="204" spans="1:22" ht="13" x14ac:dyDescent="0.15">
      <c r="A204" s="4">
        <v>44774</v>
      </c>
      <c r="B204" s="5">
        <v>0.55973379629629627</v>
      </c>
      <c r="C204" s="1">
        <v>1342</v>
      </c>
      <c r="D204" s="1">
        <v>13002561</v>
      </c>
      <c r="E204" s="1">
        <v>13</v>
      </c>
      <c r="F204" s="1">
        <v>22589</v>
      </c>
      <c r="G204" s="1" t="s">
        <v>21</v>
      </c>
      <c r="H204" s="1">
        <v>18</v>
      </c>
      <c r="I204" s="1">
        <v>339232</v>
      </c>
      <c r="J204" s="1" t="s">
        <v>290</v>
      </c>
      <c r="K204" s="1" t="s">
        <v>117</v>
      </c>
      <c r="L204" s="1" t="s">
        <v>123</v>
      </c>
      <c r="M204" s="1">
        <v>1</v>
      </c>
      <c r="N204" s="2">
        <v>36.07</v>
      </c>
      <c r="O204" s="3">
        <v>55</v>
      </c>
      <c r="P204" s="1">
        <v>0</v>
      </c>
      <c r="Q204" s="1" t="s">
        <v>25</v>
      </c>
      <c r="R204" s="1" t="s">
        <v>25</v>
      </c>
      <c r="S204" s="1">
        <v>29</v>
      </c>
      <c r="T204" s="1">
        <v>1</v>
      </c>
      <c r="U204" s="1">
        <v>1</v>
      </c>
      <c r="V204">
        <f t="shared" si="3"/>
        <v>55</v>
      </c>
    </row>
    <row r="205" spans="1:22" ht="13" x14ac:dyDescent="0.15">
      <c r="A205" s="4">
        <v>44774</v>
      </c>
      <c r="B205" s="5">
        <v>0.5615162037037037</v>
      </c>
      <c r="C205" s="1">
        <v>1343</v>
      </c>
      <c r="D205" s="1">
        <v>13002561</v>
      </c>
      <c r="E205" s="1">
        <v>13</v>
      </c>
      <c r="F205" s="1">
        <v>22589</v>
      </c>
      <c r="G205" s="1" t="s">
        <v>21</v>
      </c>
      <c r="H205" s="1">
        <v>15</v>
      </c>
      <c r="I205" s="1">
        <v>100370</v>
      </c>
      <c r="J205" s="1" t="s">
        <v>291</v>
      </c>
      <c r="K205" s="1" t="s">
        <v>117</v>
      </c>
      <c r="L205" s="1" t="s">
        <v>248</v>
      </c>
      <c r="M205" s="1">
        <v>1</v>
      </c>
      <c r="N205" s="2">
        <v>32.74</v>
      </c>
      <c r="O205" s="3">
        <v>41</v>
      </c>
      <c r="P205" s="1">
        <v>2</v>
      </c>
      <c r="Q205" s="1">
        <v>9</v>
      </c>
      <c r="R205" s="1">
        <v>200010023539</v>
      </c>
      <c r="S205" s="1">
        <v>29</v>
      </c>
      <c r="T205" s="1">
        <v>1</v>
      </c>
      <c r="U205" s="1">
        <v>1</v>
      </c>
      <c r="V205">
        <f t="shared" si="3"/>
        <v>41</v>
      </c>
    </row>
    <row r="206" spans="1:22" ht="13" x14ac:dyDescent="0.15">
      <c r="A206" s="4">
        <v>44774</v>
      </c>
      <c r="B206" s="5">
        <v>0.5615162037037037</v>
      </c>
      <c r="C206" s="1">
        <v>1343</v>
      </c>
      <c r="D206" s="1">
        <v>13002561</v>
      </c>
      <c r="E206" s="1">
        <v>13</v>
      </c>
      <c r="F206" s="1">
        <v>22589</v>
      </c>
      <c r="G206" s="1" t="s">
        <v>21</v>
      </c>
      <c r="H206" s="1">
        <v>15</v>
      </c>
      <c r="I206" s="1">
        <v>100370</v>
      </c>
      <c r="J206" s="1" t="s">
        <v>291</v>
      </c>
      <c r="K206" s="1" t="s">
        <v>292</v>
      </c>
      <c r="L206" s="1" t="s">
        <v>248</v>
      </c>
      <c r="M206" s="1">
        <v>1</v>
      </c>
      <c r="N206" s="2">
        <v>34.840000000000003</v>
      </c>
      <c r="O206" s="3">
        <v>43</v>
      </c>
      <c r="P206" s="1">
        <v>2</v>
      </c>
      <c r="Q206" s="1">
        <v>9</v>
      </c>
      <c r="R206" s="1">
        <v>200010023539</v>
      </c>
      <c r="S206" s="1">
        <v>29</v>
      </c>
      <c r="T206" s="1">
        <v>1</v>
      </c>
      <c r="U206" s="1">
        <v>2</v>
      </c>
      <c r="V206">
        <f t="shared" si="3"/>
        <v>43</v>
      </c>
    </row>
    <row r="207" spans="1:22" ht="13" x14ac:dyDescent="0.15">
      <c r="A207" s="4">
        <v>44774</v>
      </c>
      <c r="B207" s="5">
        <v>0.5615162037037037</v>
      </c>
      <c r="C207" s="1">
        <v>1343</v>
      </c>
      <c r="D207" s="1">
        <v>13002561</v>
      </c>
      <c r="E207" s="1">
        <v>13</v>
      </c>
      <c r="F207" s="1">
        <v>22589</v>
      </c>
      <c r="G207" s="1" t="s">
        <v>21</v>
      </c>
      <c r="H207" s="1">
        <v>15</v>
      </c>
      <c r="I207" s="1">
        <v>5155</v>
      </c>
      <c r="J207" s="1" t="s">
        <v>293</v>
      </c>
      <c r="K207" s="1" t="s">
        <v>29</v>
      </c>
      <c r="L207" s="1" t="s">
        <v>220</v>
      </c>
      <c r="M207" s="1">
        <v>1</v>
      </c>
      <c r="N207" s="2">
        <v>72.02</v>
      </c>
      <c r="O207" s="3">
        <v>90</v>
      </c>
      <c r="P207" s="1">
        <v>4</v>
      </c>
      <c r="Q207" s="1">
        <v>9</v>
      </c>
      <c r="R207" s="1">
        <v>200010023539</v>
      </c>
      <c r="S207" s="1">
        <v>29</v>
      </c>
      <c r="T207" s="1">
        <v>1</v>
      </c>
      <c r="U207" s="1">
        <v>3</v>
      </c>
      <c r="V207">
        <f t="shared" si="3"/>
        <v>90</v>
      </c>
    </row>
    <row r="208" spans="1:22" ht="13" x14ac:dyDescent="0.15">
      <c r="A208" s="4">
        <v>44774</v>
      </c>
      <c r="B208" s="5">
        <v>0.5639467592592593</v>
      </c>
      <c r="C208" s="1">
        <v>1344</v>
      </c>
      <c r="D208" s="1">
        <v>13002561</v>
      </c>
      <c r="E208" s="1">
        <v>13</v>
      </c>
      <c r="F208" s="1">
        <v>22589</v>
      </c>
      <c r="G208" s="1" t="s">
        <v>21</v>
      </c>
      <c r="H208" s="1">
        <v>15</v>
      </c>
      <c r="I208" s="1">
        <v>255456</v>
      </c>
      <c r="J208" s="1" t="s">
        <v>294</v>
      </c>
      <c r="K208" s="1" t="s">
        <v>34</v>
      </c>
      <c r="L208" s="1" t="s">
        <v>295</v>
      </c>
      <c r="M208" s="1">
        <v>1</v>
      </c>
      <c r="N208" s="2">
        <v>503.92</v>
      </c>
      <c r="O208" s="3">
        <v>630</v>
      </c>
      <c r="P208" s="1">
        <v>44</v>
      </c>
      <c r="Q208" s="1">
        <v>9</v>
      </c>
      <c r="R208" s="1">
        <v>200010022491</v>
      </c>
      <c r="S208" s="1">
        <v>29</v>
      </c>
      <c r="T208" s="1">
        <v>1</v>
      </c>
      <c r="U208" s="1">
        <v>1</v>
      </c>
      <c r="V208">
        <f t="shared" si="3"/>
        <v>630</v>
      </c>
    </row>
    <row r="209" spans="1:22" ht="13" x14ac:dyDescent="0.15">
      <c r="A209" s="4">
        <v>44774</v>
      </c>
      <c r="B209" s="5">
        <v>0.56592592592592594</v>
      </c>
      <c r="C209" s="1">
        <v>1345</v>
      </c>
      <c r="D209" s="1">
        <v>13002561</v>
      </c>
      <c r="E209" s="1">
        <v>13</v>
      </c>
      <c r="F209" s="1">
        <v>22589</v>
      </c>
      <c r="G209" s="1" t="s">
        <v>21</v>
      </c>
      <c r="H209" s="1">
        <v>15</v>
      </c>
      <c r="I209" s="1">
        <v>290470</v>
      </c>
      <c r="J209" s="1" t="s">
        <v>296</v>
      </c>
      <c r="K209" s="1" t="s">
        <v>51</v>
      </c>
      <c r="L209" s="1" t="s">
        <v>297</v>
      </c>
      <c r="M209" s="1">
        <v>1</v>
      </c>
      <c r="N209" s="2">
        <v>373.44</v>
      </c>
      <c r="O209" s="3">
        <v>493</v>
      </c>
      <c r="P209" s="1">
        <v>34</v>
      </c>
      <c r="Q209" s="1">
        <v>9</v>
      </c>
      <c r="R209" s="1">
        <v>200010001829</v>
      </c>
      <c r="S209" s="1">
        <v>29</v>
      </c>
      <c r="T209" s="1">
        <v>1</v>
      </c>
      <c r="U209" s="1">
        <v>1</v>
      </c>
      <c r="V209">
        <f t="shared" si="3"/>
        <v>493</v>
      </c>
    </row>
    <row r="210" spans="1:22" ht="13" x14ac:dyDescent="0.15">
      <c r="A210" s="4">
        <v>44774</v>
      </c>
      <c r="B210" s="5">
        <v>0.57143518518518521</v>
      </c>
      <c r="C210" s="1">
        <v>1346</v>
      </c>
      <c r="D210" s="1">
        <v>13002561</v>
      </c>
      <c r="E210" s="1">
        <v>13</v>
      </c>
      <c r="F210" s="1">
        <v>22589</v>
      </c>
      <c r="G210" s="1" t="s">
        <v>21</v>
      </c>
      <c r="H210" s="1">
        <v>18</v>
      </c>
      <c r="I210" s="1">
        <v>78641</v>
      </c>
      <c r="J210" s="1" t="s">
        <v>298</v>
      </c>
      <c r="K210" s="1" t="s">
        <v>61</v>
      </c>
      <c r="L210" s="1" t="s">
        <v>299</v>
      </c>
      <c r="M210" s="1">
        <v>1</v>
      </c>
      <c r="N210" s="2">
        <v>333.74</v>
      </c>
      <c r="O210" s="3">
        <v>441</v>
      </c>
      <c r="P210" s="1">
        <v>30</v>
      </c>
      <c r="Q210" s="1">
        <v>9</v>
      </c>
      <c r="R210" s="1">
        <v>200010020116</v>
      </c>
      <c r="S210" s="1">
        <v>29</v>
      </c>
      <c r="T210" s="1">
        <v>1</v>
      </c>
      <c r="U210" s="1">
        <v>2</v>
      </c>
      <c r="V210">
        <f t="shared" si="3"/>
        <v>441</v>
      </c>
    </row>
    <row r="211" spans="1:22" ht="13" x14ac:dyDescent="0.15">
      <c r="A211" s="4">
        <v>44774</v>
      </c>
      <c r="B211" s="5">
        <v>0.57143518518518521</v>
      </c>
      <c r="C211" s="1">
        <v>1346</v>
      </c>
      <c r="D211" s="1">
        <v>13002561</v>
      </c>
      <c r="E211" s="1">
        <v>13</v>
      </c>
      <c r="F211" s="1">
        <v>22589</v>
      </c>
      <c r="G211" s="1" t="s">
        <v>21</v>
      </c>
      <c r="H211" s="1">
        <v>18</v>
      </c>
      <c r="I211" s="1">
        <v>23672</v>
      </c>
      <c r="J211" s="1" t="s">
        <v>300</v>
      </c>
      <c r="K211" s="1" t="s">
        <v>58</v>
      </c>
      <c r="L211" s="1" t="s">
        <v>301</v>
      </c>
      <c r="M211" s="1">
        <v>1</v>
      </c>
      <c r="N211" s="2">
        <v>50.31</v>
      </c>
      <c r="O211" s="3">
        <v>79</v>
      </c>
      <c r="P211" s="1">
        <v>7</v>
      </c>
      <c r="Q211" s="1">
        <v>9</v>
      </c>
      <c r="R211" s="1">
        <v>200010020116</v>
      </c>
      <c r="S211" s="1">
        <v>29</v>
      </c>
      <c r="T211" s="1">
        <v>1</v>
      </c>
      <c r="U211" s="1">
        <v>1</v>
      </c>
      <c r="V211">
        <f t="shared" si="3"/>
        <v>79</v>
      </c>
    </row>
    <row r="212" spans="1:22" ht="13" x14ac:dyDescent="0.15">
      <c r="A212" s="4">
        <v>44774</v>
      </c>
      <c r="B212" s="5">
        <v>0.57201388888888893</v>
      </c>
      <c r="C212" s="1">
        <v>1347</v>
      </c>
      <c r="D212" s="1">
        <v>13002561</v>
      </c>
      <c r="E212" s="1">
        <v>13</v>
      </c>
      <c r="F212" s="1">
        <v>22589</v>
      </c>
      <c r="G212" s="1" t="s">
        <v>21</v>
      </c>
      <c r="H212" s="1">
        <v>15</v>
      </c>
      <c r="I212" s="1">
        <v>9594</v>
      </c>
      <c r="J212" s="1" t="s">
        <v>302</v>
      </c>
      <c r="K212" s="1" t="s">
        <v>23</v>
      </c>
      <c r="L212" s="1" t="s">
        <v>303</v>
      </c>
      <c r="M212" s="1">
        <v>1</v>
      </c>
      <c r="N212" s="2">
        <v>62.12</v>
      </c>
      <c r="O212" s="3">
        <v>75</v>
      </c>
      <c r="P212" s="1">
        <v>5</v>
      </c>
      <c r="Q212" s="1">
        <v>9</v>
      </c>
      <c r="R212" s="1">
        <v>200010020116</v>
      </c>
      <c r="S212" s="1">
        <v>29</v>
      </c>
      <c r="T212" s="1">
        <v>1</v>
      </c>
      <c r="U212" s="1">
        <v>1</v>
      </c>
      <c r="V212">
        <f t="shared" si="3"/>
        <v>75</v>
      </c>
    </row>
    <row r="213" spans="1:22" ht="13" x14ac:dyDescent="0.15">
      <c r="A213" s="4">
        <v>44774</v>
      </c>
      <c r="B213" s="5">
        <v>0.57201388888888893</v>
      </c>
      <c r="C213" s="1">
        <v>1347</v>
      </c>
      <c r="D213" s="1">
        <v>13002561</v>
      </c>
      <c r="E213" s="1">
        <v>13</v>
      </c>
      <c r="F213" s="1">
        <v>22589</v>
      </c>
      <c r="G213" s="1" t="s">
        <v>21</v>
      </c>
      <c r="H213" s="1">
        <v>15</v>
      </c>
      <c r="I213" s="1">
        <v>9594</v>
      </c>
      <c r="J213" s="1" t="s">
        <v>302</v>
      </c>
      <c r="K213" s="1" t="s">
        <v>23</v>
      </c>
      <c r="L213" s="1" t="s">
        <v>303</v>
      </c>
      <c r="M213" s="1">
        <v>1</v>
      </c>
      <c r="N213" s="2">
        <v>62.12</v>
      </c>
      <c r="O213" s="3">
        <v>75</v>
      </c>
      <c r="P213" s="1">
        <v>5</v>
      </c>
      <c r="Q213" s="1">
        <v>9</v>
      </c>
      <c r="R213" s="1">
        <v>200010020116</v>
      </c>
      <c r="S213" s="1">
        <v>29</v>
      </c>
      <c r="T213" s="1">
        <v>1</v>
      </c>
      <c r="U213" s="1">
        <v>2</v>
      </c>
      <c r="V213">
        <f t="shared" si="3"/>
        <v>75</v>
      </c>
    </row>
    <row r="214" spans="1:22" ht="13" x14ac:dyDescent="0.15">
      <c r="A214" s="4">
        <v>44774</v>
      </c>
      <c r="B214" s="5">
        <v>0.57680555555555557</v>
      </c>
      <c r="C214" s="1">
        <v>1348</v>
      </c>
      <c r="D214" s="1">
        <v>13002561</v>
      </c>
      <c r="E214" s="1">
        <v>13</v>
      </c>
      <c r="F214" s="1">
        <v>22589</v>
      </c>
      <c r="G214" s="1" t="s">
        <v>21</v>
      </c>
      <c r="H214" s="1">
        <v>15</v>
      </c>
      <c r="I214" s="1">
        <v>13441</v>
      </c>
      <c r="J214" s="1" t="s">
        <v>304</v>
      </c>
      <c r="K214" s="1" t="s">
        <v>61</v>
      </c>
      <c r="L214" s="1" t="s">
        <v>269</v>
      </c>
      <c r="M214" s="1">
        <v>1</v>
      </c>
      <c r="N214" s="2">
        <v>42.68</v>
      </c>
      <c r="O214" s="3">
        <v>70</v>
      </c>
      <c r="P214" s="1">
        <v>7</v>
      </c>
      <c r="Q214" s="1">
        <v>9</v>
      </c>
      <c r="R214" s="1">
        <v>200010021953</v>
      </c>
      <c r="S214" s="1">
        <v>29</v>
      </c>
      <c r="T214" s="1">
        <v>1</v>
      </c>
      <c r="U214" s="1">
        <v>7</v>
      </c>
      <c r="V214">
        <f t="shared" si="3"/>
        <v>70</v>
      </c>
    </row>
    <row r="215" spans="1:22" ht="13" x14ac:dyDescent="0.15">
      <c r="A215" s="4">
        <v>44774</v>
      </c>
      <c r="B215" s="5">
        <v>0.57680555555555557</v>
      </c>
      <c r="C215" s="1">
        <v>1348</v>
      </c>
      <c r="D215" s="1">
        <v>13002561</v>
      </c>
      <c r="E215" s="1">
        <v>13</v>
      </c>
      <c r="F215" s="1">
        <v>22589</v>
      </c>
      <c r="G215" s="1" t="s">
        <v>21</v>
      </c>
      <c r="H215" s="1">
        <v>15</v>
      </c>
      <c r="I215" s="1">
        <v>337928</v>
      </c>
      <c r="J215" s="1" t="s">
        <v>305</v>
      </c>
      <c r="K215" s="1" t="s">
        <v>117</v>
      </c>
      <c r="L215" s="1" t="s">
        <v>306</v>
      </c>
      <c r="M215" s="1">
        <v>1</v>
      </c>
      <c r="N215" s="2">
        <v>52.17</v>
      </c>
      <c r="O215" s="3">
        <v>75</v>
      </c>
      <c r="P215" s="1">
        <v>5</v>
      </c>
      <c r="Q215" s="1">
        <v>9</v>
      </c>
      <c r="R215" s="1">
        <v>200010021953</v>
      </c>
      <c r="S215" s="1">
        <v>29</v>
      </c>
      <c r="T215" s="1">
        <v>1</v>
      </c>
      <c r="U215" s="1">
        <v>8</v>
      </c>
      <c r="V215">
        <f t="shared" si="3"/>
        <v>75</v>
      </c>
    </row>
    <row r="216" spans="1:22" ht="13" x14ac:dyDescent="0.15">
      <c r="A216" s="4">
        <v>44774</v>
      </c>
      <c r="B216" s="5">
        <v>0.57680555555555557</v>
      </c>
      <c r="C216" s="1">
        <v>1348</v>
      </c>
      <c r="D216" s="1">
        <v>13002561</v>
      </c>
      <c r="E216" s="1">
        <v>13</v>
      </c>
      <c r="F216" s="1">
        <v>22589</v>
      </c>
      <c r="G216" s="1" t="s">
        <v>21</v>
      </c>
      <c r="H216" s="1">
        <v>15</v>
      </c>
      <c r="I216" s="1">
        <v>397294</v>
      </c>
      <c r="J216" s="1" t="s">
        <v>307</v>
      </c>
      <c r="K216" s="1" t="s">
        <v>51</v>
      </c>
      <c r="L216" s="1" t="s">
        <v>76</v>
      </c>
      <c r="M216" s="1">
        <v>1</v>
      </c>
      <c r="N216" s="2">
        <v>394.06</v>
      </c>
      <c r="O216" s="3">
        <v>476</v>
      </c>
      <c r="P216" s="1">
        <v>23</v>
      </c>
      <c r="Q216" s="1">
        <v>9</v>
      </c>
      <c r="R216" s="1">
        <v>200010021953</v>
      </c>
      <c r="S216" s="1">
        <v>29</v>
      </c>
      <c r="T216" s="1">
        <v>1</v>
      </c>
      <c r="U216" s="1">
        <v>5</v>
      </c>
      <c r="V216">
        <f t="shared" si="3"/>
        <v>476</v>
      </c>
    </row>
    <row r="217" spans="1:22" ht="13" x14ac:dyDescent="0.15">
      <c r="A217" s="4">
        <v>44774</v>
      </c>
      <c r="B217" s="5">
        <v>0.57680555555555557</v>
      </c>
      <c r="C217" s="1">
        <v>1348</v>
      </c>
      <c r="D217" s="1">
        <v>13002561</v>
      </c>
      <c r="E217" s="1">
        <v>13</v>
      </c>
      <c r="F217" s="1">
        <v>22589</v>
      </c>
      <c r="G217" s="1" t="s">
        <v>21</v>
      </c>
      <c r="H217" s="1">
        <v>15</v>
      </c>
      <c r="I217" s="1">
        <v>539074</v>
      </c>
      <c r="J217" s="1" t="s">
        <v>308</v>
      </c>
      <c r="K217" s="1" t="s">
        <v>23</v>
      </c>
      <c r="L217" s="1" t="s">
        <v>309</v>
      </c>
      <c r="M217" s="1">
        <v>1</v>
      </c>
      <c r="N217" s="2">
        <v>174.18</v>
      </c>
      <c r="O217" s="3">
        <v>270</v>
      </c>
      <c r="P217" s="1">
        <v>27</v>
      </c>
      <c r="Q217" s="1">
        <v>9</v>
      </c>
      <c r="R217" s="1">
        <v>200010021953</v>
      </c>
      <c r="S217" s="1">
        <v>29</v>
      </c>
      <c r="T217" s="1">
        <v>1</v>
      </c>
      <c r="U217" s="1">
        <v>4</v>
      </c>
      <c r="V217">
        <f t="shared" si="3"/>
        <v>270</v>
      </c>
    </row>
    <row r="218" spans="1:22" ht="13" x14ac:dyDescent="0.15">
      <c r="A218" s="4">
        <v>44774</v>
      </c>
      <c r="B218" s="5">
        <v>0.57680555555555557</v>
      </c>
      <c r="C218" s="1">
        <v>1348</v>
      </c>
      <c r="D218" s="1">
        <v>13002561</v>
      </c>
      <c r="E218" s="1">
        <v>13</v>
      </c>
      <c r="F218" s="1">
        <v>22589</v>
      </c>
      <c r="G218" s="1" t="s">
        <v>21</v>
      </c>
      <c r="H218" s="1">
        <v>15</v>
      </c>
      <c r="I218" s="1">
        <v>38815</v>
      </c>
      <c r="J218" s="1" t="s">
        <v>310</v>
      </c>
      <c r="K218" s="1" t="s">
        <v>51</v>
      </c>
      <c r="L218" s="1" t="s">
        <v>197</v>
      </c>
      <c r="M218" s="1">
        <v>1</v>
      </c>
      <c r="N218" s="2">
        <v>33.21</v>
      </c>
      <c r="O218" s="3">
        <v>51</v>
      </c>
      <c r="P218" s="1">
        <v>3</v>
      </c>
      <c r="Q218" s="1">
        <v>9</v>
      </c>
      <c r="R218" s="1">
        <v>200010021953</v>
      </c>
      <c r="S218" s="1">
        <v>29</v>
      </c>
      <c r="T218" s="1">
        <v>1</v>
      </c>
      <c r="U218" s="1">
        <v>2</v>
      </c>
      <c r="V218">
        <f t="shared" si="3"/>
        <v>51</v>
      </c>
    </row>
    <row r="219" spans="1:22" ht="13" x14ac:dyDescent="0.15">
      <c r="A219" s="4">
        <v>44774</v>
      </c>
      <c r="B219" s="5">
        <v>0.57680555555555557</v>
      </c>
      <c r="C219" s="1">
        <v>1348</v>
      </c>
      <c r="D219" s="1">
        <v>13002561</v>
      </c>
      <c r="E219" s="1">
        <v>13</v>
      </c>
      <c r="F219" s="1">
        <v>22589</v>
      </c>
      <c r="G219" s="1" t="s">
        <v>21</v>
      </c>
      <c r="H219" s="1">
        <v>15</v>
      </c>
      <c r="I219" s="1">
        <v>38815</v>
      </c>
      <c r="J219" s="1" t="s">
        <v>310</v>
      </c>
      <c r="K219" s="1" t="s">
        <v>51</v>
      </c>
      <c r="L219" s="1" t="s">
        <v>197</v>
      </c>
      <c r="M219" s="1">
        <v>1</v>
      </c>
      <c r="N219" s="2">
        <v>33.21</v>
      </c>
      <c r="O219" s="3">
        <v>51</v>
      </c>
      <c r="P219" s="1">
        <v>3</v>
      </c>
      <c r="Q219" s="1">
        <v>9</v>
      </c>
      <c r="R219" s="1">
        <v>200010021953</v>
      </c>
      <c r="S219" s="1">
        <v>29</v>
      </c>
      <c r="T219" s="1">
        <v>1</v>
      </c>
      <c r="U219" s="1">
        <v>3</v>
      </c>
      <c r="V219">
        <f t="shared" si="3"/>
        <v>51</v>
      </c>
    </row>
    <row r="220" spans="1:22" ht="13" x14ac:dyDescent="0.15">
      <c r="A220" s="4">
        <v>44774</v>
      </c>
      <c r="B220" s="5">
        <v>0.57905092592592589</v>
      </c>
      <c r="C220" s="1">
        <v>1349</v>
      </c>
      <c r="D220" s="1">
        <v>13002561</v>
      </c>
      <c r="E220" s="1">
        <v>13</v>
      </c>
      <c r="F220" s="1">
        <v>22589</v>
      </c>
      <c r="G220" s="1" t="s">
        <v>21</v>
      </c>
      <c r="H220" s="1">
        <v>15</v>
      </c>
      <c r="I220" s="1">
        <v>5093</v>
      </c>
      <c r="J220" s="1" t="s">
        <v>311</v>
      </c>
      <c r="K220" s="1" t="s">
        <v>29</v>
      </c>
      <c r="L220" s="1" t="s">
        <v>35</v>
      </c>
      <c r="M220" s="1">
        <v>1</v>
      </c>
      <c r="N220" s="2">
        <v>208.26</v>
      </c>
      <c r="O220" s="3">
        <v>240</v>
      </c>
      <c r="P220" s="1">
        <v>16</v>
      </c>
      <c r="Q220" s="1">
        <v>9</v>
      </c>
      <c r="R220" s="1">
        <v>200010022582</v>
      </c>
      <c r="S220" s="1">
        <v>29</v>
      </c>
      <c r="T220" s="1">
        <v>1</v>
      </c>
      <c r="U220" s="1">
        <v>2</v>
      </c>
      <c r="V220">
        <f t="shared" si="3"/>
        <v>240</v>
      </c>
    </row>
    <row r="221" spans="1:22" ht="13" x14ac:dyDescent="0.15">
      <c r="A221" s="4">
        <v>44774</v>
      </c>
      <c r="B221" s="5">
        <v>0.57905092592592589</v>
      </c>
      <c r="C221" s="1">
        <v>1349</v>
      </c>
      <c r="D221" s="1">
        <v>13002561</v>
      </c>
      <c r="E221" s="1">
        <v>13</v>
      </c>
      <c r="F221" s="1">
        <v>22589</v>
      </c>
      <c r="G221" s="1" t="s">
        <v>21</v>
      </c>
      <c r="H221" s="1">
        <v>15</v>
      </c>
      <c r="I221" s="1">
        <v>9329</v>
      </c>
      <c r="J221" s="1" t="s">
        <v>312</v>
      </c>
      <c r="K221" s="1" t="s">
        <v>64</v>
      </c>
      <c r="L221" s="1" t="s">
        <v>313</v>
      </c>
      <c r="M221" s="1">
        <v>1</v>
      </c>
      <c r="N221" s="2">
        <v>201.71</v>
      </c>
      <c r="O221" s="3">
        <v>239</v>
      </c>
      <c r="P221" s="1">
        <v>11</v>
      </c>
      <c r="Q221" s="1">
        <v>9</v>
      </c>
      <c r="R221" s="1">
        <v>200010022582</v>
      </c>
      <c r="S221" s="1">
        <v>29</v>
      </c>
      <c r="T221" s="1">
        <v>1</v>
      </c>
      <c r="U221" s="1">
        <v>1</v>
      </c>
      <c r="V221">
        <f t="shared" si="3"/>
        <v>239</v>
      </c>
    </row>
    <row r="222" spans="1:22" ht="13" x14ac:dyDescent="0.15">
      <c r="A222" s="4">
        <v>44774</v>
      </c>
      <c r="B222" s="5">
        <v>0.58363425925925927</v>
      </c>
      <c r="C222" s="1">
        <v>1350</v>
      </c>
      <c r="D222" s="1">
        <v>13002561</v>
      </c>
      <c r="E222" s="1">
        <v>13</v>
      </c>
      <c r="F222" s="1">
        <v>22589</v>
      </c>
      <c r="G222" s="1" t="s">
        <v>21</v>
      </c>
      <c r="H222" s="1">
        <v>18</v>
      </c>
      <c r="I222" s="1">
        <v>28768</v>
      </c>
      <c r="J222" s="1" t="s">
        <v>314</v>
      </c>
      <c r="K222" s="1" t="s">
        <v>117</v>
      </c>
      <c r="L222" s="1" t="s">
        <v>315</v>
      </c>
      <c r="M222" s="1">
        <v>1</v>
      </c>
      <c r="N222" s="2">
        <v>385.06</v>
      </c>
      <c r="O222" s="3">
        <v>509</v>
      </c>
      <c r="P222" s="1">
        <v>35</v>
      </c>
      <c r="Q222" s="1">
        <v>9</v>
      </c>
      <c r="R222" s="1">
        <v>200010020905</v>
      </c>
      <c r="S222" s="1">
        <v>29</v>
      </c>
      <c r="T222" s="1">
        <v>1</v>
      </c>
      <c r="U222" s="1">
        <v>2</v>
      </c>
      <c r="V222">
        <f t="shared" si="3"/>
        <v>509</v>
      </c>
    </row>
    <row r="223" spans="1:22" ht="13" x14ac:dyDescent="0.15">
      <c r="A223" s="4">
        <v>44774</v>
      </c>
      <c r="B223" s="5">
        <v>0.58363425925925927</v>
      </c>
      <c r="C223" s="1">
        <v>1350</v>
      </c>
      <c r="D223" s="1">
        <v>13002561</v>
      </c>
      <c r="E223" s="1">
        <v>13</v>
      </c>
      <c r="F223" s="1">
        <v>22589</v>
      </c>
      <c r="G223" s="1" t="s">
        <v>21</v>
      </c>
      <c r="H223" s="1">
        <v>18</v>
      </c>
      <c r="I223" s="1">
        <v>3647</v>
      </c>
      <c r="J223" s="1" t="s">
        <v>316</v>
      </c>
      <c r="K223" s="1" t="s">
        <v>61</v>
      </c>
      <c r="L223" s="1" t="s">
        <v>82</v>
      </c>
      <c r="M223" s="1">
        <v>1</v>
      </c>
      <c r="N223" s="2">
        <v>93.28</v>
      </c>
      <c r="O223" s="3">
        <v>133</v>
      </c>
      <c r="P223" s="1">
        <v>9</v>
      </c>
      <c r="Q223" s="1">
        <v>9</v>
      </c>
      <c r="R223" s="1">
        <v>200010020905</v>
      </c>
      <c r="S223" s="1">
        <v>29</v>
      </c>
      <c r="T223" s="1">
        <v>1</v>
      </c>
      <c r="U223" s="1">
        <v>1</v>
      </c>
      <c r="V223">
        <f t="shared" si="3"/>
        <v>133</v>
      </c>
    </row>
    <row r="224" spans="1:22" ht="13" x14ac:dyDescent="0.15">
      <c r="A224" s="4">
        <v>44774</v>
      </c>
      <c r="B224" s="5">
        <v>0.58592592592592596</v>
      </c>
      <c r="C224" s="1">
        <v>1351</v>
      </c>
      <c r="D224" s="1">
        <v>13002561</v>
      </c>
      <c r="E224" s="1">
        <v>13</v>
      </c>
      <c r="F224" s="1">
        <v>22589</v>
      </c>
      <c r="G224" s="1" t="s">
        <v>21</v>
      </c>
      <c r="H224" s="1">
        <v>15</v>
      </c>
      <c r="I224" s="1">
        <v>545136</v>
      </c>
      <c r="J224" s="1" t="s">
        <v>317</v>
      </c>
      <c r="K224" s="1" t="s">
        <v>51</v>
      </c>
      <c r="L224" s="1" t="s">
        <v>318</v>
      </c>
      <c r="M224" s="1">
        <v>0.14285713999999999</v>
      </c>
      <c r="N224" s="2">
        <v>9586.56</v>
      </c>
      <c r="O224" s="3">
        <v>10775.7</v>
      </c>
      <c r="P224" s="1">
        <v>153.38999999999999</v>
      </c>
      <c r="Q224" s="1">
        <v>27</v>
      </c>
      <c r="R224" s="1">
        <v>200010000015</v>
      </c>
      <c r="S224" s="1">
        <v>29</v>
      </c>
      <c r="T224" s="1">
        <v>1</v>
      </c>
      <c r="U224" s="1">
        <v>1</v>
      </c>
      <c r="V224">
        <f t="shared" si="3"/>
        <v>1539.3856834979999</v>
      </c>
    </row>
    <row r="225" spans="1:22" ht="13" x14ac:dyDescent="0.15">
      <c r="A225" s="4">
        <v>44774</v>
      </c>
      <c r="B225" s="5">
        <v>0.58592592592592596</v>
      </c>
      <c r="C225" s="1">
        <v>1351</v>
      </c>
      <c r="D225" s="1">
        <v>13002561</v>
      </c>
      <c r="E225" s="1">
        <v>13</v>
      </c>
      <c r="F225" s="1">
        <v>22589</v>
      </c>
      <c r="G225" s="1" t="s">
        <v>21</v>
      </c>
      <c r="H225" s="1">
        <v>15</v>
      </c>
      <c r="I225" s="1">
        <v>30442</v>
      </c>
      <c r="J225" s="1" t="s">
        <v>319</v>
      </c>
      <c r="K225" s="1" t="s">
        <v>51</v>
      </c>
      <c r="L225" s="1" t="s">
        <v>320</v>
      </c>
      <c r="M225" s="1">
        <v>2</v>
      </c>
      <c r="N225" s="2">
        <v>139.21</v>
      </c>
      <c r="O225" s="3">
        <v>216</v>
      </c>
      <c r="P225" s="1">
        <v>64</v>
      </c>
      <c r="Q225" s="1">
        <v>27</v>
      </c>
      <c r="R225" s="1">
        <v>200010000015</v>
      </c>
      <c r="S225" s="1">
        <v>29</v>
      </c>
      <c r="T225" s="1">
        <v>1</v>
      </c>
      <c r="U225" s="1">
        <v>2</v>
      </c>
      <c r="V225">
        <f t="shared" si="3"/>
        <v>432</v>
      </c>
    </row>
    <row r="226" spans="1:22" ht="13" x14ac:dyDescent="0.15">
      <c r="A226" s="4">
        <v>44774</v>
      </c>
      <c r="B226" s="5">
        <v>0.58928240740740745</v>
      </c>
      <c r="C226" s="1">
        <v>1352</v>
      </c>
      <c r="D226" s="1">
        <v>13002561</v>
      </c>
      <c r="E226" s="1">
        <v>13</v>
      </c>
      <c r="F226" s="1">
        <v>22589</v>
      </c>
      <c r="G226" s="1" t="s">
        <v>21</v>
      </c>
      <c r="H226" s="1">
        <v>15</v>
      </c>
      <c r="I226" s="1">
        <v>326881</v>
      </c>
      <c r="J226" s="1" t="s">
        <v>321</v>
      </c>
      <c r="K226" s="1" t="s">
        <v>51</v>
      </c>
      <c r="L226" s="1" t="s">
        <v>322</v>
      </c>
      <c r="M226" s="1">
        <v>1</v>
      </c>
      <c r="N226" s="2">
        <v>92.38</v>
      </c>
      <c r="O226" s="3">
        <v>132</v>
      </c>
      <c r="P226" s="1">
        <v>0</v>
      </c>
      <c r="Q226" s="1" t="s">
        <v>25</v>
      </c>
      <c r="R226" s="1" t="s">
        <v>25</v>
      </c>
      <c r="S226" s="1">
        <v>29</v>
      </c>
      <c r="T226" s="1">
        <v>1</v>
      </c>
      <c r="U226" s="1">
        <v>2</v>
      </c>
      <c r="V226">
        <f t="shared" si="3"/>
        <v>132</v>
      </c>
    </row>
    <row r="227" spans="1:22" ht="13" x14ac:dyDescent="0.15">
      <c r="A227" s="4">
        <v>44774</v>
      </c>
      <c r="B227" s="5">
        <v>0.58928240740740745</v>
      </c>
      <c r="C227" s="1">
        <v>1352</v>
      </c>
      <c r="D227" s="1">
        <v>13002561</v>
      </c>
      <c r="E227" s="1">
        <v>13</v>
      </c>
      <c r="F227" s="1">
        <v>22589</v>
      </c>
      <c r="G227" s="1" t="s">
        <v>21</v>
      </c>
      <c r="H227" s="1">
        <v>15</v>
      </c>
      <c r="I227" s="1">
        <v>326881</v>
      </c>
      <c r="J227" s="1" t="s">
        <v>321</v>
      </c>
      <c r="K227" s="1" t="s">
        <v>51</v>
      </c>
      <c r="L227" s="1" t="s">
        <v>322</v>
      </c>
      <c r="M227" s="1">
        <v>1</v>
      </c>
      <c r="N227" s="2">
        <v>92.38</v>
      </c>
      <c r="O227" s="3">
        <v>132</v>
      </c>
      <c r="P227" s="1">
        <v>0</v>
      </c>
      <c r="Q227" s="1" t="s">
        <v>25</v>
      </c>
      <c r="R227" s="1" t="s">
        <v>25</v>
      </c>
      <c r="S227" s="1">
        <v>29</v>
      </c>
      <c r="T227" s="1">
        <v>1</v>
      </c>
      <c r="U227" s="1">
        <v>3</v>
      </c>
      <c r="V227">
        <f t="shared" si="3"/>
        <v>132</v>
      </c>
    </row>
    <row r="228" spans="1:22" ht="13" x14ac:dyDescent="0.15">
      <c r="A228" s="4">
        <v>44774</v>
      </c>
      <c r="B228" s="5">
        <v>0.58928240740740745</v>
      </c>
      <c r="C228" s="1">
        <v>1352</v>
      </c>
      <c r="D228" s="1">
        <v>13002561</v>
      </c>
      <c r="E228" s="1">
        <v>13</v>
      </c>
      <c r="F228" s="1">
        <v>22589</v>
      </c>
      <c r="G228" s="1" t="s">
        <v>21</v>
      </c>
      <c r="H228" s="1">
        <v>15</v>
      </c>
      <c r="I228" s="1">
        <v>48094</v>
      </c>
      <c r="J228" s="1" t="s">
        <v>323</v>
      </c>
      <c r="K228" s="1" t="s">
        <v>34</v>
      </c>
      <c r="L228" s="1" t="s">
        <v>118</v>
      </c>
      <c r="M228" s="1">
        <v>1</v>
      </c>
      <c r="N228" s="2">
        <v>105.58</v>
      </c>
      <c r="O228" s="3">
        <v>154</v>
      </c>
      <c r="P228" s="1">
        <v>0</v>
      </c>
      <c r="Q228" s="1" t="s">
        <v>25</v>
      </c>
      <c r="R228" s="1" t="s">
        <v>25</v>
      </c>
      <c r="S228" s="1">
        <v>29</v>
      </c>
      <c r="T228" s="1">
        <v>1</v>
      </c>
      <c r="U228" s="1">
        <v>1</v>
      </c>
      <c r="V228">
        <f t="shared" si="3"/>
        <v>154</v>
      </c>
    </row>
    <row r="229" spans="1:22" ht="13" x14ac:dyDescent="0.15">
      <c r="A229" s="4">
        <v>44774</v>
      </c>
      <c r="B229" s="5">
        <v>0.59075231481481483</v>
      </c>
      <c r="C229" s="1">
        <v>1353</v>
      </c>
      <c r="D229" s="1">
        <v>13002561</v>
      </c>
      <c r="E229" s="1">
        <v>13</v>
      </c>
      <c r="F229" s="1">
        <v>22589</v>
      </c>
      <c r="G229" s="1" t="s">
        <v>21</v>
      </c>
      <c r="H229" s="1">
        <v>18</v>
      </c>
      <c r="I229" s="1">
        <v>141664</v>
      </c>
      <c r="J229" s="1" t="s">
        <v>324</v>
      </c>
      <c r="K229" s="1" t="s">
        <v>51</v>
      </c>
      <c r="L229" s="1" t="s">
        <v>80</v>
      </c>
      <c r="M229" s="1">
        <v>2</v>
      </c>
      <c r="N229" s="2">
        <v>37.78</v>
      </c>
      <c r="O229" s="3">
        <v>62</v>
      </c>
      <c r="P229" s="1">
        <v>12</v>
      </c>
      <c r="Q229" s="1">
        <v>9</v>
      </c>
      <c r="R229" s="1">
        <v>200010021962</v>
      </c>
      <c r="S229" s="1">
        <v>29</v>
      </c>
      <c r="T229" s="1">
        <v>1</v>
      </c>
      <c r="U229" s="1">
        <v>3</v>
      </c>
      <c r="V229">
        <f t="shared" si="3"/>
        <v>124</v>
      </c>
    </row>
    <row r="230" spans="1:22" ht="13" x14ac:dyDescent="0.15">
      <c r="A230" s="4">
        <v>44774</v>
      </c>
      <c r="B230" s="5">
        <v>0.59075231481481483</v>
      </c>
      <c r="C230" s="1">
        <v>1353</v>
      </c>
      <c r="D230" s="1">
        <v>13002561</v>
      </c>
      <c r="E230" s="1">
        <v>13</v>
      </c>
      <c r="F230" s="1">
        <v>22589</v>
      </c>
      <c r="G230" s="1" t="s">
        <v>21</v>
      </c>
      <c r="H230" s="1">
        <v>18</v>
      </c>
      <c r="I230" s="1">
        <v>485337</v>
      </c>
      <c r="J230" s="1" t="s">
        <v>325</v>
      </c>
      <c r="K230" s="1" t="s">
        <v>141</v>
      </c>
      <c r="L230" s="1" t="s">
        <v>326</v>
      </c>
      <c r="M230" s="1">
        <v>1</v>
      </c>
      <c r="N230" s="2">
        <v>49.39</v>
      </c>
      <c r="O230" s="3">
        <v>76</v>
      </c>
      <c r="P230" s="1">
        <v>5</v>
      </c>
      <c r="Q230" s="1">
        <v>9</v>
      </c>
      <c r="R230" s="1">
        <v>200010021962</v>
      </c>
      <c r="S230" s="1">
        <v>29</v>
      </c>
      <c r="T230" s="1">
        <v>1</v>
      </c>
      <c r="U230" s="1">
        <v>1</v>
      </c>
      <c r="V230">
        <f t="shared" si="3"/>
        <v>76</v>
      </c>
    </row>
    <row r="231" spans="1:22" ht="13" x14ac:dyDescent="0.15">
      <c r="A231" s="4">
        <v>44774</v>
      </c>
      <c r="B231" s="5">
        <v>0.59075231481481483</v>
      </c>
      <c r="C231" s="1">
        <v>1353</v>
      </c>
      <c r="D231" s="1">
        <v>13002561</v>
      </c>
      <c r="E231" s="1">
        <v>13</v>
      </c>
      <c r="F231" s="1">
        <v>22589</v>
      </c>
      <c r="G231" s="1" t="s">
        <v>21</v>
      </c>
      <c r="H231" s="1">
        <v>18</v>
      </c>
      <c r="I231" s="1">
        <v>485337</v>
      </c>
      <c r="J231" s="1" t="s">
        <v>325</v>
      </c>
      <c r="K231" s="1" t="s">
        <v>141</v>
      </c>
      <c r="L231" s="1" t="s">
        <v>326</v>
      </c>
      <c r="M231" s="1">
        <v>1</v>
      </c>
      <c r="N231" s="2">
        <v>49.39</v>
      </c>
      <c r="O231" s="3">
        <v>76</v>
      </c>
      <c r="P231" s="1">
        <v>5</v>
      </c>
      <c r="Q231" s="1">
        <v>9</v>
      </c>
      <c r="R231" s="1">
        <v>200010021962</v>
      </c>
      <c r="S231" s="1">
        <v>29</v>
      </c>
      <c r="T231" s="1">
        <v>1</v>
      </c>
      <c r="U231" s="1">
        <v>2</v>
      </c>
      <c r="V231">
        <f t="shared" si="3"/>
        <v>76</v>
      </c>
    </row>
    <row r="232" spans="1:22" ht="13" x14ac:dyDescent="0.15">
      <c r="A232" s="4">
        <v>44774</v>
      </c>
      <c r="B232" s="5">
        <v>0.59709490740740745</v>
      </c>
      <c r="C232" s="1">
        <v>1354</v>
      </c>
      <c r="D232" s="1">
        <v>13002561</v>
      </c>
      <c r="E232" s="1">
        <v>13</v>
      </c>
      <c r="F232" s="1">
        <v>22589</v>
      </c>
      <c r="G232" s="1" t="s">
        <v>21</v>
      </c>
      <c r="H232" s="1">
        <v>15</v>
      </c>
      <c r="I232" s="1">
        <v>18570</v>
      </c>
      <c r="J232" s="1" t="s">
        <v>327</v>
      </c>
      <c r="K232" s="1" t="s">
        <v>117</v>
      </c>
      <c r="L232" s="1" t="s">
        <v>328</v>
      </c>
      <c r="M232" s="1">
        <v>1</v>
      </c>
      <c r="N232" s="2">
        <v>37.590000000000003</v>
      </c>
      <c r="O232" s="3">
        <v>46</v>
      </c>
      <c r="P232" s="1">
        <v>2</v>
      </c>
      <c r="Q232" s="1">
        <v>9</v>
      </c>
      <c r="R232" s="1">
        <v>200010000452</v>
      </c>
      <c r="S232" s="1">
        <v>29</v>
      </c>
      <c r="T232" s="1">
        <v>1</v>
      </c>
      <c r="U232" s="1">
        <v>2</v>
      </c>
      <c r="V232">
        <f t="shared" si="3"/>
        <v>46</v>
      </c>
    </row>
    <row r="233" spans="1:22" ht="13" x14ac:dyDescent="0.15">
      <c r="A233" s="4">
        <v>44774</v>
      </c>
      <c r="B233" s="5">
        <v>0.59709490740740745</v>
      </c>
      <c r="C233" s="1">
        <v>1354</v>
      </c>
      <c r="D233" s="1">
        <v>13002561</v>
      </c>
      <c r="E233" s="1">
        <v>13</v>
      </c>
      <c r="F233" s="1">
        <v>22589</v>
      </c>
      <c r="G233" s="1" t="s">
        <v>21</v>
      </c>
      <c r="H233" s="1">
        <v>15</v>
      </c>
      <c r="I233" s="1">
        <v>405631</v>
      </c>
      <c r="J233" s="1" t="s">
        <v>329</v>
      </c>
      <c r="K233" s="1" t="s">
        <v>51</v>
      </c>
      <c r="L233" s="1" t="s">
        <v>330</v>
      </c>
      <c r="M233" s="1">
        <v>1</v>
      </c>
      <c r="N233" s="2">
        <v>68.72</v>
      </c>
      <c r="O233" s="3">
        <v>108</v>
      </c>
      <c r="P233" s="1">
        <v>10</v>
      </c>
      <c r="Q233" s="1">
        <v>9</v>
      </c>
      <c r="R233" s="1">
        <v>200010000452</v>
      </c>
      <c r="S233" s="1">
        <v>29</v>
      </c>
      <c r="T233" s="1">
        <v>1</v>
      </c>
      <c r="U233" s="1">
        <v>1</v>
      </c>
      <c r="V233">
        <f t="shared" si="3"/>
        <v>108</v>
      </c>
    </row>
    <row r="234" spans="1:22" ht="13" x14ac:dyDescent="0.15">
      <c r="A234" s="4">
        <v>44774</v>
      </c>
      <c r="B234" s="5">
        <v>0.6031481481481481</v>
      </c>
      <c r="C234" s="1">
        <v>1355</v>
      </c>
      <c r="D234" s="1">
        <v>13002561</v>
      </c>
      <c r="E234" s="1">
        <v>13</v>
      </c>
      <c r="F234" s="1">
        <v>22589</v>
      </c>
      <c r="G234" s="1" t="s">
        <v>21</v>
      </c>
      <c r="H234" s="1">
        <v>18</v>
      </c>
      <c r="I234" s="1">
        <v>346864</v>
      </c>
      <c r="J234" s="1" t="s">
        <v>331</v>
      </c>
      <c r="K234" s="1" t="s">
        <v>58</v>
      </c>
      <c r="L234" s="1" t="s">
        <v>332</v>
      </c>
      <c r="M234" s="1">
        <v>0.1071429</v>
      </c>
      <c r="N234" s="2">
        <v>622.16</v>
      </c>
      <c r="O234" s="3">
        <v>685</v>
      </c>
      <c r="P234" s="1">
        <v>1.39</v>
      </c>
      <c r="Q234" s="1">
        <v>9</v>
      </c>
      <c r="R234" s="1">
        <v>200010026851</v>
      </c>
      <c r="S234" s="1">
        <v>29</v>
      </c>
      <c r="T234" s="1">
        <v>1</v>
      </c>
      <c r="U234" s="1">
        <v>1</v>
      </c>
      <c r="V234">
        <f t="shared" si="3"/>
        <v>73.392886500000003</v>
      </c>
    </row>
    <row r="235" spans="1:22" ht="13" x14ac:dyDescent="0.15">
      <c r="A235" s="4">
        <v>44774</v>
      </c>
      <c r="B235" s="5">
        <v>0.60392361111111115</v>
      </c>
      <c r="C235" s="1">
        <v>1356</v>
      </c>
      <c r="D235" s="1">
        <v>13002561</v>
      </c>
      <c r="E235" s="1">
        <v>13</v>
      </c>
      <c r="F235" s="1">
        <v>22589</v>
      </c>
      <c r="G235" s="1" t="s">
        <v>21</v>
      </c>
      <c r="H235" s="1">
        <v>18</v>
      </c>
      <c r="I235" s="1">
        <v>341501</v>
      </c>
      <c r="J235" s="1" t="s">
        <v>333</v>
      </c>
      <c r="K235" s="1" t="s">
        <v>117</v>
      </c>
      <c r="L235" s="1" t="s">
        <v>200</v>
      </c>
      <c r="M235" s="1">
        <v>1</v>
      </c>
      <c r="N235" s="2">
        <v>27.91</v>
      </c>
      <c r="O235" s="3">
        <v>34</v>
      </c>
      <c r="P235" s="1">
        <v>0</v>
      </c>
      <c r="Q235" s="1" t="s">
        <v>25</v>
      </c>
      <c r="R235" s="1" t="s">
        <v>25</v>
      </c>
      <c r="S235" s="1">
        <v>29</v>
      </c>
      <c r="T235" s="1">
        <v>1</v>
      </c>
      <c r="U235" s="1">
        <v>2</v>
      </c>
      <c r="V235">
        <f t="shared" si="3"/>
        <v>34</v>
      </c>
    </row>
    <row r="236" spans="1:22" ht="13" x14ac:dyDescent="0.15">
      <c r="A236" s="4">
        <v>44774</v>
      </c>
      <c r="B236" s="5">
        <v>0.70020833333333332</v>
      </c>
      <c r="C236" s="1">
        <v>1380</v>
      </c>
      <c r="D236" s="1">
        <v>13002561</v>
      </c>
      <c r="E236" s="1">
        <v>13</v>
      </c>
      <c r="F236" s="1">
        <v>22589</v>
      </c>
      <c r="G236" s="1" t="s">
        <v>21</v>
      </c>
      <c r="H236" s="1">
        <v>18</v>
      </c>
      <c r="I236" s="1">
        <v>341501</v>
      </c>
      <c r="J236" s="1" t="s">
        <v>333</v>
      </c>
      <c r="K236" s="1" t="s">
        <v>117</v>
      </c>
      <c r="L236" s="1" t="s">
        <v>200</v>
      </c>
      <c r="M236" s="1">
        <v>1</v>
      </c>
      <c r="N236" s="2">
        <v>27.91</v>
      </c>
      <c r="O236" s="3">
        <v>34</v>
      </c>
      <c r="P236" s="1">
        <v>1</v>
      </c>
      <c r="Q236" s="1">
        <v>9</v>
      </c>
      <c r="R236" s="1">
        <v>200010013152</v>
      </c>
      <c r="S236" s="1">
        <v>29</v>
      </c>
      <c r="T236" s="1">
        <v>1</v>
      </c>
      <c r="U236" s="1">
        <v>1</v>
      </c>
      <c r="V236">
        <f t="shared" si="3"/>
        <v>34</v>
      </c>
    </row>
    <row r="237" spans="1:22" ht="13" x14ac:dyDescent="0.15">
      <c r="A237" s="4">
        <v>44774</v>
      </c>
      <c r="B237" s="5">
        <v>0.60496527777777775</v>
      </c>
      <c r="C237" s="1">
        <v>1357</v>
      </c>
      <c r="D237" s="1">
        <v>13002561</v>
      </c>
      <c r="E237" s="1">
        <v>13</v>
      </c>
      <c r="F237" s="1">
        <v>22589</v>
      </c>
      <c r="G237" s="1" t="s">
        <v>21</v>
      </c>
      <c r="H237" s="1">
        <v>15</v>
      </c>
      <c r="I237" s="1">
        <v>393397</v>
      </c>
      <c r="J237" s="1" t="s">
        <v>334</v>
      </c>
      <c r="K237" s="1" t="s">
        <v>29</v>
      </c>
      <c r="L237" s="1" t="s">
        <v>335</v>
      </c>
      <c r="M237" s="1">
        <v>1</v>
      </c>
      <c r="N237" s="2">
        <v>20.079999999999998</v>
      </c>
      <c r="O237" s="3">
        <v>26</v>
      </c>
      <c r="P237" s="1">
        <v>1</v>
      </c>
      <c r="Q237" s="1">
        <v>9</v>
      </c>
      <c r="R237" s="1">
        <v>200010002999</v>
      </c>
      <c r="S237" s="1">
        <v>29</v>
      </c>
      <c r="T237" s="1">
        <v>1</v>
      </c>
      <c r="U237" s="1">
        <v>1</v>
      </c>
      <c r="V237">
        <f t="shared" si="3"/>
        <v>26</v>
      </c>
    </row>
    <row r="238" spans="1:22" ht="13" x14ac:dyDescent="0.15">
      <c r="A238" s="4">
        <v>44774</v>
      </c>
      <c r="B238" s="5">
        <v>0.60569444444444442</v>
      </c>
      <c r="C238" s="1">
        <v>1358</v>
      </c>
      <c r="D238" s="1">
        <v>13002561</v>
      </c>
      <c r="E238" s="1">
        <v>13</v>
      </c>
      <c r="F238" s="1">
        <v>22589</v>
      </c>
      <c r="G238" s="1" t="s">
        <v>21</v>
      </c>
      <c r="H238" s="1">
        <v>15</v>
      </c>
      <c r="I238" s="1">
        <v>342845</v>
      </c>
      <c r="J238" s="1" t="s">
        <v>336</v>
      </c>
      <c r="K238" s="1" t="s">
        <v>29</v>
      </c>
      <c r="L238" s="1" t="s">
        <v>157</v>
      </c>
      <c r="M238" s="1">
        <v>1</v>
      </c>
      <c r="N238" s="2">
        <v>591.49</v>
      </c>
      <c r="O238" s="3">
        <v>657</v>
      </c>
      <c r="P238" s="1">
        <v>19</v>
      </c>
      <c r="Q238" s="1">
        <v>9</v>
      </c>
      <c r="R238" s="1">
        <v>200010018011</v>
      </c>
      <c r="S238" s="1">
        <v>29</v>
      </c>
      <c r="T238" s="1">
        <v>1</v>
      </c>
      <c r="U238" s="1">
        <v>1</v>
      </c>
      <c r="V238">
        <f t="shared" si="3"/>
        <v>657</v>
      </c>
    </row>
    <row r="239" spans="1:22" ht="13" x14ac:dyDescent="0.15">
      <c r="A239" s="4">
        <v>44774</v>
      </c>
      <c r="B239" s="5">
        <v>0.60569444444444442</v>
      </c>
      <c r="C239" s="1">
        <v>1358</v>
      </c>
      <c r="D239" s="1">
        <v>13002561</v>
      </c>
      <c r="E239" s="1">
        <v>13</v>
      </c>
      <c r="F239" s="1">
        <v>22589</v>
      </c>
      <c r="G239" s="1" t="s">
        <v>21</v>
      </c>
      <c r="H239" s="1">
        <v>15</v>
      </c>
      <c r="I239" s="1">
        <v>342845</v>
      </c>
      <c r="J239" s="1" t="s">
        <v>336</v>
      </c>
      <c r="K239" s="1" t="s">
        <v>29</v>
      </c>
      <c r="L239" s="1" t="s">
        <v>157</v>
      </c>
      <c r="M239" s="1">
        <v>1</v>
      </c>
      <c r="N239" s="2">
        <v>591.49</v>
      </c>
      <c r="O239" s="3">
        <v>657</v>
      </c>
      <c r="P239" s="1">
        <v>19</v>
      </c>
      <c r="Q239" s="1">
        <v>9</v>
      </c>
      <c r="R239" s="1">
        <v>200010018011</v>
      </c>
      <c r="S239" s="1">
        <v>29</v>
      </c>
      <c r="T239" s="1">
        <v>1</v>
      </c>
      <c r="U239" s="1">
        <v>2</v>
      </c>
      <c r="V239">
        <f t="shared" si="3"/>
        <v>657</v>
      </c>
    </row>
    <row r="240" spans="1:22" ht="13" x14ac:dyDescent="0.15">
      <c r="A240" s="4">
        <v>44774</v>
      </c>
      <c r="B240" s="5">
        <v>0.61068287037037039</v>
      </c>
      <c r="C240" s="1">
        <v>1359</v>
      </c>
      <c r="D240" s="1">
        <v>13002561</v>
      </c>
      <c r="E240" s="1">
        <v>13</v>
      </c>
      <c r="F240" s="1">
        <v>22589</v>
      </c>
      <c r="G240" s="1" t="s">
        <v>21</v>
      </c>
      <c r="H240" s="1">
        <v>18</v>
      </c>
      <c r="I240" s="1">
        <v>34410</v>
      </c>
      <c r="J240" s="1" t="s">
        <v>337</v>
      </c>
      <c r="K240" s="1" t="s">
        <v>34</v>
      </c>
      <c r="L240" s="1" t="s">
        <v>338</v>
      </c>
      <c r="M240" s="1">
        <v>3</v>
      </c>
      <c r="N240" s="2">
        <v>155.88</v>
      </c>
      <c r="O240" s="3">
        <v>174</v>
      </c>
      <c r="P240" s="1">
        <v>0</v>
      </c>
      <c r="Q240" s="1" t="s">
        <v>25</v>
      </c>
      <c r="R240" s="1" t="s">
        <v>25</v>
      </c>
      <c r="S240" s="1">
        <v>29</v>
      </c>
      <c r="T240" s="1">
        <v>2</v>
      </c>
      <c r="U240" s="1">
        <v>1</v>
      </c>
      <c r="V240">
        <f t="shared" si="3"/>
        <v>522</v>
      </c>
    </row>
    <row r="241" spans="1:22" ht="13" x14ac:dyDescent="0.15">
      <c r="A241" s="4">
        <v>44774</v>
      </c>
      <c r="B241" s="5">
        <v>0.61540509259259257</v>
      </c>
      <c r="C241" s="1">
        <v>1360</v>
      </c>
      <c r="D241" s="1">
        <v>13002561</v>
      </c>
      <c r="E241" s="1">
        <v>13</v>
      </c>
      <c r="F241" s="1">
        <v>22589</v>
      </c>
      <c r="G241" s="1" t="s">
        <v>21</v>
      </c>
      <c r="H241" s="1">
        <v>15</v>
      </c>
      <c r="I241" s="1">
        <v>114629</v>
      </c>
      <c r="J241" s="1" t="s">
        <v>339</v>
      </c>
      <c r="K241" s="1" t="s">
        <v>51</v>
      </c>
      <c r="L241" s="1" t="s">
        <v>269</v>
      </c>
      <c r="M241" s="1">
        <v>1</v>
      </c>
      <c r="N241" s="2">
        <v>131.22</v>
      </c>
      <c r="O241" s="3">
        <v>159</v>
      </c>
      <c r="P241" s="1">
        <v>7</v>
      </c>
      <c r="Q241" s="1">
        <v>9</v>
      </c>
      <c r="R241" s="1">
        <v>200010017964</v>
      </c>
      <c r="S241" s="1">
        <v>29</v>
      </c>
      <c r="T241" s="1">
        <v>1</v>
      </c>
      <c r="U241" s="1">
        <v>1</v>
      </c>
      <c r="V241">
        <f t="shared" si="3"/>
        <v>159</v>
      </c>
    </row>
    <row r="242" spans="1:22" ht="13" x14ac:dyDescent="0.15">
      <c r="A242" s="4">
        <v>44774</v>
      </c>
      <c r="B242" s="5">
        <v>0.62069444444444444</v>
      </c>
      <c r="C242" s="1">
        <v>1361</v>
      </c>
      <c r="D242" s="1">
        <v>13002561</v>
      </c>
      <c r="E242" s="1">
        <v>13</v>
      </c>
      <c r="F242" s="1">
        <v>22589</v>
      </c>
      <c r="G242" s="1" t="s">
        <v>21</v>
      </c>
      <c r="H242" s="1">
        <v>18</v>
      </c>
      <c r="I242" s="1">
        <v>137134</v>
      </c>
      <c r="J242" s="1" t="s">
        <v>340</v>
      </c>
      <c r="K242" s="1" t="s">
        <v>23</v>
      </c>
      <c r="L242" s="1" t="s">
        <v>341</v>
      </c>
      <c r="M242" s="1">
        <v>1</v>
      </c>
      <c r="N242" s="2">
        <v>185.31</v>
      </c>
      <c r="O242" s="3">
        <v>223</v>
      </c>
      <c r="P242" s="1">
        <v>11</v>
      </c>
      <c r="Q242" s="1">
        <v>9</v>
      </c>
      <c r="R242" s="1">
        <v>200010020276</v>
      </c>
      <c r="S242" s="1">
        <v>29</v>
      </c>
      <c r="T242" s="1">
        <v>1</v>
      </c>
      <c r="U242" s="1">
        <v>2</v>
      </c>
      <c r="V242">
        <f t="shared" si="3"/>
        <v>223</v>
      </c>
    </row>
    <row r="243" spans="1:22" ht="13" x14ac:dyDescent="0.15">
      <c r="A243" s="4">
        <v>44774</v>
      </c>
      <c r="B243" s="5">
        <v>0.62069444444444444</v>
      </c>
      <c r="C243" s="1">
        <v>1361</v>
      </c>
      <c r="D243" s="1">
        <v>13002561</v>
      </c>
      <c r="E243" s="1">
        <v>13</v>
      </c>
      <c r="F243" s="1">
        <v>22589</v>
      </c>
      <c r="G243" s="1" t="s">
        <v>21</v>
      </c>
      <c r="H243" s="1">
        <v>18</v>
      </c>
      <c r="I243" s="1">
        <v>29728</v>
      </c>
      <c r="J243" s="1" t="s">
        <v>342</v>
      </c>
      <c r="K243" s="1" t="s">
        <v>23</v>
      </c>
      <c r="L243" s="1" t="s">
        <v>343</v>
      </c>
      <c r="M243" s="1">
        <v>1</v>
      </c>
      <c r="N243" s="2">
        <v>681.05</v>
      </c>
      <c r="O243" s="3">
        <v>879</v>
      </c>
      <c r="P243" s="1">
        <v>61</v>
      </c>
      <c r="Q243" s="1">
        <v>9</v>
      </c>
      <c r="R243" s="1">
        <v>200010020276</v>
      </c>
      <c r="S243" s="1">
        <v>29</v>
      </c>
      <c r="T243" s="1">
        <v>1</v>
      </c>
      <c r="U243" s="1">
        <v>1</v>
      </c>
      <c r="V243">
        <f t="shared" si="3"/>
        <v>879</v>
      </c>
    </row>
    <row r="244" spans="1:22" ht="13" x14ac:dyDescent="0.15">
      <c r="A244" s="4">
        <v>44774</v>
      </c>
      <c r="B244" s="5">
        <v>0.62164351851851851</v>
      </c>
      <c r="C244" s="1">
        <v>1362</v>
      </c>
      <c r="D244" s="1">
        <v>13002561</v>
      </c>
      <c r="E244" s="1">
        <v>13</v>
      </c>
      <c r="F244" s="1">
        <v>22589</v>
      </c>
      <c r="G244" s="1" t="s">
        <v>21</v>
      </c>
      <c r="H244" s="1">
        <v>18</v>
      </c>
      <c r="I244" s="1">
        <v>5105</v>
      </c>
      <c r="J244" s="1" t="s">
        <v>344</v>
      </c>
      <c r="K244" s="1" t="s">
        <v>34</v>
      </c>
      <c r="L244" s="1" t="s">
        <v>345</v>
      </c>
      <c r="M244" s="1">
        <v>1</v>
      </c>
      <c r="N244" s="2">
        <v>124.84</v>
      </c>
      <c r="O244" s="3">
        <v>172</v>
      </c>
      <c r="P244" s="1">
        <v>0</v>
      </c>
      <c r="Q244" s="1" t="s">
        <v>25</v>
      </c>
      <c r="R244" s="1" t="s">
        <v>25</v>
      </c>
      <c r="S244" s="1">
        <v>29</v>
      </c>
      <c r="T244" s="1">
        <v>1</v>
      </c>
      <c r="U244" s="1">
        <v>1</v>
      </c>
      <c r="V244">
        <f t="shared" si="3"/>
        <v>172</v>
      </c>
    </row>
    <row r="245" spans="1:22" ht="13" x14ac:dyDescent="0.15">
      <c r="A245" s="4">
        <v>44774</v>
      </c>
      <c r="B245" s="5">
        <v>0.62164351851851851</v>
      </c>
      <c r="C245" s="1">
        <v>1362</v>
      </c>
      <c r="D245" s="1">
        <v>13002561</v>
      </c>
      <c r="E245" s="1">
        <v>13</v>
      </c>
      <c r="F245" s="1">
        <v>22589</v>
      </c>
      <c r="G245" s="1" t="s">
        <v>21</v>
      </c>
      <c r="H245" s="1">
        <v>18</v>
      </c>
      <c r="I245" s="1">
        <v>339668</v>
      </c>
      <c r="J245" s="1" t="s">
        <v>346</v>
      </c>
      <c r="K245" s="1" t="s">
        <v>141</v>
      </c>
      <c r="L245" s="1" t="s">
        <v>299</v>
      </c>
      <c r="M245" s="1">
        <v>1</v>
      </c>
      <c r="N245" s="2">
        <v>388.85</v>
      </c>
      <c r="O245" s="3">
        <v>514</v>
      </c>
      <c r="P245" s="1">
        <v>0</v>
      </c>
      <c r="Q245" s="1" t="s">
        <v>25</v>
      </c>
      <c r="R245" s="1" t="s">
        <v>25</v>
      </c>
      <c r="S245" s="1">
        <v>29</v>
      </c>
      <c r="T245" s="1">
        <v>1</v>
      </c>
      <c r="U245" s="1">
        <v>2</v>
      </c>
      <c r="V245">
        <f t="shared" si="3"/>
        <v>514</v>
      </c>
    </row>
    <row r="246" spans="1:22" ht="13" x14ac:dyDescent="0.15">
      <c r="A246" s="4">
        <v>44774</v>
      </c>
      <c r="B246" s="5">
        <v>0.62321759259259257</v>
      </c>
      <c r="C246" s="1">
        <v>1363</v>
      </c>
      <c r="D246" s="1">
        <v>13002561</v>
      </c>
      <c r="E246" s="1">
        <v>13</v>
      </c>
      <c r="F246" s="1">
        <v>22589</v>
      </c>
      <c r="G246" s="1" t="s">
        <v>21</v>
      </c>
      <c r="H246" s="1">
        <v>18</v>
      </c>
      <c r="I246" s="1">
        <v>33740</v>
      </c>
      <c r="J246" s="1" t="s">
        <v>347</v>
      </c>
      <c r="K246" s="1" t="s">
        <v>29</v>
      </c>
      <c r="L246" s="1" t="s">
        <v>348</v>
      </c>
      <c r="M246" s="1">
        <v>1</v>
      </c>
      <c r="N246" s="2">
        <v>54.82</v>
      </c>
      <c r="O246" s="3">
        <v>87</v>
      </c>
      <c r="P246" s="1">
        <v>0</v>
      </c>
      <c r="Q246" s="1" t="s">
        <v>25</v>
      </c>
      <c r="R246" s="1" t="s">
        <v>25</v>
      </c>
      <c r="S246" s="1">
        <v>29</v>
      </c>
      <c r="T246" s="1">
        <v>1</v>
      </c>
      <c r="U246" s="1">
        <v>1</v>
      </c>
      <c r="V246">
        <f t="shared" si="3"/>
        <v>87</v>
      </c>
    </row>
    <row r="247" spans="1:22" ht="13" x14ac:dyDescent="0.15">
      <c r="A247" s="4">
        <v>44774</v>
      </c>
      <c r="B247" s="5">
        <v>0.62842592592592594</v>
      </c>
      <c r="C247" s="1">
        <v>1364</v>
      </c>
      <c r="D247" s="1">
        <v>13002561</v>
      </c>
      <c r="E247" s="1">
        <v>13</v>
      </c>
      <c r="F247" s="1">
        <v>22589</v>
      </c>
      <c r="G247" s="1" t="s">
        <v>21</v>
      </c>
      <c r="H247" s="1">
        <v>18</v>
      </c>
      <c r="I247" s="1">
        <v>34306</v>
      </c>
      <c r="J247" s="1" t="s">
        <v>349</v>
      </c>
      <c r="K247" s="1" t="s">
        <v>51</v>
      </c>
      <c r="L247" s="1" t="s">
        <v>350</v>
      </c>
      <c r="M247" s="1">
        <v>1</v>
      </c>
      <c r="N247" s="2">
        <v>53.39</v>
      </c>
      <c r="O247" s="3">
        <v>84</v>
      </c>
      <c r="P247" s="1">
        <v>12.34</v>
      </c>
      <c r="Q247" s="1">
        <v>27</v>
      </c>
      <c r="R247" s="1">
        <v>200010000015</v>
      </c>
      <c r="S247" s="1">
        <v>29</v>
      </c>
      <c r="T247" s="1">
        <v>1</v>
      </c>
      <c r="U247" s="1">
        <v>1</v>
      </c>
      <c r="V247">
        <f t="shared" si="3"/>
        <v>84</v>
      </c>
    </row>
    <row r="248" spans="1:22" ht="13" x14ac:dyDescent="0.15">
      <c r="A248" s="4">
        <v>44774</v>
      </c>
      <c r="B248" s="5">
        <v>0.62842592592592594</v>
      </c>
      <c r="C248" s="1">
        <v>1364</v>
      </c>
      <c r="D248" s="1">
        <v>13002561</v>
      </c>
      <c r="E248" s="1">
        <v>13</v>
      </c>
      <c r="F248" s="1">
        <v>22589</v>
      </c>
      <c r="G248" s="1" t="s">
        <v>21</v>
      </c>
      <c r="H248" s="1">
        <v>18</v>
      </c>
      <c r="I248" s="1">
        <v>34306</v>
      </c>
      <c r="J248" s="1" t="s">
        <v>349</v>
      </c>
      <c r="K248" s="1" t="s">
        <v>51</v>
      </c>
      <c r="L248" s="1" t="s">
        <v>350</v>
      </c>
      <c r="M248" s="1">
        <v>2</v>
      </c>
      <c r="N248" s="2">
        <v>53.39</v>
      </c>
      <c r="O248" s="3">
        <v>84</v>
      </c>
      <c r="P248" s="1">
        <v>24.66</v>
      </c>
      <c r="Q248" s="1">
        <v>27</v>
      </c>
      <c r="R248" s="1">
        <v>200010000015</v>
      </c>
      <c r="S248" s="1">
        <v>29</v>
      </c>
      <c r="T248" s="1">
        <v>1</v>
      </c>
      <c r="U248" s="1">
        <v>2</v>
      </c>
      <c r="V248">
        <f t="shared" si="3"/>
        <v>168</v>
      </c>
    </row>
    <row r="249" spans="1:22" ht="13" x14ac:dyDescent="0.15">
      <c r="A249" s="4">
        <v>44774</v>
      </c>
      <c r="B249" s="5">
        <v>0.6300810185185185</v>
      </c>
      <c r="C249" s="1">
        <v>1365</v>
      </c>
      <c r="D249" s="1">
        <v>13002561</v>
      </c>
      <c r="E249" s="1">
        <v>13</v>
      </c>
      <c r="F249" s="1">
        <v>22589</v>
      </c>
      <c r="G249" s="1" t="s">
        <v>21</v>
      </c>
      <c r="H249" s="1">
        <v>18</v>
      </c>
      <c r="I249" s="1">
        <v>31</v>
      </c>
      <c r="J249" s="1" t="s">
        <v>351</v>
      </c>
      <c r="K249" s="1" t="s">
        <v>61</v>
      </c>
      <c r="L249" s="1" t="s">
        <v>352</v>
      </c>
      <c r="M249" s="1">
        <v>1</v>
      </c>
      <c r="N249" s="2">
        <v>346.83</v>
      </c>
      <c r="O249" s="3">
        <v>458</v>
      </c>
      <c r="P249" s="1">
        <v>0</v>
      </c>
      <c r="Q249" s="1" t="s">
        <v>25</v>
      </c>
      <c r="R249" s="1" t="s">
        <v>25</v>
      </c>
      <c r="S249" s="1">
        <v>29</v>
      </c>
      <c r="T249" s="1">
        <v>1</v>
      </c>
      <c r="U249" s="1">
        <v>2</v>
      </c>
      <c r="V249">
        <f t="shared" si="3"/>
        <v>458</v>
      </c>
    </row>
    <row r="250" spans="1:22" ht="13" x14ac:dyDescent="0.15">
      <c r="A250" s="4">
        <v>44774</v>
      </c>
      <c r="B250" s="5">
        <v>0.6300810185185185</v>
      </c>
      <c r="C250" s="1">
        <v>1365</v>
      </c>
      <c r="D250" s="1">
        <v>13002561</v>
      </c>
      <c r="E250" s="1">
        <v>13</v>
      </c>
      <c r="F250" s="1">
        <v>22589</v>
      </c>
      <c r="G250" s="1" t="s">
        <v>21</v>
      </c>
      <c r="H250" s="1">
        <v>18</v>
      </c>
      <c r="I250" s="1">
        <v>67494</v>
      </c>
      <c r="J250" s="1" t="s">
        <v>353</v>
      </c>
      <c r="K250" s="1" t="s">
        <v>23</v>
      </c>
      <c r="L250" s="1" t="s">
        <v>76</v>
      </c>
      <c r="M250" s="1">
        <v>1</v>
      </c>
      <c r="N250" s="2">
        <v>290.54000000000002</v>
      </c>
      <c r="O250" s="3">
        <v>393</v>
      </c>
      <c r="P250" s="1">
        <v>0</v>
      </c>
      <c r="Q250" s="1" t="s">
        <v>25</v>
      </c>
      <c r="R250" s="1" t="s">
        <v>25</v>
      </c>
      <c r="S250" s="1">
        <v>29</v>
      </c>
      <c r="T250" s="1">
        <v>1</v>
      </c>
      <c r="U250" s="1">
        <v>1</v>
      </c>
      <c r="V250">
        <f t="shared" si="3"/>
        <v>393</v>
      </c>
    </row>
    <row r="251" spans="1:22" ht="13" x14ac:dyDescent="0.15">
      <c r="A251" s="4">
        <v>44774</v>
      </c>
      <c r="B251" s="5">
        <v>0.63282407407407404</v>
      </c>
      <c r="C251" s="1">
        <v>1366</v>
      </c>
      <c r="D251" s="1">
        <v>13002561</v>
      </c>
      <c r="E251" s="1">
        <v>13</v>
      </c>
      <c r="F251" s="1">
        <v>22589</v>
      </c>
      <c r="G251" s="1" t="s">
        <v>21</v>
      </c>
      <c r="H251" s="1">
        <v>18</v>
      </c>
      <c r="I251" s="1">
        <v>9380</v>
      </c>
      <c r="J251" s="1" t="s">
        <v>354</v>
      </c>
      <c r="K251" s="1" t="s">
        <v>23</v>
      </c>
      <c r="L251" s="1" t="s">
        <v>355</v>
      </c>
      <c r="M251" s="1">
        <v>1</v>
      </c>
      <c r="N251" s="2">
        <v>894</v>
      </c>
      <c r="O251" s="3">
        <v>996.23</v>
      </c>
      <c r="P251" s="1">
        <v>0</v>
      </c>
      <c r="Q251" s="1" t="s">
        <v>25</v>
      </c>
      <c r="R251" s="1" t="s">
        <v>25</v>
      </c>
      <c r="S251" s="1">
        <v>29</v>
      </c>
      <c r="T251" s="1">
        <v>1</v>
      </c>
      <c r="U251" s="1">
        <v>1</v>
      </c>
      <c r="V251">
        <f t="shared" si="3"/>
        <v>996.23</v>
      </c>
    </row>
    <row r="252" spans="1:22" ht="13" x14ac:dyDescent="0.15">
      <c r="A252" s="4">
        <v>44774</v>
      </c>
      <c r="B252" s="5">
        <v>0.64307870370370368</v>
      </c>
      <c r="C252" s="1">
        <v>1367</v>
      </c>
      <c r="D252" s="1">
        <v>13002561</v>
      </c>
      <c r="E252" s="1">
        <v>13</v>
      </c>
      <c r="F252" s="1">
        <v>22589</v>
      </c>
      <c r="G252" s="1" t="s">
        <v>21</v>
      </c>
      <c r="H252" s="1">
        <v>18</v>
      </c>
      <c r="I252" s="1">
        <v>342213</v>
      </c>
      <c r="J252" s="1" t="s">
        <v>356</v>
      </c>
      <c r="K252" s="1" t="s">
        <v>51</v>
      </c>
      <c r="L252" s="1" t="s">
        <v>357</v>
      </c>
      <c r="M252" s="1">
        <v>0.7</v>
      </c>
      <c r="N252" s="2">
        <v>234.8</v>
      </c>
      <c r="O252" s="3">
        <v>364</v>
      </c>
      <c r="P252" s="1">
        <v>0</v>
      </c>
      <c r="Q252" s="1" t="s">
        <v>25</v>
      </c>
      <c r="R252" s="1" t="s">
        <v>25</v>
      </c>
      <c r="S252" s="1">
        <v>29</v>
      </c>
      <c r="T252" s="1">
        <v>1</v>
      </c>
      <c r="U252" s="1">
        <v>2</v>
      </c>
      <c r="V252">
        <f t="shared" si="3"/>
        <v>254.79999999999998</v>
      </c>
    </row>
    <row r="253" spans="1:22" ht="13" x14ac:dyDescent="0.15">
      <c r="A253" s="4">
        <v>44774</v>
      </c>
      <c r="B253" s="5">
        <v>0.64307870370370368</v>
      </c>
      <c r="C253" s="1">
        <v>1367</v>
      </c>
      <c r="D253" s="1">
        <v>13002561</v>
      </c>
      <c r="E253" s="1">
        <v>13</v>
      </c>
      <c r="F253" s="1">
        <v>22589</v>
      </c>
      <c r="G253" s="1" t="s">
        <v>21</v>
      </c>
      <c r="H253" s="1">
        <v>18</v>
      </c>
      <c r="I253" s="1">
        <v>260840</v>
      </c>
      <c r="J253" s="1" t="s">
        <v>358</v>
      </c>
      <c r="K253" s="1" t="s">
        <v>51</v>
      </c>
      <c r="L253" s="1" t="s">
        <v>167</v>
      </c>
      <c r="M253" s="1">
        <v>1</v>
      </c>
      <c r="N253" s="2">
        <v>9.66</v>
      </c>
      <c r="O253" s="3">
        <v>16</v>
      </c>
      <c r="P253" s="1">
        <v>0</v>
      </c>
      <c r="Q253" s="1" t="s">
        <v>25</v>
      </c>
      <c r="R253" s="1" t="s">
        <v>25</v>
      </c>
      <c r="S253" s="1">
        <v>29</v>
      </c>
      <c r="T253" s="1">
        <v>1</v>
      </c>
      <c r="U253" s="1">
        <v>1</v>
      </c>
      <c r="V253">
        <f t="shared" si="3"/>
        <v>16</v>
      </c>
    </row>
    <row r="254" spans="1:22" ht="13" x14ac:dyDescent="0.15">
      <c r="A254" s="4">
        <v>44774</v>
      </c>
      <c r="B254" s="5">
        <v>0.64307870370370368</v>
      </c>
      <c r="C254" s="1">
        <v>1367</v>
      </c>
      <c r="D254" s="1">
        <v>13002561</v>
      </c>
      <c r="E254" s="1">
        <v>13</v>
      </c>
      <c r="F254" s="1">
        <v>22589</v>
      </c>
      <c r="G254" s="1" t="s">
        <v>21</v>
      </c>
      <c r="H254" s="1">
        <v>18</v>
      </c>
      <c r="I254" s="1">
        <v>45768</v>
      </c>
      <c r="J254" s="1" t="s">
        <v>359</v>
      </c>
      <c r="K254" s="1" t="s">
        <v>51</v>
      </c>
      <c r="L254" s="1" t="s">
        <v>360</v>
      </c>
      <c r="M254" s="1">
        <v>1</v>
      </c>
      <c r="N254" s="2">
        <v>23.99</v>
      </c>
      <c r="O254" s="3">
        <v>39</v>
      </c>
      <c r="P254" s="1">
        <v>0</v>
      </c>
      <c r="Q254" s="1" t="s">
        <v>25</v>
      </c>
      <c r="R254" s="1" t="s">
        <v>25</v>
      </c>
      <c r="S254" s="1">
        <v>29</v>
      </c>
      <c r="T254" s="1">
        <v>1</v>
      </c>
      <c r="U254" s="1">
        <v>4</v>
      </c>
      <c r="V254">
        <f t="shared" si="3"/>
        <v>39</v>
      </c>
    </row>
    <row r="255" spans="1:22" ht="13" x14ac:dyDescent="0.15">
      <c r="A255" s="4">
        <v>44774</v>
      </c>
      <c r="B255" s="5">
        <v>0.64307870370370368</v>
      </c>
      <c r="C255" s="1">
        <v>1367</v>
      </c>
      <c r="D255" s="1">
        <v>13002561</v>
      </c>
      <c r="E255" s="1">
        <v>13</v>
      </c>
      <c r="F255" s="1">
        <v>22589</v>
      </c>
      <c r="G255" s="1" t="s">
        <v>21</v>
      </c>
      <c r="H255" s="1">
        <v>18</v>
      </c>
      <c r="I255" s="1">
        <v>436926</v>
      </c>
      <c r="J255" s="1" t="s">
        <v>361</v>
      </c>
      <c r="K255" s="1" t="s">
        <v>51</v>
      </c>
      <c r="L255" s="1" t="s">
        <v>360</v>
      </c>
      <c r="M255" s="1">
        <v>1</v>
      </c>
      <c r="N255" s="2">
        <v>24.84</v>
      </c>
      <c r="O255" s="3">
        <v>41</v>
      </c>
      <c r="P255" s="1">
        <v>0</v>
      </c>
      <c r="Q255" s="1" t="s">
        <v>25</v>
      </c>
      <c r="R255" s="1" t="s">
        <v>25</v>
      </c>
      <c r="S255" s="1">
        <v>29</v>
      </c>
      <c r="T255" s="1">
        <v>1</v>
      </c>
      <c r="U255" s="1">
        <v>6</v>
      </c>
      <c r="V255">
        <f t="shared" si="3"/>
        <v>41</v>
      </c>
    </row>
    <row r="256" spans="1:22" ht="13" x14ac:dyDescent="0.15">
      <c r="A256" s="4">
        <v>44774</v>
      </c>
      <c r="B256" s="5">
        <v>0.64307870370370368</v>
      </c>
      <c r="C256" s="1">
        <v>1367</v>
      </c>
      <c r="D256" s="1">
        <v>13002561</v>
      </c>
      <c r="E256" s="1">
        <v>13</v>
      </c>
      <c r="F256" s="1">
        <v>22589</v>
      </c>
      <c r="G256" s="1" t="s">
        <v>21</v>
      </c>
      <c r="H256" s="1">
        <v>18</v>
      </c>
      <c r="I256" s="1">
        <v>45768</v>
      </c>
      <c r="J256" s="1" t="s">
        <v>359</v>
      </c>
      <c r="K256" s="1" t="s">
        <v>51</v>
      </c>
      <c r="L256" s="1" t="s">
        <v>360</v>
      </c>
      <c r="M256" s="1">
        <v>1</v>
      </c>
      <c r="N256" s="2">
        <v>22.86</v>
      </c>
      <c r="O256" s="3">
        <v>38</v>
      </c>
      <c r="P256" s="1">
        <v>0</v>
      </c>
      <c r="Q256" s="1" t="s">
        <v>25</v>
      </c>
      <c r="R256" s="1" t="s">
        <v>25</v>
      </c>
      <c r="S256" s="1">
        <v>29</v>
      </c>
      <c r="T256" s="1">
        <v>1</v>
      </c>
      <c r="U256" s="1">
        <v>5</v>
      </c>
      <c r="V256">
        <f t="shared" si="3"/>
        <v>38</v>
      </c>
    </row>
    <row r="257" spans="1:22" ht="13" x14ac:dyDescent="0.15">
      <c r="A257" s="4">
        <v>44774</v>
      </c>
      <c r="B257" s="5">
        <v>0.64307870370370368</v>
      </c>
      <c r="C257" s="1">
        <v>1367</v>
      </c>
      <c r="D257" s="1">
        <v>13002561</v>
      </c>
      <c r="E257" s="1">
        <v>13</v>
      </c>
      <c r="F257" s="1">
        <v>22589</v>
      </c>
      <c r="G257" s="1" t="s">
        <v>21</v>
      </c>
      <c r="H257" s="1">
        <v>18</v>
      </c>
      <c r="I257" s="1">
        <v>339843</v>
      </c>
      <c r="J257" s="1" t="s">
        <v>251</v>
      </c>
      <c r="K257" s="1" t="s">
        <v>117</v>
      </c>
      <c r="L257" s="1" t="s">
        <v>253</v>
      </c>
      <c r="M257" s="1">
        <v>1</v>
      </c>
      <c r="N257" s="2">
        <v>143.19</v>
      </c>
      <c r="O257" s="3">
        <v>222</v>
      </c>
      <c r="P257" s="1">
        <v>0</v>
      </c>
      <c r="Q257" s="1" t="s">
        <v>25</v>
      </c>
      <c r="R257" s="1" t="s">
        <v>25</v>
      </c>
      <c r="S257" s="1">
        <v>29</v>
      </c>
      <c r="T257" s="1">
        <v>1</v>
      </c>
      <c r="U257" s="1">
        <v>7</v>
      </c>
      <c r="V257">
        <f t="shared" si="3"/>
        <v>222</v>
      </c>
    </row>
    <row r="258" spans="1:22" ht="13" x14ac:dyDescent="0.15">
      <c r="A258" s="4">
        <v>44774</v>
      </c>
      <c r="B258" s="5">
        <v>0.64452546296296298</v>
      </c>
      <c r="C258" s="1">
        <v>1368</v>
      </c>
      <c r="D258" s="1">
        <v>13002561</v>
      </c>
      <c r="E258" s="1">
        <v>13</v>
      </c>
      <c r="F258" s="1">
        <v>22589</v>
      </c>
      <c r="G258" s="1" t="s">
        <v>21</v>
      </c>
      <c r="H258" s="1">
        <v>15</v>
      </c>
      <c r="I258" s="1">
        <v>13991</v>
      </c>
      <c r="J258" s="1" t="s">
        <v>362</v>
      </c>
      <c r="K258" s="1" t="s">
        <v>23</v>
      </c>
      <c r="L258" s="1" t="s">
        <v>363</v>
      </c>
      <c r="M258" s="1">
        <v>1</v>
      </c>
      <c r="N258" s="2">
        <v>178.55</v>
      </c>
      <c r="O258" s="3">
        <v>245</v>
      </c>
      <c r="P258" s="1">
        <v>0</v>
      </c>
      <c r="Q258" s="1" t="s">
        <v>25</v>
      </c>
      <c r="R258" s="1" t="s">
        <v>25</v>
      </c>
      <c r="S258" s="1">
        <v>29</v>
      </c>
      <c r="T258" s="1">
        <v>1</v>
      </c>
      <c r="U258" s="1">
        <v>1</v>
      </c>
      <c r="V258">
        <f t="shared" si="3"/>
        <v>245</v>
      </c>
    </row>
    <row r="259" spans="1:22" ht="13" x14ac:dyDescent="0.15">
      <c r="A259" s="4">
        <v>44774</v>
      </c>
      <c r="B259" s="5">
        <v>0.66326388888888888</v>
      </c>
      <c r="C259" s="1">
        <v>1369</v>
      </c>
      <c r="D259" s="1">
        <v>13002561</v>
      </c>
      <c r="E259" s="1">
        <v>13</v>
      </c>
      <c r="F259" s="1">
        <v>22589</v>
      </c>
      <c r="G259" s="1" t="s">
        <v>21</v>
      </c>
      <c r="H259" s="1">
        <v>18</v>
      </c>
      <c r="I259" s="1">
        <v>130465</v>
      </c>
      <c r="J259" s="1" t="s">
        <v>364</v>
      </c>
      <c r="K259" s="1" t="s">
        <v>23</v>
      </c>
      <c r="L259" s="1" t="s">
        <v>276</v>
      </c>
      <c r="M259" s="1">
        <v>1</v>
      </c>
      <c r="N259" s="2">
        <v>178.97</v>
      </c>
      <c r="O259" s="3">
        <v>203</v>
      </c>
      <c r="P259" s="1">
        <v>10</v>
      </c>
      <c r="Q259" s="1">
        <v>9</v>
      </c>
      <c r="R259" s="1">
        <v>200010004645</v>
      </c>
      <c r="S259" s="1">
        <v>29</v>
      </c>
      <c r="T259" s="1">
        <v>1</v>
      </c>
      <c r="U259" s="1">
        <v>1</v>
      </c>
      <c r="V259">
        <f t="shared" ref="V259:V322" si="4">O259*M259</f>
        <v>203</v>
      </c>
    </row>
    <row r="260" spans="1:22" ht="13" x14ac:dyDescent="0.15">
      <c r="A260" s="4">
        <v>44774</v>
      </c>
      <c r="B260" s="5">
        <v>0.66326388888888888</v>
      </c>
      <c r="C260" s="1">
        <v>1369</v>
      </c>
      <c r="D260" s="1">
        <v>13002561</v>
      </c>
      <c r="E260" s="1">
        <v>13</v>
      </c>
      <c r="F260" s="1">
        <v>22589</v>
      </c>
      <c r="G260" s="1" t="s">
        <v>21</v>
      </c>
      <c r="H260" s="1">
        <v>18</v>
      </c>
      <c r="I260" s="1">
        <v>130465</v>
      </c>
      <c r="J260" s="1" t="s">
        <v>364</v>
      </c>
      <c r="K260" s="1" t="s">
        <v>23</v>
      </c>
      <c r="L260" s="1" t="s">
        <v>276</v>
      </c>
      <c r="M260" s="1">
        <v>1</v>
      </c>
      <c r="N260" s="2">
        <v>178.97</v>
      </c>
      <c r="O260" s="3">
        <v>203</v>
      </c>
      <c r="P260" s="1">
        <v>10</v>
      </c>
      <c r="Q260" s="1">
        <v>9</v>
      </c>
      <c r="R260" s="1">
        <v>200010004645</v>
      </c>
      <c r="S260" s="1">
        <v>29</v>
      </c>
      <c r="T260" s="1">
        <v>1</v>
      </c>
      <c r="U260" s="1">
        <v>2</v>
      </c>
      <c r="V260">
        <f t="shared" si="4"/>
        <v>203</v>
      </c>
    </row>
    <row r="261" spans="1:22" ht="13" x14ac:dyDescent="0.15">
      <c r="A261" s="4">
        <v>44774</v>
      </c>
      <c r="B261" s="5">
        <v>0.66700231481481487</v>
      </c>
      <c r="C261" s="1">
        <v>1370</v>
      </c>
      <c r="D261" s="1">
        <v>13002561</v>
      </c>
      <c r="E261" s="1">
        <v>13</v>
      </c>
      <c r="F261" s="1">
        <v>22589</v>
      </c>
      <c r="G261" s="1" t="s">
        <v>21</v>
      </c>
      <c r="H261" s="1">
        <v>18</v>
      </c>
      <c r="I261" s="1">
        <v>6125</v>
      </c>
      <c r="J261" s="1" t="s">
        <v>365</v>
      </c>
      <c r="K261" s="1" t="s">
        <v>29</v>
      </c>
      <c r="L261" s="1" t="s">
        <v>157</v>
      </c>
      <c r="M261" s="1">
        <v>1</v>
      </c>
      <c r="N261" s="2">
        <v>170.37</v>
      </c>
      <c r="O261" s="3">
        <v>207</v>
      </c>
      <c r="P261" s="1">
        <v>10</v>
      </c>
      <c r="Q261" s="1">
        <v>9</v>
      </c>
      <c r="R261" s="1">
        <v>200010016459</v>
      </c>
      <c r="S261" s="1">
        <v>29</v>
      </c>
      <c r="T261" s="1">
        <v>1</v>
      </c>
      <c r="U261" s="1">
        <v>1</v>
      </c>
      <c r="V261">
        <f t="shared" si="4"/>
        <v>207</v>
      </c>
    </row>
    <row r="262" spans="1:22" ht="13" x14ac:dyDescent="0.15">
      <c r="A262" s="4">
        <v>44774</v>
      </c>
      <c r="B262" s="5">
        <v>0.66700231481481487</v>
      </c>
      <c r="C262" s="1">
        <v>1370</v>
      </c>
      <c r="D262" s="1">
        <v>13002561</v>
      </c>
      <c r="E262" s="1">
        <v>13</v>
      </c>
      <c r="F262" s="1">
        <v>22589</v>
      </c>
      <c r="G262" s="1" t="s">
        <v>21</v>
      </c>
      <c r="H262" s="1">
        <v>18</v>
      </c>
      <c r="I262" s="1">
        <v>180834</v>
      </c>
      <c r="J262" s="1" t="s">
        <v>366</v>
      </c>
      <c r="K262" s="1" t="s">
        <v>51</v>
      </c>
      <c r="L262" s="1" t="s">
        <v>76</v>
      </c>
      <c r="M262" s="1">
        <v>1</v>
      </c>
      <c r="N262" s="2">
        <v>610.29999999999995</v>
      </c>
      <c r="O262" s="3">
        <v>678</v>
      </c>
      <c r="P262" s="1">
        <v>20</v>
      </c>
      <c r="Q262" s="1">
        <v>9</v>
      </c>
      <c r="R262" s="1">
        <v>200010016459</v>
      </c>
      <c r="S262" s="1">
        <v>29</v>
      </c>
      <c r="T262" s="1">
        <v>1</v>
      </c>
      <c r="U262" s="1">
        <v>3</v>
      </c>
      <c r="V262">
        <f t="shared" si="4"/>
        <v>678</v>
      </c>
    </row>
    <row r="263" spans="1:22" ht="13" x14ac:dyDescent="0.15">
      <c r="A263" s="4">
        <v>44774</v>
      </c>
      <c r="B263" s="5">
        <v>0.67701388888888892</v>
      </c>
      <c r="C263" s="1">
        <v>1371</v>
      </c>
      <c r="D263" s="1">
        <v>13002561</v>
      </c>
      <c r="E263" s="1">
        <v>13</v>
      </c>
      <c r="F263" s="1">
        <v>22589</v>
      </c>
      <c r="G263" s="1" t="s">
        <v>21</v>
      </c>
      <c r="H263" s="1">
        <v>15</v>
      </c>
      <c r="I263" s="1">
        <v>161749</v>
      </c>
      <c r="J263" s="1" t="s">
        <v>367</v>
      </c>
      <c r="K263" s="1" t="s">
        <v>117</v>
      </c>
      <c r="L263" s="1" t="s">
        <v>368</v>
      </c>
      <c r="M263" s="1">
        <v>1</v>
      </c>
      <c r="N263" s="2">
        <v>94.92</v>
      </c>
      <c r="O263" s="3">
        <v>164</v>
      </c>
      <c r="P263" s="1">
        <v>16</v>
      </c>
      <c r="Q263" s="1">
        <v>9</v>
      </c>
      <c r="R263" s="1">
        <v>200010022477</v>
      </c>
      <c r="S263" s="1">
        <v>29</v>
      </c>
      <c r="T263" s="1">
        <v>1</v>
      </c>
      <c r="U263" s="1">
        <v>1</v>
      </c>
      <c r="V263">
        <f t="shared" si="4"/>
        <v>164</v>
      </c>
    </row>
    <row r="264" spans="1:22" ht="13" x14ac:dyDescent="0.15">
      <c r="A264" s="4">
        <v>44774</v>
      </c>
      <c r="B264" s="5">
        <v>0.67701388888888892</v>
      </c>
      <c r="C264" s="1">
        <v>1371</v>
      </c>
      <c r="D264" s="1">
        <v>13002561</v>
      </c>
      <c r="E264" s="1">
        <v>13</v>
      </c>
      <c r="F264" s="1">
        <v>22589</v>
      </c>
      <c r="G264" s="1" t="s">
        <v>21</v>
      </c>
      <c r="H264" s="1">
        <v>15</v>
      </c>
      <c r="I264" s="1">
        <v>354089</v>
      </c>
      <c r="J264" s="1" t="s">
        <v>369</v>
      </c>
      <c r="K264" s="1" t="s">
        <v>23</v>
      </c>
      <c r="L264" s="1" t="s">
        <v>76</v>
      </c>
      <c r="M264" s="1">
        <v>1</v>
      </c>
      <c r="N264" s="2">
        <v>39.47</v>
      </c>
      <c r="O264" s="3">
        <v>60</v>
      </c>
      <c r="P264" s="1">
        <v>4</v>
      </c>
      <c r="Q264" s="1">
        <v>9</v>
      </c>
      <c r="R264" s="1">
        <v>200010022477</v>
      </c>
      <c r="S264" s="1">
        <v>29</v>
      </c>
      <c r="T264" s="1">
        <v>1</v>
      </c>
      <c r="U264" s="1">
        <v>3</v>
      </c>
      <c r="V264">
        <f t="shared" si="4"/>
        <v>60</v>
      </c>
    </row>
    <row r="265" spans="1:22" ht="13" x14ac:dyDescent="0.15">
      <c r="A265" s="4">
        <v>44774</v>
      </c>
      <c r="B265" s="5">
        <v>0.67701388888888892</v>
      </c>
      <c r="C265" s="1">
        <v>1371</v>
      </c>
      <c r="D265" s="1">
        <v>13002561</v>
      </c>
      <c r="E265" s="1">
        <v>13</v>
      </c>
      <c r="F265" s="1">
        <v>22589</v>
      </c>
      <c r="G265" s="1" t="s">
        <v>21</v>
      </c>
      <c r="H265" s="1">
        <v>15</v>
      </c>
      <c r="I265" s="1">
        <v>16261</v>
      </c>
      <c r="J265" s="1" t="s">
        <v>370</v>
      </c>
      <c r="K265" s="1" t="s">
        <v>51</v>
      </c>
      <c r="L265" s="1" t="s">
        <v>360</v>
      </c>
      <c r="M265" s="1">
        <v>1</v>
      </c>
      <c r="N265" s="2">
        <v>24.12</v>
      </c>
      <c r="O265" s="3">
        <v>40</v>
      </c>
      <c r="P265" s="1">
        <v>4</v>
      </c>
      <c r="Q265" s="1">
        <v>9</v>
      </c>
      <c r="R265" s="1">
        <v>200010022477</v>
      </c>
      <c r="S265" s="1">
        <v>29</v>
      </c>
      <c r="T265" s="1">
        <v>1</v>
      </c>
      <c r="U265" s="1">
        <v>2</v>
      </c>
      <c r="V265">
        <f t="shared" si="4"/>
        <v>40</v>
      </c>
    </row>
    <row r="266" spans="1:22" ht="13" x14ac:dyDescent="0.15">
      <c r="A266" s="4">
        <v>44774</v>
      </c>
      <c r="B266" s="5">
        <v>0.68009259259259258</v>
      </c>
      <c r="C266" s="1">
        <v>1372</v>
      </c>
      <c r="D266" s="1">
        <v>13002561</v>
      </c>
      <c r="E266" s="1">
        <v>13</v>
      </c>
      <c r="F266" s="1">
        <v>22589</v>
      </c>
      <c r="G266" s="1" t="s">
        <v>21</v>
      </c>
      <c r="H266" s="1">
        <v>18</v>
      </c>
      <c r="I266" s="1">
        <v>9220</v>
      </c>
      <c r="J266" s="1" t="s">
        <v>371</v>
      </c>
      <c r="K266" s="1" t="s">
        <v>45</v>
      </c>
      <c r="L266" s="1" t="s">
        <v>175</v>
      </c>
      <c r="M266" s="1">
        <v>1</v>
      </c>
      <c r="N266" s="2">
        <v>428.4</v>
      </c>
      <c r="O266" s="3">
        <v>566</v>
      </c>
      <c r="P266" s="1">
        <v>39</v>
      </c>
      <c r="Q266" s="1">
        <v>9</v>
      </c>
      <c r="R266" s="1">
        <v>200010003301</v>
      </c>
      <c r="S266" s="1">
        <v>29</v>
      </c>
      <c r="T266" s="1">
        <v>1</v>
      </c>
      <c r="U266" s="1">
        <v>1</v>
      </c>
      <c r="V266">
        <f t="shared" si="4"/>
        <v>566</v>
      </c>
    </row>
    <row r="267" spans="1:22" ht="13" x14ac:dyDescent="0.15">
      <c r="A267" s="4">
        <v>44774</v>
      </c>
      <c r="B267" s="5">
        <v>0.69028935185185181</v>
      </c>
      <c r="C267" s="1">
        <v>1374</v>
      </c>
      <c r="D267" s="1">
        <v>13002561</v>
      </c>
      <c r="E267" s="1">
        <v>13</v>
      </c>
      <c r="F267" s="1">
        <v>22589</v>
      </c>
      <c r="G267" s="1" t="s">
        <v>21</v>
      </c>
      <c r="H267" s="1">
        <v>18</v>
      </c>
      <c r="I267" s="1">
        <v>251785</v>
      </c>
      <c r="J267" s="1" t="s">
        <v>372</v>
      </c>
      <c r="K267" s="1" t="s">
        <v>23</v>
      </c>
      <c r="L267" s="1" t="s">
        <v>373</v>
      </c>
      <c r="M267" s="1">
        <v>1</v>
      </c>
      <c r="N267" s="2">
        <v>352.39</v>
      </c>
      <c r="O267" s="3">
        <v>519</v>
      </c>
      <c r="P267" s="1">
        <v>51</v>
      </c>
      <c r="Q267" s="1">
        <v>9</v>
      </c>
      <c r="R267" s="1">
        <v>200010015179</v>
      </c>
      <c r="S267" s="1">
        <v>29</v>
      </c>
      <c r="T267" s="1">
        <v>1</v>
      </c>
      <c r="U267" s="1">
        <v>1</v>
      </c>
      <c r="V267">
        <f t="shared" si="4"/>
        <v>519</v>
      </c>
    </row>
    <row r="268" spans="1:22" ht="13" x14ac:dyDescent="0.15">
      <c r="A268" s="4">
        <v>44774</v>
      </c>
      <c r="B268" s="5">
        <v>0.69028935185185181</v>
      </c>
      <c r="C268" s="1">
        <v>1374</v>
      </c>
      <c r="D268" s="1">
        <v>13002561</v>
      </c>
      <c r="E268" s="1">
        <v>13</v>
      </c>
      <c r="F268" s="1">
        <v>22589</v>
      </c>
      <c r="G268" s="1" t="s">
        <v>21</v>
      </c>
      <c r="H268" s="1">
        <v>18</v>
      </c>
      <c r="I268" s="1">
        <v>276470</v>
      </c>
      <c r="J268" s="1" t="s">
        <v>374</v>
      </c>
      <c r="K268" s="1" t="s">
        <v>61</v>
      </c>
      <c r="L268" s="1" t="s">
        <v>248</v>
      </c>
      <c r="M268" s="1">
        <v>1</v>
      </c>
      <c r="N268" s="2">
        <v>127.27</v>
      </c>
      <c r="O268" s="3">
        <v>185</v>
      </c>
      <c r="P268" s="1">
        <v>12</v>
      </c>
      <c r="Q268" s="1">
        <v>9</v>
      </c>
      <c r="R268" s="1">
        <v>200010015179</v>
      </c>
      <c r="S268" s="1">
        <v>29</v>
      </c>
      <c r="T268" s="1">
        <v>1</v>
      </c>
      <c r="U268" s="1">
        <v>2</v>
      </c>
      <c r="V268">
        <f t="shared" si="4"/>
        <v>185</v>
      </c>
    </row>
    <row r="269" spans="1:22" ht="13" x14ac:dyDescent="0.15">
      <c r="A269" s="4">
        <v>44774</v>
      </c>
      <c r="B269" s="5">
        <v>0.69142361111111106</v>
      </c>
      <c r="C269" s="1">
        <v>1375</v>
      </c>
      <c r="D269" s="1">
        <v>13002561</v>
      </c>
      <c r="E269" s="1">
        <v>13</v>
      </c>
      <c r="F269" s="1">
        <v>22589</v>
      </c>
      <c r="G269" s="1" t="s">
        <v>21</v>
      </c>
      <c r="H269" s="1">
        <v>15</v>
      </c>
      <c r="I269" s="1">
        <v>340851</v>
      </c>
      <c r="J269" s="1" t="s">
        <v>375</v>
      </c>
      <c r="K269" s="1" t="s">
        <v>23</v>
      </c>
      <c r="L269" s="1" t="s">
        <v>276</v>
      </c>
      <c r="M269" s="1">
        <v>1</v>
      </c>
      <c r="N269" s="2">
        <v>856.42</v>
      </c>
      <c r="O269" s="3">
        <v>1105</v>
      </c>
      <c r="P269" s="1">
        <v>77</v>
      </c>
      <c r="Q269" s="1">
        <v>9</v>
      </c>
      <c r="R269" s="1">
        <v>200010015179</v>
      </c>
      <c r="S269" s="1">
        <v>29</v>
      </c>
      <c r="T269" s="1">
        <v>1</v>
      </c>
      <c r="U269" s="1">
        <v>1</v>
      </c>
      <c r="V269">
        <f t="shared" si="4"/>
        <v>1105</v>
      </c>
    </row>
    <row r="270" spans="1:22" ht="13" x14ac:dyDescent="0.15">
      <c r="A270" s="4">
        <v>44774</v>
      </c>
      <c r="B270" s="5">
        <v>0.69328703703703709</v>
      </c>
      <c r="C270" s="1">
        <v>1376</v>
      </c>
      <c r="D270" s="1">
        <v>13002561</v>
      </c>
      <c r="E270" s="1">
        <v>13</v>
      </c>
      <c r="F270" s="1">
        <v>22589</v>
      </c>
      <c r="G270" s="1" t="s">
        <v>21</v>
      </c>
      <c r="H270" s="1">
        <v>15</v>
      </c>
      <c r="I270" s="1">
        <v>159765</v>
      </c>
      <c r="J270" s="1" t="s">
        <v>376</v>
      </c>
      <c r="K270" s="1" t="s">
        <v>23</v>
      </c>
      <c r="L270" s="1" t="s">
        <v>377</v>
      </c>
      <c r="M270" s="1">
        <v>0.33333333999999998</v>
      </c>
      <c r="N270" s="2">
        <v>1870</v>
      </c>
      <c r="O270" s="3">
        <v>2151</v>
      </c>
      <c r="P270" s="1">
        <v>50</v>
      </c>
      <c r="Q270" s="1">
        <v>9</v>
      </c>
      <c r="R270" s="1">
        <v>200010001149</v>
      </c>
      <c r="S270" s="1">
        <v>29</v>
      </c>
      <c r="T270" s="1">
        <v>1</v>
      </c>
      <c r="U270" s="1">
        <v>1</v>
      </c>
      <c r="V270">
        <f t="shared" si="4"/>
        <v>717.00001434000001</v>
      </c>
    </row>
    <row r="271" spans="1:22" ht="13" x14ac:dyDescent="0.15">
      <c r="A271" s="4">
        <v>44774</v>
      </c>
      <c r="B271" s="5">
        <v>0.69435185185185189</v>
      </c>
      <c r="C271" s="1">
        <v>1377</v>
      </c>
      <c r="D271" s="1">
        <v>13002561</v>
      </c>
      <c r="E271" s="1">
        <v>13</v>
      </c>
      <c r="F271" s="1">
        <v>22589</v>
      </c>
      <c r="G271" s="1" t="s">
        <v>21</v>
      </c>
      <c r="H271" s="1">
        <v>15</v>
      </c>
      <c r="I271" s="1">
        <v>33001</v>
      </c>
      <c r="J271" s="1" t="s">
        <v>378</v>
      </c>
      <c r="K271" s="1" t="s">
        <v>29</v>
      </c>
      <c r="L271" s="1" t="s">
        <v>269</v>
      </c>
      <c r="M271" s="1">
        <v>24</v>
      </c>
      <c r="N271" s="2">
        <v>2.08</v>
      </c>
      <c r="O271" s="3">
        <v>4</v>
      </c>
      <c r="P271" s="1">
        <v>0</v>
      </c>
      <c r="Q271" s="1" t="s">
        <v>25</v>
      </c>
      <c r="R271" s="1" t="s">
        <v>25</v>
      </c>
      <c r="S271" s="1">
        <v>29</v>
      </c>
      <c r="T271" s="1">
        <v>1</v>
      </c>
      <c r="U271" s="1">
        <v>1</v>
      </c>
      <c r="V271">
        <f t="shared" si="4"/>
        <v>96</v>
      </c>
    </row>
    <row r="272" spans="1:22" ht="13" x14ac:dyDescent="0.15">
      <c r="A272" s="4">
        <v>44774</v>
      </c>
      <c r="B272" s="5">
        <v>0.69579861111111108</v>
      </c>
      <c r="C272" s="1">
        <v>1378</v>
      </c>
      <c r="D272" s="1">
        <v>13002561</v>
      </c>
      <c r="E272" s="1">
        <v>13</v>
      </c>
      <c r="F272" s="1">
        <v>22589</v>
      </c>
      <c r="G272" s="1" t="s">
        <v>21</v>
      </c>
      <c r="H272" s="1">
        <v>15</v>
      </c>
      <c r="I272" s="1">
        <v>45880</v>
      </c>
      <c r="J272" s="1" t="s">
        <v>379</v>
      </c>
      <c r="K272" s="1" t="s">
        <v>51</v>
      </c>
      <c r="L272" s="1" t="s">
        <v>175</v>
      </c>
      <c r="M272" s="1">
        <v>1</v>
      </c>
      <c r="N272" s="2">
        <v>70.78</v>
      </c>
      <c r="O272" s="3">
        <v>89</v>
      </c>
      <c r="P272" s="1">
        <v>4</v>
      </c>
      <c r="Q272" s="1">
        <v>9</v>
      </c>
      <c r="R272" s="1">
        <v>200010000750</v>
      </c>
      <c r="S272" s="1">
        <v>29</v>
      </c>
      <c r="T272" s="1">
        <v>1</v>
      </c>
      <c r="U272" s="1">
        <v>1</v>
      </c>
      <c r="V272">
        <f t="shared" si="4"/>
        <v>89</v>
      </c>
    </row>
    <row r="273" spans="1:22" ht="13" x14ac:dyDescent="0.15">
      <c r="A273" s="4">
        <v>44774</v>
      </c>
      <c r="B273" s="5">
        <v>0.69579861111111108</v>
      </c>
      <c r="C273" s="1">
        <v>1378</v>
      </c>
      <c r="D273" s="1">
        <v>13002561</v>
      </c>
      <c r="E273" s="1">
        <v>13</v>
      </c>
      <c r="F273" s="1">
        <v>22589</v>
      </c>
      <c r="G273" s="1" t="s">
        <v>21</v>
      </c>
      <c r="H273" s="1">
        <v>15</v>
      </c>
      <c r="I273" s="1">
        <v>45880</v>
      </c>
      <c r="J273" s="1" t="s">
        <v>379</v>
      </c>
      <c r="K273" s="1" t="s">
        <v>51</v>
      </c>
      <c r="L273" s="1" t="s">
        <v>175</v>
      </c>
      <c r="M273" s="1">
        <v>1</v>
      </c>
      <c r="N273" s="2">
        <v>70.78</v>
      </c>
      <c r="O273" s="3">
        <v>89</v>
      </c>
      <c r="P273" s="1">
        <v>4</v>
      </c>
      <c r="Q273" s="1">
        <v>9</v>
      </c>
      <c r="R273" s="1">
        <v>200010000750</v>
      </c>
      <c r="S273" s="1">
        <v>29</v>
      </c>
      <c r="T273" s="1">
        <v>1</v>
      </c>
      <c r="U273" s="1">
        <v>2</v>
      </c>
      <c r="V273">
        <f t="shared" si="4"/>
        <v>89</v>
      </c>
    </row>
    <row r="274" spans="1:22" ht="13" x14ac:dyDescent="0.15">
      <c r="A274" s="4">
        <v>44774</v>
      </c>
      <c r="B274" s="5">
        <v>0.69579861111111108</v>
      </c>
      <c r="C274" s="1">
        <v>1378</v>
      </c>
      <c r="D274" s="1">
        <v>13002561</v>
      </c>
      <c r="E274" s="1">
        <v>13</v>
      </c>
      <c r="F274" s="1">
        <v>22589</v>
      </c>
      <c r="G274" s="1" t="s">
        <v>21</v>
      </c>
      <c r="H274" s="1">
        <v>15</v>
      </c>
      <c r="I274" s="1">
        <v>111178</v>
      </c>
      <c r="J274" s="1" t="s">
        <v>380</v>
      </c>
      <c r="K274" s="1" t="s">
        <v>51</v>
      </c>
      <c r="L274" s="1" t="s">
        <v>297</v>
      </c>
      <c r="M274" s="1">
        <v>1</v>
      </c>
      <c r="N274" s="2">
        <v>35.78</v>
      </c>
      <c r="O274" s="3">
        <v>44</v>
      </c>
      <c r="P274" s="1">
        <v>2</v>
      </c>
      <c r="Q274" s="1">
        <v>9</v>
      </c>
      <c r="R274" s="1">
        <v>200010000750</v>
      </c>
      <c r="S274" s="1">
        <v>29</v>
      </c>
      <c r="T274" s="1">
        <v>1</v>
      </c>
      <c r="U274" s="1">
        <v>5</v>
      </c>
      <c r="V274">
        <f t="shared" si="4"/>
        <v>44</v>
      </c>
    </row>
    <row r="275" spans="1:22" ht="13" x14ac:dyDescent="0.15">
      <c r="A275" s="4">
        <v>44774</v>
      </c>
      <c r="B275" s="5">
        <v>0.69579861111111108</v>
      </c>
      <c r="C275" s="1">
        <v>1378</v>
      </c>
      <c r="D275" s="1">
        <v>13002561</v>
      </c>
      <c r="E275" s="1">
        <v>13</v>
      </c>
      <c r="F275" s="1">
        <v>22589</v>
      </c>
      <c r="G275" s="1" t="s">
        <v>21</v>
      </c>
      <c r="H275" s="1">
        <v>15</v>
      </c>
      <c r="I275" s="1">
        <v>111178</v>
      </c>
      <c r="J275" s="1" t="s">
        <v>380</v>
      </c>
      <c r="K275" s="1" t="s">
        <v>51</v>
      </c>
      <c r="L275" s="1" t="s">
        <v>297</v>
      </c>
      <c r="M275" s="1">
        <v>1</v>
      </c>
      <c r="N275" s="2">
        <v>35.78</v>
      </c>
      <c r="O275" s="3">
        <v>44</v>
      </c>
      <c r="P275" s="1">
        <v>2</v>
      </c>
      <c r="Q275" s="1">
        <v>9</v>
      </c>
      <c r="R275" s="1">
        <v>200010000750</v>
      </c>
      <c r="S275" s="1">
        <v>29</v>
      </c>
      <c r="T275" s="1">
        <v>1</v>
      </c>
      <c r="U275" s="1">
        <v>6</v>
      </c>
      <c r="V275">
        <f t="shared" si="4"/>
        <v>44</v>
      </c>
    </row>
    <row r="276" spans="1:22" ht="13" x14ac:dyDescent="0.15">
      <c r="A276" s="4">
        <v>44774</v>
      </c>
      <c r="B276" s="5">
        <v>0.69748842592592597</v>
      </c>
      <c r="C276" s="1">
        <v>1379</v>
      </c>
      <c r="D276" s="1">
        <v>13002561</v>
      </c>
      <c r="E276" s="1">
        <v>13</v>
      </c>
      <c r="F276" s="1">
        <v>22589</v>
      </c>
      <c r="G276" s="1" t="s">
        <v>21</v>
      </c>
      <c r="H276" s="1">
        <v>18</v>
      </c>
      <c r="I276" s="1">
        <v>440357</v>
      </c>
      <c r="J276" s="1" t="s">
        <v>381</v>
      </c>
      <c r="K276" s="1" t="s">
        <v>51</v>
      </c>
      <c r="L276" s="1" t="s">
        <v>238</v>
      </c>
      <c r="M276" s="1">
        <v>1</v>
      </c>
      <c r="N276" s="2">
        <v>25.79</v>
      </c>
      <c r="O276" s="3">
        <v>40</v>
      </c>
      <c r="P276" s="1">
        <v>2</v>
      </c>
      <c r="Q276" s="1">
        <v>9</v>
      </c>
      <c r="R276" s="1">
        <v>200010026815</v>
      </c>
      <c r="S276" s="1">
        <v>29</v>
      </c>
      <c r="T276" s="1">
        <v>1</v>
      </c>
      <c r="U276" s="1">
        <v>5</v>
      </c>
      <c r="V276">
        <f t="shared" si="4"/>
        <v>40</v>
      </c>
    </row>
    <row r="277" spans="1:22" ht="13" x14ac:dyDescent="0.15">
      <c r="A277" s="4">
        <v>44774</v>
      </c>
      <c r="B277" s="5">
        <v>0.69748842592592597</v>
      </c>
      <c r="C277" s="1">
        <v>1379</v>
      </c>
      <c r="D277" s="1">
        <v>13002561</v>
      </c>
      <c r="E277" s="1">
        <v>13</v>
      </c>
      <c r="F277" s="1">
        <v>22589</v>
      </c>
      <c r="G277" s="1" t="s">
        <v>21</v>
      </c>
      <c r="H277" s="1">
        <v>18</v>
      </c>
      <c r="I277" s="1">
        <v>440357</v>
      </c>
      <c r="J277" s="1" t="s">
        <v>381</v>
      </c>
      <c r="K277" s="1" t="s">
        <v>51</v>
      </c>
      <c r="L277" s="1" t="s">
        <v>238</v>
      </c>
      <c r="M277" s="1">
        <v>1</v>
      </c>
      <c r="N277" s="2">
        <v>25.79</v>
      </c>
      <c r="O277" s="3">
        <v>40</v>
      </c>
      <c r="P277" s="1">
        <v>2</v>
      </c>
      <c r="Q277" s="1">
        <v>9</v>
      </c>
      <c r="R277" s="1">
        <v>200010026815</v>
      </c>
      <c r="S277" s="1">
        <v>29</v>
      </c>
      <c r="T277" s="1">
        <v>1</v>
      </c>
      <c r="U277" s="1">
        <v>6</v>
      </c>
      <c r="V277">
        <f t="shared" si="4"/>
        <v>40</v>
      </c>
    </row>
    <row r="278" spans="1:22" ht="13" x14ac:dyDescent="0.15">
      <c r="A278" s="4">
        <v>44774</v>
      </c>
      <c r="B278" s="5">
        <v>0.69748842592592597</v>
      </c>
      <c r="C278" s="1">
        <v>1379</v>
      </c>
      <c r="D278" s="1">
        <v>13002561</v>
      </c>
      <c r="E278" s="1">
        <v>13</v>
      </c>
      <c r="F278" s="1">
        <v>22589</v>
      </c>
      <c r="G278" s="1" t="s">
        <v>21</v>
      </c>
      <c r="H278" s="1">
        <v>18</v>
      </c>
      <c r="I278" s="1">
        <v>496536</v>
      </c>
      <c r="J278" s="1" t="s">
        <v>382</v>
      </c>
      <c r="K278" s="1" t="s">
        <v>58</v>
      </c>
      <c r="L278" s="1" t="s">
        <v>383</v>
      </c>
      <c r="M278" s="1">
        <v>1</v>
      </c>
      <c r="N278" s="2">
        <v>49.4</v>
      </c>
      <c r="O278" s="3">
        <v>76</v>
      </c>
      <c r="P278" s="1">
        <v>5</v>
      </c>
      <c r="Q278" s="1">
        <v>9</v>
      </c>
      <c r="R278" s="1">
        <v>200010026815</v>
      </c>
      <c r="S278" s="1">
        <v>29</v>
      </c>
      <c r="T278" s="1">
        <v>1</v>
      </c>
      <c r="U278" s="1">
        <v>4</v>
      </c>
      <c r="V278">
        <f t="shared" si="4"/>
        <v>76</v>
      </c>
    </row>
    <row r="279" spans="1:22" ht="13" x14ac:dyDescent="0.15">
      <c r="A279" s="4">
        <v>44774</v>
      </c>
      <c r="B279" s="5">
        <v>0.69748842592592597</v>
      </c>
      <c r="C279" s="1">
        <v>1379</v>
      </c>
      <c r="D279" s="1">
        <v>13002561</v>
      </c>
      <c r="E279" s="1">
        <v>13</v>
      </c>
      <c r="F279" s="1">
        <v>22589</v>
      </c>
      <c r="G279" s="1" t="s">
        <v>21</v>
      </c>
      <c r="H279" s="1">
        <v>18</v>
      </c>
      <c r="I279" s="1">
        <v>400035</v>
      </c>
      <c r="J279" s="1" t="s">
        <v>257</v>
      </c>
      <c r="K279" s="1" t="s">
        <v>117</v>
      </c>
      <c r="L279" s="1" t="s">
        <v>76</v>
      </c>
      <c r="M279" s="1">
        <v>1</v>
      </c>
      <c r="N279" s="2">
        <v>37.729999999999997</v>
      </c>
      <c r="O279" s="3">
        <v>58</v>
      </c>
      <c r="P279" s="1">
        <v>4</v>
      </c>
      <c r="Q279" s="1">
        <v>9</v>
      </c>
      <c r="R279" s="1">
        <v>200010026815</v>
      </c>
      <c r="S279" s="1">
        <v>29</v>
      </c>
      <c r="T279" s="1">
        <v>1</v>
      </c>
      <c r="U279" s="1">
        <v>1</v>
      </c>
      <c r="V279">
        <f t="shared" si="4"/>
        <v>58</v>
      </c>
    </row>
    <row r="280" spans="1:22" ht="13" x14ac:dyDescent="0.15">
      <c r="A280" s="4">
        <v>44774</v>
      </c>
      <c r="B280" s="5">
        <v>0.69748842592592597</v>
      </c>
      <c r="C280" s="1">
        <v>1379</v>
      </c>
      <c r="D280" s="1">
        <v>13002561</v>
      </c>
      <c r="E280" s="1">
        <v>13</v>
      </c>
      <c r="F280" s="1">
        <v>22589</v>
      </c>
      <c r="G280" s="1" t="s">
        <v>21</v>
      </c>
      <c r="H280" s="1">
        <v>18</v>
      </c>
      <c r="I280" s="1">
        <v>400035</v>
      </c>
      <c r="J280" s="1" t="s">
        <v>257</v>
      </c>
      <c r="K280" s="1" t="s">
        <v>117</v>
      </c>
      <c r="L280" s="1" t="s">
        <v>76</v>
      </c>
      <c r="M280" s="1">
        <v>1</v>
      </c>
      <c r="N280" s="2">
        <v>37.729999999999997</v>
      </c>
      <c r="O280" s="3">
        <v>58</v>
      </c>
      <c r="P280" s="1">
        <v>4</v>
      </c>
      <c r="Q280" s="1">
        <v>9</v>
      </c>
      <c r="R280" s="1">
        <v>200010026815</v>
      </c>
      <c r="S280" s="1">
        <v>29</v>
      </c>
      <c r="T280" s="1">
        <v>1</v>
      </c>
      <c r="U280" s="1">
        <v>2</v>
      </c>
      <c r="V280">
        <f t="shared" si="4"/>
        <v>58</v>
      </c>
    </row>
    <row r="281" spans="1:22" ht="13" x14ac:dyDescent="0.15">
      <c r="A281" s="4">
        <v>44774</v>
      </c>
      <c r="B281" s="5">
        <v>0.69748842592592597</v>
      </c>
      <c r="C281" s="1">
        <v>1379</v>
      </c>
      <c r="D281" s="1">
        <v>13002561</v>
      </c>
      <c r="E281" s="1">
        <v>13</v>
      </c>
      <c r="F281" s="1">
        <v>22589</v>
      </c>
      <c r="G281" s="1" t="s">
        <v>21</v>
      </c>
      <c r="H281" s="1">
        <v>18</v>
      </c>
      <c r="I281" s="1">
        <v>345542</v>
      </c>
      <c r="J281" s="1" t="s">
        <v>384</v>
      </c>
      <c r="K281" s="1" t="s">
        <v>51</v>
      </c>
      <c r="L281" s="1" t="s">
        <v>76</v>
      </c>
      <c r="M281" s="1">
        <v>1</v>
      </c>
      <c r="N281" s="2">
        <v>15.18</v>
      </c>
      <c r="O281" s="3">
        <v>19</v>
      </c>
      <c r="P281" s="1">
        <v>0</v>
      </c>
      <c r="Q281" s="1" t="s">
        <v>25</v>
      </c>
      <c r="R281" s="1" t="s">
        <v>25</v>
      </c>
      <c r="S281" s="1">
        <v>29</v>
      </c>
      <c r="T281" s="1">
        <v>1</v>
      </c>
      <c r="U281" s="1">
        <v>3</v>
      </c>
      <c r="V281">
        <f t="shared" si="4"/>
        <v>19</v>
      </c>
    </row>
    <row r="282" spans="1:22" ht="13" x14ac:dyDescent="0.15">
      <c r="A282" s="4">
        <v>44774</v>
      </c>
      <c r="B282" s="5">
        <v>0.69748842592592597</v>
      </c>
      <c r="C282" s="1">
        <v>1379</v>
      </c>
      <c r="D282" s="1">
        <v>13002561</v>
      </c>
      <c r="E282" s="1">
        <v>13</v>
      </c>
      <c r="F282" s="1">
        <v>22589</v>
      </c>
      <c r="G282" s="1" t="s">
        <v>21</v>
      </c>
      <c r="H282" s="1">
        <v>18</v>
      </c>
      <c r="I282" s="1">
        <v>384267</v>
      </c>
      <c r="J282" s="1" t="s">
        <v>385</v>
      </c>
      <c r="K282" s="1" t="s">
        <v>29</v>
      </c>
      <c r="L282" s="1" t="s">
        <v>35</v>
      </c>
      <c r="M282" s="1">
        <v>1</v>
      </c>
      <c r="N282" s="2">
        <v>256.69</v>
      </c>
      <c r="O282" s="3">
        <v>347</v>
      </c>
      <c r="P282" s="1">
        <v>24</v>
      </c>
      <c r="Q282" s="1">
        <v>9</v>
      </c>
      <c r="R282" s="1">
        <v>200010026815</v>
      </c>
      <c r="S282" s="1">
        <v>29</v>
      </c>
      <c r="T282" s="1">
        <v>1</v>
      </c>
      <c r="U282" s="1">
        <v>7</v>
      </c>
      <c r="V282">
        <f t="shared" si="4"/>
        <v>347</v>
      </c>
    </row>
    <row r="283" spans="1:22" ht="13" x14ac:dyDescent="0.15">
      <c r="A283" s="4">
        <v>44774</v>
      </c>
      <c r="B283" s="5">
        <v>0.70020833333333332</v>
      </c>
      <c r="C283" s="1">
        <v>1380</v>
      </c>
      <c r="D283" s="1">
        <v>13002561</v>
      </c>
      <c r="E283" s="1">
        <v>13</v>
      </c>
      <c r="F283" s="1">
        <v>22589</v>
      </c>
      <c r="G283" s="1" t="s">
        <v>21</v>
      </c>
      <c r="H283" s="1">
        <v>18</v>
      </c>
      <c r="I283" s="1">
        <v>374617</v>
      </c>
      <c r="J283" s="1" t="s">
        <v>386</v>
      </c>
      <c r="K283" s="1" t="s">
        <v>23</v>
      </c>
      <c r="L283" s="1" t="s">
        <v>159</v>
      </c>
      <c r="M283" s="1">
        <v>1</v>
      </c>
      <c r="N283" s="2">
        <v>86.9</v>
      </c>
      <c r="O283" s="3">
        <v>107</v>
      </c>
      <c r="P283" s="1">
        <v>5</v>
      </c>
      <c r="Q283" s="1">
        <v>9</v>
      </c>
      <c r="R283" s="1">
        <v>200010013152</v>
      </c>
      <c r="S283" s="1">
        <v>29</v>
      </c>
      <c r="T283" s="1">
        <v>1</v>
      </c>
      <c r="U283" s="1">
        <v>6</v>
      </c>
      <c r="V283">
        <f t="shared" si="4"/>
        <v>107</v>
      </c>
    </row>
    <row r="284" spans="1:22" ht="13" x14ac:dyDescent="0.15">
      <c r="A284" s="4">
        <v>44774</v>
      </c>
      <c r="B284" s="5">
        <v>0.70020833333333332</v>
      </c>
      <c r="C284" s="1">
        <v>1380</v>
      </c>
      <c r="D284" s="1">
        <v>13002561</v>
      </c>
      <c r="E284" s="1">
        <v>13</v>
      </c>
      <c r="F284" s="1">
        <v>22589</v>
      </c>
      <c r="G284" s="1" t="s">
        <v>21</v>
      </c>
      <c r="H284" s="1">
        <v>18</v>
      </c>
      <c r="I284" s="1">
        <v>565192</v>
      </c>
      <c r="J284" s="1" t="s">
        <v>387</v>
      </c>
      <c r="K284" s="1" t="s">
        <v>34</v>
      </c>
      <c r="L284" s="1" t="s">
        <v>388</v>
      </c>
      <c r="M284" s="1">
        <v>1</v>
      </c>
      <c r="N284" s="2">
        <v>1217.1500000000001</v>
      </c>
      <c r="O284" s="3">
        <v>1522</v>
      </c>
      <c r="P284" s="1">
        <v>106</v>
      </c>
      <c r="Q284" s="1">
        <v>9</v>
      </c>
      <c r="R284" s="1">
        <v>200010013152</v>
      </c>
      <c r="S284" s="1">
        <v>29</v>
      </c>
      <c r="T284" s="1">
        <v>1</v>
      </c>
      <c r="U284" s="1">
        <v>2</v>
      </c>
      <c r="V284">
        <f t="shared" si="4"/>
        <v>1522</v>
      </c>
    </row>
    <row r="285" spans="1:22" ht="13" x14ac:dyDescent="0.15">
      <c r="A285" s="4">
        <v>44774</v>
      </c>
      <c r="B285" s="5">
        <v>0.70020833333333332</v>
      </c>
      <c r="C285" s="1">
        <v>1380</v>
      </c>
      <c r="D285" s="1">
        <v>13002561</v>
      </c>
      <c r="E285" s="1">
        <v>13</v>
      </c>
      <c r="F285" s="1">
        <v>22589</v>
      </c>
      <c r="G285" s="1" t="s">
        <v>21</v>
      </c>
      <c r="H285" s="1">
        <v>18</v>
      </c>
      <c r="I285" s="1">
        <v>346727</v>
      </c>
      <c r="J285" s="1" t="s">
        <v>389</v>
      </c>
      <c r="K285" s="1" t="s">
        <v>51</v>
      </c>
      <c r="L285" s="1" t="s">
        <v>274</v>
      </c>
      <c r="M285" s="1">
        <v>1</v>
      </c>
      <c r="N285" s="2">
        <v>30.64</v>
      </c>
      <c r="O285" s="3">
        <v>37</v>
      </c>
      <c r="P285" s="1">
        <v>1</v>
      </c>
      <c r="Q285" s="1">
        <v>9</v>
      </c>
      <c r="R285" s="1">
        <v>200010013152</v>
      </c>
      <c r="S285" s="1">
        <v>29</v>
      </c>
      <c r="T285" s="1">
        <v>1</v>
      </c>
      <c r="U285" s="1">
        <v>3</v>
      </c>
      <c r="V285">
        <f t="shared" si="4"/>
        <v>37</v>
      </c>
    </row>
    <row r="286" spans="1:22" ht="13" x14ac:dyDescent="0.15">
      <c r="A286" s="4">
        <v>44774</v>
      </c>
      <c r="B286" s="5">
        <v>0.70020833333333332</v>
      </c>
      <c r="C286" s="1">
        <v>1380</v>
      </c>
      <c r="D286" s="1">
        <v>13002561</v>
      </c>
      <c r="E286" s="1">
        <v>13</v>
      </c>
      <c r="F286" s="1">
        <v>22589</v>
      </c>
      <c r="G286" s="1" t="s">
        <v>21</v>
      </c>
      <c r="H286" s="1">
        <v>18</v>
      </c>
      <c r="I286" s="1">
        <v>346727</v>
      </c>
      <c r="J286" s="1" t="s">
        <v>389</v>
      </c>
      <c r="K286" s="1" t="s">
        <v>51</v>
      </c>
      <c r="L286" s="1" t="s">
        <v>274</v>
      </c>
      <c r="M286" s="1">
        <v>1</v>
      </c>
      <c r="N286" s="2">
        <v>30.64</v>
      </c>
      <c r="O286" s="3">
        <v>37</v>
      </c>
      <c r="P286" s="1">
        <v>1</v>
      </c>
      <c r="Q286" s="1">
        <v>9</v>
      </c>
      <c r="R286" s="1">
        <v>200010013152</v>
      </c>
      <c r="S286" s="1">
        <v>29</v>
      </c>
      <c r="T286" s="1">
        <v>1</v>
      </c>
      <c r="U286" s="1">
        <v>4</v>
      </c>
      <c r="V286">
        <f t="shared" si="4"/>
        <v>37</v>
      </c>
    </row>
    <row r="287" spans="1:22" ht="13" x14ac:dyDescent="0.15">
      <c r="A287" s="4">
        <v>44774</v>
      </c>
      <c r="B287" s="5">
        <v>0.70112268518518517</v>
      </c>
      <c r="C287" s="1">
        <v>1381</v>
      </c>
      <c r="D287" s="1">
        <v>13002561</v>
      </c>
      <c r="E287" s="1">
        <v>13</v>
      </c>
      <c r="F287" s="1">
        <v>22589</v>
      </c>
      <c r="G287" s="1" t="s">
        <v>21</v>
      </c>
      <c r="H287" s="1">
        <v>15</v>
      </c>
      <c r="I287" s="1">
        <v>148756</v>
      </c>
      <c r="J287" s="1" t="s">
        <v>390</v>
      </c>
      <c r="K287" s="1" t="s">
        <v>29</v>
      </c>
      <c r="L287" s="1" t="s">
        <v>391</v>
      </c>
      <c r="M287" s="1">
        <v>1</v>
      </c>
      <c r="N287" s="2">
        <v>26.13</v>
      </c>
      <c r="O287" s="3">
        <v>32</v>
      </c>
      <c r="P287" s="1">
        <v>1</v>
      </c>
      <c r="Q287" s="1">
        <v>9</v>
      </c>
      <c r="R287" s="1">
        <v>200010001749</v>
      </c>
      <c r="S287" s="1">
        <v>29</v>
      </c>
      <c r="T287" s="1">
        <v>1</v>
      </c>
      <c r="U287" s="1">
        <v>1</v>
      </c>
      <c r="V287">
        <f t="shared" si="4"/>
        <v>32</v>
      </c>
    </row>
    <row r="288" spans="1:22" ht="13" x14ac:dyDescent="0.15">
      <c r="A288" s="4">
        <v>44774</v>
      </c>
      <c r="B288" s="5">
        <v>0.70112268518518517</v>
      </c>
      <c r="C288" s="1">
        <v>1381</v>
      </c>
      <c r="D288" s="1">
        <v>13002561</v>
      </c>
      <c r="E288" s="1">
        <v>13</v>
      </c>
      <c r="F288" s="1">
        <v>22589</v>
      </c>
      <c r="G288" s="1" t="s">
        <v>21</v>
      </c>
      <c r="H288" s="1">
        <v>15</v>
      </c>
      <c r="I288" s="1">
        <v>148756</v>
      </c>
      <c r="J288" s="1" t="s">
        <v>390</v>
      </c>
      <c r="K288" s="1" t="s">
        <v>29</v>
      </c>
      <c r="L288" s="1" t="s">
        <v>391</v>
      </c>
      <c r="M288" s="1">
        <v>1</v>
      </c>
      <c r="N288" s="2">
        <v>26.13</v>
      </c>
      <c r="O288" s="3">
        <v>32</v>
      </c>
      <c r="P288" s="1">
        <v>1</v>
      </c>
      <c r="Q288" s="1">
        <v>9</v>
      </c>
      <c r="R288" s="1">
        <v>200010001749</v>
      </c>
      <c r="S288" s="1">
        <v>29</v>
      </c>
      <c r="T288" s="1">
        <v>1</v>
      </c>
      <c r="U288" s="1">
        <v>2</v>
      </c>
      <c r="V288">
        <f t="shared" si="4"/>
        <v>32</v>
      </c>
    </row>
    <row r="289" spans="1:22" ht="13" x14ac:dyDescent="0.15">
      <c r="A289" s="4">
        <v>44774</v>
      </c>
      <c r="B289" s="5">
        <v>0.7107175925925926</v>
      </c>
      <c r="C289" s="1">
        <v>1382</v>
      </c>
      <c r="D289" s="1">
        <v>13002561</v>
      </c>
      <c r="E289" s="1">
        <v>13</v>
      </c>
      <c r="F289" s="1">
        <v>22589</v>
      </c>
      <c r="G289" s="1" t="s">
        <v>21</v>
      </c>
      <c r="H289" s="1">
        <v>18</v>
      </c>
      <c r="I289" s="1">
        <v>9426</v>
      </c>
      <c r="J289" s="1" t="s">
        <v>392</v>
      </c>
      <c r="K289" s="1" t="s">
        <v>51</v>
      </c>
      <c r="L289" s="1" t="s">
        <v>195</v>
      </c>
      <c r="M289" s="1">
        <v>1</v>
      </c>
      <c r="N289" s="2">
        <v>177.67</v>
      </c>
      <c r="O289" s="3">
        <v>215</v>
      </c>
      <c r="P289" s="1">
        <v>10</v>
      </c>
      <c r="Q289" s="1">
        <v>9</v>
      </c>
      <c r="R289" s="1">
        <v>200010017788</v>
      </c>
      <c r="S289" s="1">
        <v>29</v>
      </c>
      <c r="T289" s="1">
        <v>1</v>
      </c>
      <c r="U289" s="1">
        <v>2</v>
      </c>
      <c r="V289">
        <f t="shared" si="4"/>
        <v>215</v>
      </c>
    </row>
    <row r="290" spans="1:22" ht="13" x14ac:dyDescent="0.15">
      <c r="A290" s="4">
        <v>44774</v>
      </c>
      <c r="B290" s="5">
        <v>0.7107175925925926</v>
      </c>
      <c r="C290" s="1">
        <v>1382</v>
      </c>
      <c r="D290" s="1">
        <v>13002561</v>
      </c>
      <c r="E290" s="1">
        <v>13</v>
      </c>
      <c r="F290" s="1">
        <v>22589</v>
      </c>
      <c r="G290" s="1" t="s">
        <v>21</v>
      </c>
      <c r="H290" s="1">
        <v>18</v>
      </c>
      <c r="I290" s="1">
        <v>20856</v>
      </c>
      <c r="J290" s="1" t="s">
        <v>393</v>
      </c>
      <c r="K290" s="1" t="s">
        <v>51</v>
      </c>
      <c r="L290" s="1" t="s">
        <v>394</v>
      </c>
      <c r="M290" s="1">
        <v>1</v>
      </c>
      <c r="N290" s="2">
        <v>244.77</v>
      </c>
      <c r="O290" s="3">
        <v>282</v>
      </c>
      <c r="P290" s="1">
        <v>14</v>
      </c>
      <c r="Q290" s="1">
        <v>9</v>
      </c>
      <c r="R290" s="1">
        <v>200010017788</v>
      </c>
      <c r="S290" s="1">
        <v>29</v>
      </c>
      <c r="T290" s="1">
        <v>1</v>
      </c>
      <c r="U290" s="1">
        <v>1</v>
      </c>
      <c r="V290">
        <f t="shared" si="4"/>
        <v>282</v>
      </c>
    </row>
    <row r="291" spans="1:22" ht="13" x14ac:dyDescent="0.15">
      <c r="A291" s="4">
        <v>44774</v>
      </c>
      <c r="B291" s="5">
        <v>0.7107175925925926</v>
      </c>
      <c r="C291" s="1">
        <v>1382</v>
      </c>
      <c r="D291" s="1">
        <v>13002561</v>
      </c>
      <c r="E291" s="1">
        <v>13</v>
      </c>
      <c r="F291" s="1">
        <v>22589</v>
      </c>
      <c r="G291" s="1" t="s">
        <v>21</v>
      </c>
      <c r="H291" s="1">
        <v>18</v>
      </c>
      <c r="I291" s="1">
        <v>39416</v>
      </c>
      <c r="J291" s="1" t="s">
        <v>395</v>
      </c>
      <c r="K291" s="1" t="s">
        <v>23</v>
      </c>
      <c r="L291" s="1" t="s">
        <v>175</v>
      </c>
      <c r="M291" s="1">
        <v>1</v>
      </c>
      <c r="N291" s="2">
        <v>150.94</v>
      </c>
      <c r="O291" s="3">
        <v>207</v>
      </c>
      <c r="P291" s="1">
        <v>14</v>
      </c>
      <c r="Q291" s="1">
        <v>9</v>
      </c>
      <c r="R291" s="1">
        <v>200010017788</v>
      </c>
      <c r="S291" s="1">
        <v>29</v>
      </c>
      <c r="T291" s="1">
        <v>1</v>
      </c>
      <c r="U291" s="1">
        <v>3</v>
      </c>
      <c r="V291">
        <f t="shared" si="4"/>
        <v>207</v>
      </c>
    </row>
    <row r="292" spans="1:22" ht="13" x14ac:dyDescent="0.15">
      <c r="A292" s="4">
        <v>44774</v>
      </c>
      <c r="B292" s="5">
        <v>0.79040509259259262</v>
      </c>
      <c r="C292" s="1">
        <v>1405</v>
      </c>
      <c r="D292" s="1">
        <v>13002561</v>
      </c>
      <c r="E292" s="1">
        <v>13</v>
      </c>
      <c r="F292" s="1">
        <v>22589</v>
      </c>
      <c r="G292" s="1" t="s">
        <v>21</v>
      </c>
      <c r="H292" s="1">
        <v>18</v>
      </c>
      <c r="I292" s="1">
        <v>39416</v>
      </c>
      <c r="J292" s="1" t="s">
        <v>395</v>
      </c>
      <c r="K292" s="1" t="s">
        <v>23</v>
      </c>
      <c r="L292" s="1" t="s">
        <v>175</v>
      </c>
      <c r="M292" s="1">
        <v>1</v>
      </c>
      <c r="N292" s="2">
        <v>150.94</v>
      </c>
      <c r="O292" s="3">
        <v>207</v>
      </c>
      <c r="P292" s="1">
        <v>0</v>
      </c>
      <c r="Q292" s="1" t="s">
        <v>25</v>
      </c>
      <c r="R292" s="1" t="s">
        <v>25</v>
      </c>
      <c r="S292" s="1">
        <v>29</v>
      </c>
      <c r="T292" s="1">
        <v>1</v>
      </c>
      <c r="U292" s="1">
        <v>2</v>
      </c>
      <c r="V292">
        <f t="shared" si="4"/>
        <v>207</v>
      </c>
    </row>
    <row r="293" spans="1:22" ht="13" x14ac:dyDescent="0.15">
      <c r="A293" s="4">
        <v>44774</v>
      </c>
      <c r="B293" s="5">
        <v>0.71596064814814819</v>
      </c>
      <c r="C293" s="1">
        <v>1384</v>
      </c>
      <c r="D293" s="1">
        <v>13002561</v>
      </c>
      <c r="E293" s="1">
        <v>13</v>
      </c>
      <c r="F293" s="1">
        <v>22589</v>
      </c>
      <c r="G293" s="1" t="s">
        <v>21</v>
      </c>
      <c r="H293" s="1">
        <v>15</v>
      </c>
      <c r="I293" s="1">
        <v>340098</v>
      </c>
      <c r="J293" s="1" t="s">
        <v>396</v>
      </c>
      <c r="K293" s="1" t="s">
        <v>51</v>
      </c>
      <c r="L293" s="1" t="s">
        <v>397</v>
      </c>
      <c r="M293" s="1">
        <v>1</v>
      </c>
      <c r="N293" s="2">
        <v>74.400000000000006</v>
      </c>
      <c r="O293" s="3">
        <v>106</v>
      </c>
      <c r="P293" s="1">
        <v>12.63</v>
      </c>
      <c r="Q293" s="1">
        <v>925</v>
      </c>
      <c r="R293" s="1">
        <v>200000000492</v>
      </c>
      <c r="S293" s="1">
        <v>29</v>
      </c>
      <c r="T293" s="1">
        <v>1</v>
      </c>
      <c r="U293" s="1">
        <v>3</v>
      </c>
      <c r="V293">
        <f t="shared" si="4"/>
        <v>106</v>
      </c>
    </row>
    <row r="294" spans="1:22" ht="13" x14ac:dyDescent="0.15">
      <c r="A294" s="4">
        <v>44774</v>
      </c>
      <c r="B294" s="5">
        <v>0.71596064814814819</v>
      </c>
      <c r="C294" s="1">
        <v>1384</v>
      </c>
      <c r="D294" s="1">
        <v>13002561</v>
      </c>
      <c r="E294" s="1">
        <v>13</v>
      </c>
      <c r="F294" s="1">
        <v>22589</v>
      </c>
      <c r="G294" s="1" t="s">
        <v>21</v>
      </c>
      <c r="H294" s="1">
        <v>15</v>
      </c>
      <c r="I294" s="1">
        <v>4773</v>
      </c>
      <c r="J294" s="1" t="s">
        <v>398</v>
      </c>
      <c r="K294" s="1" t="s">
        <v>45</v>
      </c>
      <c r="L294" s="1" t="s">
        <v>399</v>
      </c>
      <c r="M294" s="1">
        <v>1</v>
      </c>
      <c r="N294" s="2">
        <v>86.27</v>
      </c>
      <c r="O294" s="3">
        <v>105</v>
      </c>
      <c r="P294" s="1">
        <v>12.51</v>
      </c>
      <c r="Q294" s="1">
        <v>925</v>
      </c>
      <c r="R294" s="1">
        <v>200000000492</v>
      </c>
      <c r="S294" s="1">
        <v>29</v>
      </c>
      <c r="T294" s="1">
        <v>1</v>
      </c>
      <c r="U294" s="1">
        <v>1</v>
      </c>
      <c r="V294">
        <f t="shared" si="4"/>
        <v>105</v>
      </c>
    </row>
    <row r="295" spans="1:22" ht="13" x14ac:dyDescent="0.15">
      <c r="A295" s="4">
        <v>44774</v>
      </c>
      <c r="B295" s="5">
        <v>0.71596064814814819</v>
      </c>
      <c r="C295" s="1">
        <v>1384</v>
      </c>
      <c r="D295" s="1">
        <v>13002561</v>
      </c>
      <c r="E295" s="1">
        <v>13</v>
      </c>
      <c r="F295" s="1">
        <v>22589</v>
      </c>
      <c r="G295" s="1" t="s">
        <v>21</v>
      </c>
      <c r="H295" s="1">
        <v>15</v>
      </c>
      <c r="I295" s="1">
        <v>12643</v>
      </c>
      <c r="J295" s="1" t="s">
        <v>400</v>
      </c>
      <c r="K295" s="1" t="s">
        <v>51</v>
      </c>
      <c r="L295" s="1" t="s">
        <v>56</v>
      </c>
      <c r="M295" s="1">
        <v>1</v>
      </c>
      <c r="N295" s="2">
        <v>145.52000000000001</v>
      </c>
      <c r="O295" s="3">
        <v>175</v>
      </c>
      <c r="P295" s="1">
        <v>20.86</v>
      </c>
      <c r="Q295" s="1">
        <v>925</v>
      </c>
      <c r="R295" s="1">
        <v>200000000492</v>
      </c>
      <c r="S295" s="1">
        <v>29</v>
      </c>
      <c r="T295" s="1">
        <v>1</v>
      </c>
      <c r="U295" s="1">
        <v>2</v>
      </c>
      <c r="V295">
        <f t="shared" si="4"/>
        <v>175</v>
      </c>
    </row>
    <row r="296" spans="1:22" ht="13" x14ac:dyDescent="0.15">
      <c r="A296" s="4">
        <v>44774</v>
      </c>
      <c r="B296" s="5">
        <v>0.72422453703703704</v>
      </c>
      <c r="C296" s="1">
        <v>1385</v>
      </c>
      <c r="D296" s="1">
        <v>13002561</v>
      </c>
      <c r="E296" s="1">
        <v>13</v>
      </c>
      <c r="F296" s="1">
        <v>22589</v>
      </c>
      <c r="G296" s="1" t="s">
        <v>21</v>
      </c>
      <c r="H296" s="1">
        <v>18</v>
      </c>
      <c r="I296" s="1">
        <v>393397</v>
      </c>
      <c r="J296" s="1" t="s">
        <v>334</v>
      </c>
      <c r="K296" s="1" t="s">
        <v>29</v>
      </c>
      <c r="L296" s="1" t="s">
        <v>335</v>
      </c>
      <c r="M296" s="1">
        <v>1</v>
      </c>
      <c r="N296" s="2">
        <v>20.079999999999998</v>
      </c>
      <c r="O296" s="3">
        <v>26</v>
      </c>
      <c r="P296" s="1">
        <v>0</v>
      </c>
      <c r="Q296" s="1" t="s">
        <v>25</v>
      </c>
      <c r="R296" s="1" t="s">
        <v>25</v>
      </c>
      <c r="S296" s="1">
        <v>29</v>
      </c>
      <c r="T296" s="1">
        <v>1</v>
      </c>
      <c r="U296" s="1">
        <v>1</v>
      </c>
      <c r="V296">
        <f t="shared" si="4"/>
        <v>26</v>
      </c>
    </row>
    <row r="297" spans="1:22" ht="13" x14ac:dyDescent="0.15">
      <c r="A297" s="4">
        <v>44774</v>
      </c>
      <c r="B297" s="5">
        <v>0.72422453703703704</v>
      </c>
      <c r="C297" s="1">
        <v>1385</v>
      </c>
      <c r="D297" s="1">
        <v>13002561</v>
      </c>
      <c r="E297" s="1">
        <v>13</v>
      </c>
      <c r="F297" s="1">
        <v>22589</v>
      </c>
      <c r="G297" s="1" t="s">
        <v>21</v>
      </c>
      <c r="H297" s="1">
        <v>18</v>
      </c>
      <c r="I297" s="1">
        <v>393397</v>
      </c>
      <c r="J297" s="1" t="s">
        <v>334</v>
      </c>
      <c r="K297" s="1" t="s">
        <v>29</v>
      </c>
      <c r="L297" s="1" t="s">
        <v>335</v>
      </c>
      <c r="M297" s="1">
        <v>1</v>
      </c>
      <c r="N297" s="2">
        <v>20.079999999999998</v>
      </c>
      <c r="O297" s="3">
        <v>26</v>
      </c>
      <c r="P297" s="1">
        <v>0</v>
      </c>
      <c r="Q297" s="1" t="s">
        <v>25</v>
      </c>
      <c r="R297" s="1" t="s">
        <v>25</v>
      </c>
      <c r="S297" s="1">
        <v>29</v>
      </c>
      <c r="T297" s="1">
        <v>1</v>
      </c>
      <c r="U297" s="1">
        <v>2</v>
      </c>
      <c r="V297">
        <f t="shared" si="4"/>
        <v>26</v>
      </c>
    </row>
    <row r="298" spans="1:22" ht="13" x14ac:dyDescent="0.15">
      <c r="A298" s="4">
        <v>44774</v>
      </c>
      <c r="B298" s="5">
        <v>0.74328703703703702</v>
      </c>
      <c r="C298" s="1">
        <v>1392</v>
      </c>
      <c r="D298" s="1">
        <v>13002561</v>
      </c>
      <c r="E298" s="1">
        <v>13</v>
      </c>
      <c r="F298" s="1">
        <v>22589</v>
      </c>
      <c r="G298" s="1" t="s">
        <v>21</v>
      </c>
      <c r="H298" s="1">
        <v>18</v>
      </c>
      <c r="I298" s="1">
        <v>393397</v>
      </c>
      <c r="J298" s="1" t="s">
        <v>334</v>
      </c>
      <c r="K298" s="1" t="s">
        <v>29</v>
      </c>
      <c r="L298" s="1" t="s">
        <v>335</v>
      </c>
      <c r="M298" s="1">
        <v>1</v>
      </c>
      <c r="N298" s="2">
        <v>20.079999999999998</v>
      </c>
      <c r="O298" s="3">
        <v>26</v>
      </c>
      <c r="P298" s="1">
        <v>0</v>
      </c>
      <c r="Q298" s="1" t="s">
        <v>25</v>
      </c>
      <c r="R298" s="1" t="s">
        <v>25</v>
      </c>
      <c r="S298" s="1">
        <v>29</v>
      </c>
      <c r="T298" s="1">
        <v>1</v>
      </c>
      <c r="U298" s="1">
        <v>3</v>
      </c>
      <c r="V298">
        <f t="shared" si="4"/>
        <v>26</v>
      </c>
    </row>
    <row r="299" spans="1:22" ht="13" x14ac:dyDescent="0.15">
      <c r="A299" s="4">
        <v>44774</v>
      </c>
      <c r="B299" s="5">
        <v>0.72802083333333334</v>
      </c>
      <c r="C299" s="1">
        <v>1386</v>
      </c>
      <c r="D299" s="1">
        <v>13002561</v>
      </c>
      <c r="E299" s="1">
        <v>13</v>
      </c>
      <c r="F299" s="1">
        <v>22589</v>
      </c>
      <c r="G299" s="1" t="s">
        <v>21</v>
      </c>
      <c r="H299" s="1">
        <v>18</v>
      </c>
      <c r="I299" s="1">
        <v>115992</v>
      </c>
      <c r="J299" s="1" t="s">
        <v>401</v>
      </c>
      <c r="K299" s="1" t="s">
        <v>34</v>
      </c>
      <c r="L299" s="1" t="s">
        <v>402</v>
      </c>
      <c r="M299" s="1">
        <v>1</v>
      </c>
      <c r="N299" s="2">
        <v>62.48</v>
      </c>
      <c r="O299" s="3">
        <v>78</v>
      </c>
      <c r="P299" s="1">
        <v>0</v>
      </c>
      <c r="Q299" s="1" t="s">
        <v>25</v>
      </c>
      <c r="R299" s="1" t="s">
        <v>25</v>
      </c>
      <c r="S299" s="1">
        <v>29</v>
      </c>
      <c r="T299" s="1">
        <v>1</v>
      </c>
      <c r="U299" s="1">
        <v>1</v>
      </c>
      <c r="V299">
        <f t="shared" si="4"/>
        <v>78</v>
      </c>
    </row>
    <row r="300" spans="1:22" ht="13" x14ac:dyDescent="0.15">
      <c r="A300" s="4">
        <v>44774</v>
      </c>
      <c r="B300" s="5">
        <v>0.72802083333333334</v>
      </c>
      <c r="C300" s="1">
        <v>1386</v>
      </c>
      <c r="D300" s="1">
        <v>13002561</v>
      </c>
      <c r="E300" s="1">
        <v>13</v>
      </c>
      <c r="F300" s="1">
        <v>22589</v>
      </c>
      <c r="G300" s="1" t="s">
        <v>21</v>
      </c>
      <c r="H300" s="1">
        <v>18</v>
      </c>
      <c r="I300" s="1">
        <v>45389</v>
      </c>
      <c r="J300" s="1" t="s">
        <v>403</v>
      </c>
      <c r="K300" s="1" t="s">
        <v>51</v>
      </c>
      <c r="L300" s="1" t="s">
        <v>133</v>
      </c>
      <c r="M300" s="1">
        <v>1</v>
      </c>
      <c r="N300" s="2">
        <v>108.46</v>
      </c>
      <c r="O300" s="3">
        <v>149</v>
      </c>
      <c r="P300" s="1">
        <v>0</v>
      </c>
      <c r="Q300" s="1" t="s">
        <v>25</v>
      </c>
      <c r="R300" s="1" t="s">
        <v>25</v>
      </c>
      <c r="S300" s="1">
        <v>29</v>
      </c>
      <c r="T300" s="1">
        <v>1</v>
      </c>
      <c r="U300" s="1">
        <v>3</v>
      </c>
      <c r="V300">
        <f t="shared" si="4"/>
        <v>149</v>
      </c>
    </row>
    <row r="301" spans="1:22" ht="13" x14ac:dyDescent="0.15">
      <c r="A301" s="4">
        <v>44774</v>
      </c>
      <c r="B301" s="5">
        <v>0.72802083333333334</v>
      </c>
      <c r="C301" s="1">
        <v>1386</v>
      </c>
      <c r="D301" s="1">
        <v>13002561</v>
      </c>
      <c r="E301" s="1">
        <v>13</v>
      </c>
      <c r="F301" s="1">
        <v>22589</v>
      </c>
      <c r="G301" s="1" t="s">
        <v>21</v>
      </c>
      <c r="H301" s="1">
        <v>18</v>
      </c>
      <c r="I301" s="1">
        <v>185661</v>
      </c>
      <c r="J301" s="1" t="s">
        <v>404</v>
      </c>
      <c r="K301" s="1" t="s">
        <v>110</v>
      </c>
      <c r="L301" s="1" t="s">
        <v>405</v>
      </c>
      <c r="M301" s="1">
        <v>1</v>
      </c>
      <c r="N301" s="2">
        <v>127.93</v>
      </c>
      <c r="O301" s="3">
        <v>176</v>
      </c>
      <c r="P301" s="1">
        <v>0</v>
      </c>
      <c r="Q301" s="1" t="s">
        <v>25</v>
      </c>
      <c r="R301" s="1" t="s">
        <v>25</v>
      </c>
      <c r="S301" s="1">
        <v>29</v>
      </c>
      <c r="T301" s="1">
        <v>1</v>
      </c>
      <c r="U301" s="1">
        <v>2</v>
      </c>
      <c r="V301">
        <f t="shared" si="4"/>
        <v>176</v>
      </c>
    </row>
    <row r="302" spans="1:22" ht="13" x14ac:dyDescent="0.15">
      <c r="A302" s="4">
        <v>44774</v>
      </c>
      <c r="B302" s="5">
        <v>0.72908564814814814</v>
      </c>
      <c r="C302" s="1">
        <v>1387</v>
      </c>
      <c r="D302" s="1">
        <v>13002561</v>
      </c>
      <c r="E302" s="1">
        <v>13</v>
      </c>
      <c r="F302" s="1">
        <v>22589</v>
      </c>
      <c r="G302" s="1" t="s">
        <v>21</v>
      </c>
      <c r="H302" s="1">
        <v>18</v>
      </c>
      <c r="I302" s="1">
        <v>36124</v>
      </c>
      <c r="J302" s="1" t="s">
        <v>406</v>
      </c>
      <c r="K302" s="1" t="s">
        <v>117</v>
      </c>
      <c r="L302" s="1" t="s">
        <v>407</v>
      </c>
      <c r="M302" s="1">
        <v>1</v>
      </c>
      <c r="N302" s="2">
        <v>9.83</v>
      </c>
      <c r="O302" s="3">
        <v>17</v>
      </c>
      <c r="P302" s="1">
        <v>1</v>
      </c>
      <c r="Q302" s="1">
        <v>9</v>
      </c>
      <c r="R302" s="1">
        <v>200010023529</v>
      </c>
      <c r="S302" s="1">
        <v>29</v>
      </c>
      <c r="T302" s="1">
        <v>1</v>
      </c>
      <c r="U302" s="1">
        <v>1</v>
      </c>
      <c r="V302">
        <f t="shared" si="4"/>
        <v>17</v>
      </c>
    </row>
    <row r="303" spans="1:22" ht="13" x14ac:dyDescent="0.15">
      <c r="A303" s="4">
        <v>44774</v>
      </c>
      <c r="B303" s="5">
        <v>0.72908564814814814</v>
      </c>
      <c r="C303" s="1">
        <v>1387</v>
      </c>
      <c r="D303" s="1">
        <v>13002561</v>
      </c>
      <c r="E303" s="1">
        <v>13</v>
      </c>
      <c r="F303" s="1">
        <v>22589</v>
      </c>
      <c r="G303" s="1" t="s">
        <v>21</v>
      </c>
      <c r="H303" s="1">
        <v>18</v>
      </c>
      <c r="I303" s="1">
        <v>354211</v>
      </c>
      <c r="J303" s="1" t="s">
        <v>408</v>
      </c>
      <c r="K303" s="1" t="s">
        <v>48</v>
      </c>
      <c r="L303" s="1" t="s">
        <v>99</v>
      </c>
      <c r="M303" s="1">
        <v>1</v>
      </c>
      <c r="N303" s="2">
        <v>14.4</v>
      </c>
      <c r="O303" s="3">
        <v>24</v>
      </c>
      <c r="P303" s="1">
        <v>2</v>
      </c>
      <c r="Q303" s="1">
        <v>9</v>
      </c>
      <c r="R303" s="1">
        <v>200010023529</v>
      </c>
      <c r="S303" s="1">
        <v>29</v>
      </c>
      <c r="T303" s="1">
        <v>1</v>
      </c>
      <c r="U303" s="1">
        <v>2</v>
      </c>
      <c r="V303">
        <f t="shared" si="4"/>
        <v>24</v>
      </c>
    </row>
    <row r="304" spans="1:22" ht="13" x14ac:dyDescent="0.15">
      <c r="A304" s="4">
        <v>44774</v>
      </c>
      <c r="B304" s="5">
        <v>0.72908564814814814</v>
      </c>
      <c r="C304" s="1">
        <v>1387</v>
      </c>
      <c r="D304" s="1">
        <v>13002561</v>
      </c>
      <c r="E304" s="1">
        <v>13</v>
      </c>
      <c r="F304" s="1">
        <v>22589</v>
      </c>
      <c r="G304" s="1" t="s">
        <v>21</v>
      </c>
      <c r="H304" s="1">
        <v>18</v>
      </c>
      <c r="I304" s="1">
        <v>354211</v>
      </c>
      <c r="J304" s="1" t="s">
        <v>408</v>
      </c>
      <c r="K304" s="1" t="s">
        <v>48</v>
      </c>
      <c r="L304" s="1" t="s">
        <v>99</v>
      </c>
      <c r="M304" s="1">
        <v>1</v>
      </c>
      <c r="N304" s="2">
        <v>14.4</v>
      </c>
      <c r="O304" s="3">
        <v>24</v>
      </c>
      <c r="P304" s="1">
        <v>2</v>
      </c>
      <c r="Q304" s="1">
        <v>9</v>
      </c>
      <c r="R304" s="1">
        <v>200010023529</v>
      </c>
      <c r="S304" s="1">
        <v>29</v>
      </c>
      <c r="T304" s="1">
        <v>1</v>
      </c>
      <c r="U304" s="1">
        <v>3</v>
      </c>
      <c r="V304">
        <f t="shared" si="4"/>
        <v>24</v>
      </c>
    </row>
    <row r="305" spans="1:22" ht="13" x14ac:dyDescent="0.15">
      <c r="A305" s="4">
        <v>44774</v>
      </c>
      <c r="B305" s="5">
        <v>0.73450231481481476</v>
      </c>
      <c r="C305" s="1">
        <v>1388</v>
      </c>
      <c r="D305" s="1">
        <v>13002561</v>
      </c>
      <c r="E305" s="1">
        <v>13</v>
      </c>
      <c r="F305" s="1">
        <v>22589</v>
      </c>
      <c r="G305" s="1" t="s">
        <v>21</v>
      </c>
      <c r="H305" s="1">
        <v>15</v>
      </c>
      <c r="I305" s="1">
        <v>151073</v>
      </c>
      <c r="J305" s="1" t="s">
        <v>409</v>
      </c>
      <c r="K305" s="1" t="s">
        <v>117</v>
      </c>
      <c r="L305" s="1" t="s">
        <v>410</v>
      </c>
      <c r="M305" s="1">
        <v>1</v>
      </c>
      <c r="N305" s="2">
        <v>265.95999999999998</v>
      </c>
      <c r="O305" s="3">
        <v>418</v>
      </c>
      <c r="P305" s="1">
        <v>41</v>
      </c>
      <c r="Q305" s="1">
        <v>9</v>
      </c>
      <c r="R305" s="1">
        <v>200010016544</v>
      </c>
      <c r="S305" s="1">
        <v>29</v>
      </c>
      <c r="T305" s="1">
        <v>1</v>
      </c>
      <c r="U305" s="1">
        <v>1</v>
      </c>
      <c r="V305">
        <f t="shared" si="4"/>
        <v>418</v>
      </c>
    </row>
    <row r="306" spans="1:22" ht="13" x14ac:dyDescent="0.15">
      <c r="A306" s="4">
        <v>44774</v>
      </c>
      <c r="B306" s="5">
        <v>0.73576388888888888</v>
      </c>
      <c r="C306" s="1">
        <v>1389</v>
      </c>
      <c r="D306" s="1">
        <v>13002561</v>
      </c>
      <c r="E306" s="1">
        <v>13</v>
      </c>
      <c r="F306" s="1">
        <v>22589</v>
      </c>
      <c r="G306" s="1" t="s">
        <v>21</v>
      </c>
      <c r="H306" s="1">
        <v>15</v>
      </c>
      <c r="I306" s="1">
        <v>463100</v>
      </c>
      <c r="J306" s="1" t="s">
        <v>411</v>
      </c>
      <c r="K306" s="1" t="s">
        <v>51</v>
      </c>
      <c r="L306" s="1" t="s">
        <v>35</v>
      </c>
      <c r="M306" s="1">
        <v>1</v>
      </c>
      <c r="N306" s="2">
        <v>47.5</v>
      </c>
      <c r="O306" s="3">
        <v>73</v>
      </c>
      <c r="P306" s="1">
        <v>0</v>
      </c>
      <c r="Q306" s="1" t="s">
        <v>25</v>
      </c>
      <c r="R306" s="1" t="s">
        <v>25</v>
      </c>
      <c r="S306" s="1">
        <v>29</v>
      </c>
      <c r="T306" s="1">
        <v>1</v>
      </c>
      <c r="U306" s="1">
        <v>1</v>
      </c>
      <c r="V306">
        <f t="shared" si="4"/>
        <v>73</v>
      </c>
    </row>
    <row r="307" spans="1:22" ht="13" x14ac:dyDescent="0.15">
      <c r="A307" s="4">
        <v>44774</v>
      </c>
      <c r="B307" s="5">
        <v>0.73609953703703701</v>
      </c>
      <c r="C307" s="1">
        <v>1390</v>
      </c>
      <c r="D307" s="1">
        <v>13002561</v>
      </c>
      <c r="E307" s="1">
        <v>13</v>
      </c>
      <c r="F307" s="1">
        <v>22589</v>
      </c>
      <c r="G307" s="1" t="s">
        <v>21</v>
      </c>
      <c r="H307" s="1">
        <v>15</v>
      </c>
      <c r="I307" s="1">
        <v>51314</v>
      </c>
      <c r="J307" s="1" t="s">
        <v>412</v>
      </c>
      <c r="K307" s="1" t="s">
        <v>51</v>
      </c>
      <c r="L307" s="1" t="s">
        <v>413</v>
      </c>
      <c r="M307" s="1">
        <v>1</v>
      </c>
      <c r="N307" s="2">
        <v>587.62</v>
      </c>
      <c r="O307" s="3">
        <v>759</v>
      </c>
      <c r="P307" s="1">
        <v>0</v>
      </c>
      <c r="Q307" s="1" t="s">
        <v>25</v>
      </c>
      <c r="R307" s="1" t="s">
        <v>25</v>
      </c>
      <c r="S307" s="1">
        <v>29</v>
      </c>
      <c r="T307" s="1">
        <v>1</v>
      </c>
      <c r="U307" s="1">
        <v>1</v>
      </c>
      <c r="V307">
        <f t="shared" si="4"/>
        <v>759</v>
      </c>
    </row>
    <row r="308" spans="1:22" ht="13" x14ac:dyDescent="0.15">
      <c r="A308" s="4">
        <v>44774</v>
      </c>
      <c r="B308" s="5">
        <v>0.74195601851851856</v>
      </c>
      <c r="C308" s="1">
        <v>1391</v>
      </c>
      <c r="D308" s="1">
        <v>13002561</v>
      </c>
      <c r="E308" s="1">
        <v>13</v>
      </c>
      <c r="F308" s="1">
        <v>22589</v>
      </c>
      <c r="G308" s="1" t="s">
        <v>21</v>
      </c>
      <c r="H308" s="1">
        <v>15</v>
      </c>
      <c r="I308" s="1">
        <v>493777</v>
      </c>
      <c r="J308" s="1" t="s">
        <v>414</v>
      </c>
      <c r="K308" s="1" t="s">
        <v>34</v>
      </c>
      <c r="L308" s="1" t="s">
        <v>415</v>
      </c>
      <c r="M308" s="1">
        <v>1</v>
      </c>
      <c r="N308" s="2">
        <v>198.23</v>
      </c>
      <c r="O308" s="3">
        <v>272</v>
      </c>
      <c r="P308" s="1">
        <v>0</v>
      </c>
      <c r="Q308" s="1" t="s">
        <v>25</v>
      </c>
      <c r="R308" s="1" t="s">
        <v>25</v>
      </c>
      <c r="S308" s="1">
        <v>29</v>
      </c>
      <c r="T308" s="1">
        <v>1</v>
      </c>
      <c r="U308" s="1">
        <v>1</v>
      </c>
      <c r="V308">
        <f t="shared" si="4"/>
        <v>272</v>
      </c>
    </row>
    <row r="309" spans="1:22" ht="13" x14ac:dyDescent="0.15">
      <c r="A309" s="4">
        <v>44774</v>
      </c>
      <c r="B309" s="5">
        <v>0.74195601851851856</v>
      </c>
      <c r="C309" s="1">
        <v>1391</v>
      </c>
      <c r="D309" s="1">
        <v>13002561</v>
      </c>
      <c r="E309" s="1">
        <v>13</v>
      </c>
      <c r="F309" s="1">
        <v>22589</v>
      </c>
      <c r="G309" s="1" t="s">
        <v>21</v>
      </c>
      <c r="H309" s="1">
        <v>15</v>
      </c>
      <c r="I309" s="1">
        <v>13574</v>
      </c>
      <c r="J309" s="1" t="s">
        <v>416</v>
      </c>
      <c r="K309" s="1" t="s">
        <v>48</v>
      </c>
      <c r="L309" s="1" t="s">
        <v>417</v>
      </c>
      <c r="M309" s="1">
        <v>0.1</v>
      </c>
      <c r="N309" s="2">
        <v>927.61</v>
      </c>
      <c r="O309" s="3">
        <v>1197</v>
      </c>
      <c r="P309" s="1">
        <v>0</v>
      </c>
      <c r="Q309" s="1" t="s">
        <v>25</v>
      </c>
      <c r="R309" s="1" t="s">
        <v>25</v>
      </c>
      <c r="S309" s="1">
        <v>29</v>
      </c>
      <c r="T309" s="1">
        <v>1</v>
      </c>
      <c r="U309" s="1">
        <v>2</v>
      </c>
      <c r="V309">
        <f t="shared" si="4"/>
        <v>119.7</v>
      </c>
    </row>
    <row r="310" spans="1:22" ht="13" x14ac:dyDescent="0.15">
      <c r="A310" s="4">
        <v>44774</v>
      </c>
      <c r="B310" s="5">
        <v>0.74328703703703702</v>
      </c>
      <c r="C310" s="1">
        <v>1392</v>
      </c>
      <c r="D310" s="1">
        <v>13002561</v>
      </c>
      <c r="E310" s="1">
        <v>13</v>
      </c>
      <c r="F310" s="1">
        <v>22589</v>
      </c>
      <c r="G310" s="1" t="s">
        <v>21</v>
      </c>
      <c r="H310" s="1">
        <v>18</v>
      </c>
      <c r="I310" s="1">
        <v>418134</v>
      </c>
      <c r="J310" s="1" t="s">
        <v>418</v>
      </c>
      <c r="K310" s="1" t="s">
        <v>51</v>
      </c>
      <c r="L310" s="1" t="s">
        <v>76</v>
      </c>
      <c r="M310" s="1">
        <v>1</v>
      </c>
      <c r="N310" s="2">
        <v>30.25</v>
      </c>
      <c r="O310" s="3">
        <v>35</v>
      </c>
      <c r="P310" s="1">
        <v>0</v>
      </c>
      <c r="Q310" s="1" t="s">
        <v>25</v>
      </c>
      <c r="R310" s="1" t="s">
        <v>25</v>
      </c>
      <c r="S310" s="1">
        <v>29</v>
      </c>
      <c r="T310" s="1">
        <v>1</v>
      </c>
      <c r="U310" s="1">
        <v>1</v>
      </c>
      <c r="V310">
        <f t="shared" si="4"/>
        <v>35</v>
      </c>
    </row>
    <row r="311" spans="1:22" ht="13" x14ac:dyDescent="0.15">
      <c r="A311" s="4">
        <v>44774</v>
      </c>
      <c r="B311" s="5">
        <v>0.74328703703703702</v>
      </c>
      <c r="C311" s="1">
        <v>1392</v>
      </c>
      <c r="D311" s="1">
        <v>13002561</v>
      </c>
      <c r="E311" s="1">
        <v>13</v>
      </c>
      <c r="F311" s="1">
        <v>22589</v>
      </c>
      <c r="G311" s="1" t="s">
        <v>21</v>
      </c>
      <c r="H311" s="1">
        <v>18</v>
      </c>
      <c r="I311" s="1">
        <v>418134</v>
      </c>
      <c r="J311" s="1" t="s">
        <v>418</v>
      </c>
      <c r="K311" s="1" t="s">
        <v>51</v>
      </c>
      <c r="L311" s="1" t="s">
        <v>76</v>
      </c>
      <c r="M311" s="1">
        <v>1</v>
      </c>
      <c r="N311" s="2">
        <v>30.25</v>
      </c>
      <c r="O311" s="3">
        <v>35</v>
      </c>
      <c r="P311" s="1">
        <v>0</v>
      </c>
      <c r="Q311" s="1" t="s">
        <v>25</v>
      </c>
      <c r="R311" s="1" t="s">
        <v>25</v>
      </c>
      <c r="S311" s="1">
        <v>29</v>
      </c>
      <c r="T311" s="1">
        <v>1</v>
      </c>
      <c r="U311" s="1">
        <v>2</v>
      </c>
      <c r="V311">
        <f t="shared" si="4"/>
        <v>35</v>
      </c>
    </row>
    <row r="312" spans="1:22" ht="13" x14ac:dyDescent="0.15">
      <c r="A312" s="4">
        <v>44774</v>
      </c>
      <c r="B312" s="5">
        <v>0.74328703703703702</v>
      </c>
      <c r="C312" s="1">
        <v>1392</v>
      </c>
      <c r="D312" s="1">
        <v>13002561</v>
      </c>
      <c r="E312" s="1">
        <v>13</v>
      </c>
      <c r="F312" s="1">
        <v>22589</v>
      </c>
      <c r="G312" s="1" t="s">
        <v>21</v>
      </c>
      <c r="H312" s="1">
        <v>18</v>
      </c>
      <c r="I312" s="1">
        <v>348186</v>
      </c>
      <c r="J312" s="1" t="s">
        <v>419</v>
      </c>
      <c r="K312" s="1" t="s">
        <v>141</v>
      </c>
      <c r="L312" s="1" t="s">
        <v>173</v>
      </c>
      <c r="M312" s="1">
        <v>2</v>
      </c>
      <c r="N312" s="2">
        <v>5.83</v>
      </c>
      <c r="O312" s="3">
        <v>8</v>
      </c>
      <c r="P312" s="1">
        <v>0</v>
      </c>
      <c r="Q312" s="1" t="s">
        <v>25</v>
      </c>
      <c r="R312" s="1" t="s">
        <v>25</v>
      </c>
      <c r="S312" s="1">
        <v>29</v>
      </c>
      <c r="T312" s="1">
        <v>1</v>
      </c>
      <c r="U312" s="1">
        <v>4</v>
      </c>
      <c r="V312">
        <f t="shared" si="4"/>
        <v>16</v>
      </c>
    </row>
    <row r="313" spans="1:22" ht="13" x14ac:dyDescent="0.15">
      <c r="A313" s="4">
        <v>44774</v>
      </c>
      <c r="B313" s="5">
        <v>0.74442129629629628</v>
      </c>
      <c r="C313" s="1">
        <v>1393</v>
      </c>
      <c r="D313" s="1">
        <v>13002561</v>
      </c>
      <c r="E313" s="1">
        <v>13</v>
      </c>
      <c r="F313" s="1">
        <v>22589</v>
      </c>
      <c r="G313" s="1" t="s">
        <v>21</v>
      </c>
      <c r="H313" s="1">
        <v>18</v>
      </c>
      <c r="I313" s="1">
        <v>494512</v>
      </c>
      <c r="J313" s="1" t="s">
        <v>420</v>
      </c>
      <c r="K313" s="1" t="s">
        <v>45</v>
      </c>
      <c r="L313" s="1" t="s">
        <v>421</v>
      </c>
      <c r="M313" s="1">
        <v>1</v>
      </c>
      <c r="N313" s="2">
        <v>297.98</v>
      </c>
      <c r="O313" s="3">
        <v>403</v>
      </c>
      <c r="P313" s="1">
        <v>28</v>
      </c>
      <c r="Q313" s="1">
        <v>9</v>
      </c>
      <c r="R313" s="1">
        <v>200010021967</v>
      </c>
      <c r="S313" s="1">
        <v>29</v>
      </c>
      <c r="T313" s="1">
        <v>1</v>
      </c>
      <c r="U313" s="1">
        <v>3</v>
      </c>
      <c r="V313">
        <f t="shared" si="4"/>
        <v>403</v>
      </c>
    </row>
    <row r="314" spans="1:22" ht="13" x14ac:dyDescent="0.15">
      <c r="A314" s="4">
        <v>44774</v>
      </c>
      <c r="B314" s="5">
        <v>0.74442129629629628</v>
      </c>
      <c r="C314" s="1">
        <v>1393</v>
      </c>
      <c r="D314" s="1">
        <v>13002561</v>
      </c>
      <c r="E314" s="1">
        <v>13</v>
      </c>
      <c r="F314" s="1">
        <v>22589</v>
      </c>
      <c r="G314" s="1" t="s">
        <v>21</v>
      </c>
      <c r="H314" s="1">
        <v>18</v>
      </c>
      <c r="I314" s="1">
        <v>509419</v>
      </c>
      <c r="J314" s="1" t="s">
        <v>422</v>
      </c>
      <c r="K314" s="1" t="s">
        <v>29</v>
      </c>
      <c r="L314" s="1" t="s">
        <v>423</v>
      </c>
      <c r="M314" s="1">
        <v>1</v>
      </c>
      <c r="N314" s="2">
        <v>76.180000000000007</v>
      </c>
      <c r="O314" s="3">
        <v>109</v>
      </c>
      <c r="P314" s="1">
        <v>7</v>
      </c>
      <c r="Q314" s="1">
        <v>9</v>
      </c>
      <c r="R314" s="1">
        <v>200010021967</v>
      </c>
      <c r="S314" s="1">
        <v>29</v>
      </c>
      <c r="T314" s="1">
        <v>1</v>
      </c>
      <c r="U314" s="1">
        <v>1</v>
      </c>
      <c r="V314">
        <f t="shared" si="4"/>
        <v>109</v>
      </c>
    </row>
    <row r="315" spans="1:22" ht="13" x14ac:dyDescent="0.15">
      <c r="A315" s="4">
        <v>44774</v>
      </c>
      <c r="B315" s="5">
        <v>0.74442129629629628</v>
      </c>
      <c r="C315" s="1">
        <v>1393</v>
      </c>
      <c r="D315" s="1">
        <v>13002561</v>
      </c>
      <c r="E315" s="1">
        <v>13</v>
      </c>
      <c r="F315" s="1">
        <v>22589</v>
      </c>
      <c r="G315" s="1" t="s">
        <v>21</v>
      </c>
      <c r="H315" s="1">
        <v>18</v>
      </c>
      <c r="I315" s="1">
        <v>32969</v>
      </c>
      <c r="J315" s="1" t="s">
        <v>424</v>
      </c>
      <c r="K315" s="1" t="s">
        <v>64</v>
      </c>
      <c r="L315" s="1" t="s">
        <v>425</v>
      </c>
      <c r="M315" s="1">
        <v>0.2</v>
      </c>
      <c r="N315" s="2">
        <v>169.54</v>
      </c>
      <c r="O315" s="3">
        <v>204.36</v>
      </c>
      <c r="P315" s="1">
        <v>1.87</v>
      </c>
      <c r="Q315" s="1">
        <v>9</v>
      </c>
      <c r="R315" s="1">
        <v>200010021967</v>
      </c>
      <c r="S315" s="1">
        <v>29</v>
      </c>
      <c r="T315" s="1">
        <v>1</v>
      </c>
      <c r="U315" s="1">
        <v>2</v>
      </c>
      <c r="V315">
        <f t="shared" si="4"/>
        <v>40.872000000000007</v>
      </c>
    </row>
    <row r="316" spans="1:22" ht="13" x14ac:dyDescent="0.15">
      <c r="A316" s="4">
        <v>44774</v>
      </c>
      <c r="B316" s="5">
        <v>0.7457407407407407</v>
      </c>
      <c r="C316" s="1">
        <v>1394</v>
      </c>
      <c r="D316" s="1">
        <v>13002561</v>
      </c>
      <c r="E316" s="1">
        <v>13</v>
      </c>
      <c r="F316" s="1">
        <v>22589</v>
      </c>
      <c r="G316" s="1" t="s">
        <v>21</v>
      </c>
      <c r="H316" s="1">
        <v>18</v>
      </c>
      <c r="I316" s="1">
        <v>127007</v>
      </c>
      <c r="J316" s="1" t="s">
        <v>426</v>
      </c>
      <c r="K316" s="1" t="s">
        <v>51</v>
      </c>
      <c r="L316" s="1" t="s">
        <v>80</v>
      </c>
      <c r="M316" s="1">
        <v>1</v>
      </c>
      <c r="N316" s="2">
        <v>125.44</v>
      </c>
      <c r="O316" s="3">
        <v>195</v>
      </c>
      <c r="P316" s="1">
        <v>0</v>
      </c>
      <c r="Q316" s="1" t="s">
        <v>25</v>
      </c>
      <c r="R316" s="1" t="s">
        <v>25</v>
      </c>
      <c r="S316" s="1">
        <v>29</v>
      </c>
      <c r="T316" s="1">
        <v>1</v>
      </c>
      <c r="U316" s="1">
        <v>2</v>
      </c>
      <c r="V316">
        <f t="shared" si="4"/>
        <v>195</v>
      </c>
    </row>
    <row r="317" spans="1:22" ht="13" x14ac:dyDescent="0.15">
      <c r="A317" s="4">
        <v>44774</v>
      </c>
      <c r="B317" s="5">
        <v>0.76192129629629635</v>
      </c>
      <c r="C317" s="1">
        <v>1395</v>
      </c>
      <c r="D317" s="1">
        <v>13002561</v>
      </c>
      <c r="E317" s="1">
        <v>13</v>
      </c>
      <c r="F317" s="1">
        <v>22589</v>
      </c>
      <c r="G317" s="1" t="s">
        <v>21</v>
      </c>
      <c r="H317" s="1">
        <v>15</v>
      </c>
      <c r="I317" s="1">
        <v>6678</v>
      </c>
      <c r="J317" s="1" t="s">
        <v>427</v>
      </c>
      <c r="K317" s="1" t="s">
        <v>51</v>
      </c>
      <c r="L317" s="1" t="s">
        <v>195</v>
      </c>
      <c r="M317" s="1">
        <v>1</v>
      </c>
      <c r="N317" s="2">
        <v>458.63</v>
      </c>
      <c r="O317" s="3">
        <v>588</v>
      </c>
      <c r="P317" s="1">
        <v>41</v>
      </c>
      <c r="Q317" s="1">
        <v>9</v>
      </c>
      <c r="R317" s="1">
        <v>200010020276</v>
      </c>
      <c r="S317" s="1">
        <v>29</v>
      </c>
      <c r="T317" s="1">
        <v>1</v>
      </c>
      <c r="U317" s="1">
        <v>3</v>
      </c>
      <c r="V317">
        <f t="shared" si="4"/>
        <v>588</v>
      </c>
    </row>
    <row r="318" spans="1:22" ht="13" x14ac:dyDescent="0.15">
      <c r="A318" s="4">
        <v>44774</v>
      </c>
      <c r="B318" s="5">
        <v>0.76192129629629635</v>
      </c>
      <c r="C318" s="1">
        <v>1395</v>
      </c>
      <c r="D318" s="1">
        <v>13002561</v>
      </c>
      <c r="E318" s="1">
        <v>13</v>
      </c>
      <c r="F318" s="1">
        <v>22589</v>
      </c>
      <c r="G318" s="1" t="s">
        <v>21</v>
      </c>
      <c r="H318" s="1">
        <v>15</v>
      </c>
      <c r="I318" s="1">
        <v>375178</v>
      </c>
      <c r="J318" s="1" t="s">
        <v>428</v>
      </c>
      <c r="K318" s="1" t="s">
        <v>34</v>
      </c>
      <c r="L318" s="1" t="s">
        <v>429</v>
      </c>
      <c r="M318" s="1">
        <v>1</v>
      </c>
      <c r="N318" s="2">
        <v>1478.37</v>
      </c>
      <c r="O318" s="3">
        <v>1848</v>
      </c>
      <c r="P318" s="1">
        <v>129</v>
      </c>
      <c r="Q318" s="1">
        <v>9</v>
      </c>
      <c r="R318" s="1">
        <v>200010020276</v>
      </c>
      <c r="S318" s="1">
        <v>29</v>
      </c>
      <c r="T318" s="1">
        <v>1</v>
      </c>
      <c r="U318" s="1">
        <v>1</v>
      </c>
      <c r="V318">
        <f t="shared" si="4"/>
        <v>1848</v>
      </c>
    </row>
    <row r="319" spans="1:22" ht="13" x14ac:dyDescent="0.15">
      <c r="A319" s="4">
        <v>44774</v>
      </c>
      <c r="B319" s="5">
        <v>0.76192129629629635</v>
      </c>
      <c r="C319" s="1">
        <v>1395</v>
      </c>
      <c r="D319" s="1">
        <v>13002561</v>
      </c>
      <c r="E319" s="1">
        <v>13</v>
      </c>
      <c r="F319" s="1">
        <v>22589</v>
      </c>
      <c r="G319" s="1" t="s">
        <v>21</v>
      </c>
      <c r="H319" s="1">
        <v>15</v>
      </c>
      <c r="I319" s="1">
        <v>375178</v>
      </c>
      <c r="J319" s="1" t="s">
        <v>428</v>
      </c>
      <c r="K319" s="1" t="s">
        <v>34</v>
      </c>
      <c r="L319" s="1" t="s">
        <v>429</v>
      </c>
      <c r="M319" s="1">
        <v>1</v>
      </c>
      <c r="N319" s="2">
        <v>1478.56</v>
      </c>
      <c r="O319" s="3">
        <v>1849</v>
      </c>
      <c r="P319" s="1">
        <v>129</v>
      </c>
      <c r="Q319" s="1">
        <v>9</v>
      </c>
      <c r="R319" s="1">
        <v>200010020276</v>
      </c>
      <c r="S319" s="1">
        <v>29</v>
      </c>
      <c r="T319" s="1">
        <v>1</v>
      </c>
      <c r="U319" s="1">
        <v>2</v>
      </c>
      <c r="V319">
        <f t="shared" si="4"/>
        <v>1849</v>
      </c>
    </row>
    <row r="320" spans="1:22" ht="13" x14ac:dyDescent="0.15">
      <c r="A320" s="4">
        <v>44774</v>
      </c>
      <c r="B320" s="5">
        <v>0.76312500000000005</v>
      </c>
      <c r="C320" s="1">
        <v>1396</v>
      </c>
      <c r="D320" s="1">
        <v>13002561</v>
      </c>
      <c r="E320" s="1">
        <v>13</v>
      </c>
      <c r="F320" s="1">
        <v>22589</v>
      </c>
      <c r="G320" s="1" t="s">
        <v>21</v>
      </c>
      <c r="H320" s="1">
        <v>15</v>
      </c>
      <c r="I320" s="1">
        <v>120285</v>
      </c>
      <c r="J320" s="1" t="s">
        <v>430</v>
      </c>
      <c r="K320" s="1" t="s">
        <v>51</v>
      </c>
      <c r="L320" s="1" t="s">
        <v>431</v>
      </c>
      <c r="M320" s="1">
        <v>1</v>
      </c>
      <c r="N320" s="2">
        <v>467.69</v>
      </c>
      <c r="O320" s="3">
        <v>585</v>
      </c>
      <c r="P320" s="1">
        <v>0</v>
      </c>
      <c r="Q320" s="1" t="s">
        <v>25</v>
      </c>
      <c r="R320" s="1" t="s">
        <v>25</v>
      </c>
      <c r="S320" s="1">
        <v>29</v>
      </c>
      <c r="T320" s="1">
        <v>1</v>
      </c>
      <c r="U320" s="1">
        <v>1</v>
      </c>
      <c r="V320">
        <f t="shared" si="4"/>
        <v>585</v>
      </c>
    </row>
    <row r="321" spans="1:22" ht="13" x14ac:dyDescent="0.15">
      <c r="A321" s="4">
        <v>44774</v>
      </c>
      <c r="B321" s="5">
        <v>0.76443287037037033</v>
      </c>
      <c r="C321" s="1">
        <v>1397</v>
      </c>
      <c r="D321" s="1">
        <v>13002561</v>
      </c>
      <c r="E321" s="1">
        <v>13</v>
      </c>
      <c r="F321" s="1">
        <v>22589</v>
      </c>
      <c r="G321" s="1" t="s">
        <v>21</v>
      </c>
      <c r="H321" s="1">
        <v>15</v>
      </c>
      <c r="I321" s="1">
        <v>10895</v>
      </c>
      <c r="J321" s="1" t="s">
        <v>432</v>
      </c>
      <c r="K321" s="1" t="s">
        <v>29</v>
      </c>
      <c r="L321" s="1" t="s">
        <v>220</v>
      </c>
      <c r="M321" s="1">
        <v>1</v>
      </c>
      <c r="N321" s="2">
        <v>44.03</v>
      </c>
      <c r="O321" s="3">
        <v>56.1</v>
      </c>
      <c r="P321" s="1">
        <v>2.1</v>
      </c>
      <c r="Q321" s="1">
        <v>9</v>
      </c>
      <c r="R321" s="1">
        <v>200010016460</v>
      </c>
      <c r="S321" s="1">
        <v>29</v>
      </c>
      <c r="T321" s="1">
        <v>1</v>
      </c>
      <c r="U321" s="1">
        <v>1</v>
      </c>
      <c r="V321">
        <f t="shared" si="4"/>
        <v>56.1</v>
      </c>
    </row>
    <row r="322" spans="1:22" ht="13" x14ac:dyDescent="0.15">
      <c r="A322" s="4">
        <v>44774</v>
      </c>
      <c r="B322" s="5">
        <v>0.76443287037037033</v>
      </c>
      <c r="C322" s="1">
        <v>1397</v>
      </c>
      <c r="D322" s="1">
        <v>13002561</v>
      </c>
      <c r="E322" s="1">
        <v>13</v>
      </c>
      <c r="F322" s="1">
        <v>22589</v>
      </c>
      <c r="G322" s="1" t="s">
        <v>21</v>
      </c>
      <c r="H322" s="1">
        <v>15</v>
      </c>
      <c r="I322" s="1">
        <v>354089</v>
      </c>
      <c r="J322" s="1" t="s">
        <v>369</v>
      </c>
      <c r="K322" s="1" t="s">
        <v>23</v>
      </c>
      <c r="L322" s="1" t="s">
        <v>76</v>
      </c>
      <c r="M322" s="1">
        <v>1</v>
      </c>
      <c r="N322" s="2">
        <v>39.47</v>
      </c>
      <c r="O322" s="3">
        <v>60</v>
      </c>
      <c r="P322" s="1">
        <v>4</v>
      </c>
      <c r="Q322" s="1">
        <v>9</v>
      </c>
      <c r="R322" s="1">
        <v>200010016460</v>
      </c>
      <c r="S322" s="1">
        <v>29</v>
      </c>
      <c r="T322" s="1">
        <v>1</v>
      </c>
      <c r="U322" s="1">
        <v>2</v>
      </c>
      <c r="V322">
        <f t="shared" si="4"/>
        <v>60</v>
      </c>
    </row>
    <row r="323" spans="1:22" ht="13" x14ac:dyDescent="0.15">
      <c r="A323" s="4">
        <v>44774</v>
      </c>
      <c r="B323" s="5">
        <v>0.7713888888888889</v>
      </c>
      <c r="C323" s="1">
        <v>1398</v>
      </c>
      <c r="D323" s="1">
        <v>13002561</v>
      </c>
      <c r="E323" s="1">
        <v>13</v>
      </c>
      <c r="F323" s="1">
        <v>22589</v>
      </c>
      <c r="G323" s="1" t="s">
        <v>21</v>
      </c>
      <c r="H323" s="1">
        <v>18</v>
      </c>
      <c r="I323" s="1">
        <v>184993</v>
      </c>
      <c r="J323" s="1" t="s">
        <v>433</v>
      </c>
      <c r="K323" s="1" t="s">
        <v>110</v>
      </c>
      <c r="L323" s="1" t="s">
        <v>159</v>
      </c>
      <c r="M323" s="1">
        <v>1</v>
      </c>
      <c r="N323" s="2">
        <v>197.45</v>
      </c>
      <c r="O323" s="3">
        <v>235</v>
      </c>
      <c r="P323" s="1">
        <v>11</v>
      </c>
      <c r="Q323" s="1">
        <v>9</v>
      </c>
      <c r="R323" s="1">
        <v>200010019161</v>
      </c>
      <c r="S323" s="1">
        <v>29</v>
      </c>
      <c r="T323" s="1">
        <v>1</v>
      </c>
      <c r="U323" s="1">
        <v>1</v>
      </c>
      <c r="V323">
        <f t="shared" ref="V323:V386" si="5">O323*M323</f>
        <v>235</v>
      </c>
    </row>
    <row r="324" spans="1:22" ht="13" x14ac:dyDescent="0.15">
      <c r="A324" s="4">
        <v>44774</v>
      </c>
      <c r="B324" s="5">
        <v>0.78233796296296299</v>
      </c>
      <c r="C324" s="1">
        <v>1402</v>
      </c>
      <c r="D324" s="1">
        <v>13002561</v>
      </c>
      <c r="E324" s="1">
        <v>13</v>
      </c>
      <c r="F324" s="1">
        <v>22589</v>
      </c>
      <c r="G324" s="1" t="s">
        <v>21</v>
      </c>
      <c r="H324" s="1">
        <v>18</v>
      </c>
      <c r="I324" s="1">
        <v>184993</v>
      </c>
      <c r="J324" s="1" t="s">
        <v>433</v>
      </c>
      <c r="K324" s="1" t="s">
        <v>110</v>
      </c>
      <c r="L324" s="1" t="s">
        <v>159</v>
      </c>
      <c r="M324" s="1">
        <v>1</v>
      </c>
      <c r="N324" s="2">
        <v>197.45</v>
      </c>
      <c r="O324" s="3">
        <v>235</v>
      </c>
      <c r="P324" s="1">
        <v>11</v>
      </c>
      <c r="Q324" s="1">
        <v>9</v>
      </c>
      <c r="R324" s="1">
        <v>200010012073</v>
      </c>
      <c r="S324" s="1">
        <v>29</v>
      </c>
      <c r="T324" s="1">
        <v>1</v>
      </c>
      <c r="U324" s="1">
        <v>4</v>
      </c>
      <c r="V324">
        <f t="shared" si="5"/>
        <v>235</v>
      </c>
    </row>
    <row r="325" spans="1:22" ht="13" x14ac:dyDescent="0.15">
      <c r="A325" s="4">
        <v>44774</v>
      </c>
      <c r="B325" s="5">
        <v>0.77285879629629628</v>
      </c>
      <c r="C325" s="1">
        <v>1399</v>
      </c>
      <c r="D325" s="1">
        <v>13002561</v>
      </c>
      <c r="E325" s="1">
        <v>13</v>
      </c>
      <c r="F325" s="1">
        <v>22589</v>
      </c>
      <c r="G325" s="1" t="s">
        <v>21</v>
      </c>
      <c r="H325" s="1">
        <v>18</v>
      </c>
      <c r="I325" s="1">
        <v>3970</v>
      </c>
      <c r="J325" s="1" t="s">
        <v>434</v>
      </c>
      <c r="K325" s="1" t="s">
        <v>117</v>
      </c>
      <c r="L325" s="1" t="s">
        <v>118</v>
      </c>
      <c r="M325" s="1">
        <v>1</v>
      </c>
      <c r="N325" s="2">
        <v>120.94</v>
      </c>
      <c r="O325" s="3">
        <v>166</v>
      </c>
      <c r="P325" s="1">
        <v>11</v>
      </c>
      <c r="Q325" s="1">
        <v>9</v>
      </c>
      <c r="R325" s="1">
        <v>200010012028</v>
      </c>
      <c r="S325" s="1">
        <v>29</v>
      </c>
      <c r="T325" s="1">
        <v>1</v>
      </c>
      <c r="U325" s="1">
        <v>2</v>
      </c>
      <c r="V325">
        <f t="shared" si="5"/>
        <v>166</v>
      </c>
    </row>
    <row r="326" spans="1:22" ht="13" x14ac:dyDescent="0.15">
      <c r="A326" s="4">
        <v>44774</v>
      </c>
      <c r="B326" s="5">
        <v>0.77285879629629628</v>
      </c>
      <c r="C326" s="1">
        <v>1399</v>
      </c>
      <c r="D326" s="1">
        <v>13002561</v>
      </c>
      <c r="E326" s="1">
        <v>13</v>
      </c>
      <c r="F326" s="1">
        <v>22589</v>
      </c>
      <c r="G326" s="1" t="s">
        <v>21</v>
      </c>
      <c r="H326" s="1">
        <v>18</v>
      </c>
      <c r="I326" s="1">
        <v>3970</v>
      </c>
      <c r="J326" s="1" t="s">
        <v>434</v>
      </c>
      <c r="K326" s="1" t="s">
        <v>117</v>
      </c>
      <c r="L326" s="1" t="s">
        <v>118</v>
      </c>
      <c r="M326" s="1">
        <v>1</v>
      </c>
      <c r="N326" s="2">
        <v>120.94</v>
      </c>
      <c r="O326" s="3">
        <v>166</v>
      </c>
      <c r="P326" s="1">
        <v>11</v>
      </c>
      <c r="Q326" s="1">
        <v>9</v>
      </c>
      <c r="R326" s="1">
        <v>200010012028</v>
      </c>
      <c r="S326" s="1">
        <v>29</v>
      </c>
      <c r="T326" s="1">
        <v>1</v>
      </c>
      <c r="U326" s="1">
        <v>3</v>
      </c>
      <c r="V326">
        <f t="shared" si="5"/>
        <v>166</v>
      </c>
    </row>
    <row r="327" spans="1:22" ht="13" x14ac:dyDescent="0.15">
      <c r="A327" s="4">
        <v>44774</v>
      </c>
      <c r="B327" s="5">
        <v>0.77285879629629628</v>
      </c>
      <c r="C327" s="1">
        <v>1399</v>
      </c>
      <c r="D327" s="1">
        <v>13002561</v>
      </c>
      <c r="E327" s="1">
        <v>13</v>
      </c>
      <c r="F327" s="1">
        <v>22589</v>
      </c>
      <c r="G327" s="1" t="s">
        <v>21</v>
      </c>
      <c r="H327" s="1">
        <v>18</v>
      </c>
      <c r="I327" s="1">
        <v>3970</v>
      </c>
      <c r="J327" s="1" t="s">
        <v>434</v>
      </c>
      <c r="K327" s="1" t="s">
        <v>117</v>
      </c>
      <c r="L327" s="1" t="s">
        <v>118</v>
      </c>
      <c r="M327" s="1">
        <v>1</v>
      </c>
      <c r="N327" s="2">
        <v>120.94</v>
      </c>
      <c r="O327" s="3">
        <v>166</v>
      </c>
      <c r="P327" s="1">
        <v>11</v>
      </c>
      <c r="Q327" s="1">
        <v>9</v>
      </c>
      <c r="R327" s="1">
        <v>200010012028</v>
      </c>
      <c r="S327" s="1">
        <v>29</v>
      </c>
      <c r="T327" s="1">
        <v>1</v>
      </c>
      <c r="U327" s="1">
        <v>4</v>
      </c>
      <c r="V327">
        <f t="shared" si="5"/>
        <v>166</v>
      </c>
    </row>
    <row r="328" spans="1:22" ht="13" x14ac:dyDescent="0.15">
      <c r="A328" s="4">
        <v>44774</v>
      </c>
      <c r="B328" s="5">
        <v>0.77285879629629628</v>
      </c>
      <c r="C328" s="1">
        <v>1399</v>
      </c>
      <c r="D328" s="1">
        <v>13002561</v>
      </c>
      <c r="E328" s="1">
        <v>13</v>
      </c>
      <c r="F328" s="1">
        <v>22589</v>
      </c>
      <c r="G328" s="1" t="s">
        <v>21</v>
      </c>
      <c r="H328" s="1">
        <v>18</v>
      </c>
      <c r="I328" s="1">
        <v>100269</v>
      </c>
      <c r="J328" s="1" t="s">
        <v>435</v>
      </c>
      <c r="K328" s="1" t="s">
        <v>29</v>
      </c>
      <c r="L328" s="1" t="s">
        <v>436</v>
      </c>
      <c r="M328" s="1">
        <v>1</v>
      </c>
      <c r="N328" s="2">
        <v>726.99</v>
      </c>
      <c r="O328" s="3">
        <v>895</v>
      </c>
      <c r="P328" s="1">
        <v>62</v>
      </c>
      <c r="Q328" s="1">
        <v>9</v>
      </c>
      <c r="R328" s="1">
        <v>200010012028</v>
      </c>
      <c r="S328" s="1">
        <v>29</v>
      </c>
      <c r="T328" s="1">
        <v>1</v>
      </c>
      <c r="U328" s="1">
        <v>1</v>
      </c>
      <c r="V328">
        <f t="shared" si="5"/>
        <v>895</v>
      </c>
    </row>
    <row r="329" spans="1:22" ht="13" x14ac:dyDescent="0.15">
      <c r="A329" s="4">
        <v>44774</v>
      </c>
      <c r="B329" s="5">
        <v>0.77875000000000005</v>
      </c>
      <c r="C329" s="1">
        <v>1400</v>
      </c>
      <c r="D329" s="1">
        <v>13002561</v>
      </c>
      <c r="E329" s="1">
        <v>13</v>
      </c>
      <c r="F329" s="1">
        <v>22589</v>
      </c>
      <c r="G329" s="1" t="s">
        <v>21</v>
      </c>
      <c r="H329" s="1">
        <v>15</v>
      </c>
      <c r="I329" s="1">
        <v>328252</v>
      </c>
      <c r="J329" s="1" t="s">
        <v>437</v>
      </c>
      <c r="K329" s="1" t="s">
        <v>117</v>
      </c>
      <c r="L329" s="1" t="s">
        <v>438</v>
      </c>
      <c r="M329" s="1">
        <v>1</v>
      </c>
      <c r="N329" s="2">
        <v>37.270000000000003</v>
      </c>
      <c r="O329" s="3">
        <v>57</v>
      </c>
      <c r="P329" s="1">
        <v>3</v>
      </c>
      <c r="Q329" s="1">
        <v>9</v>
      </c>
      <c r="R329" s="1">
        <v>200010022584</v>
      </c>
      <c r="S329" s="1">
        <v>29</v>
      </c>
      <c r="T329" s="1">
        <v>1</v>
      </c>
      <c r="U329" s="1">
        <v>3</v>
      </c>
      <c r="V329">
        <f t="shared" si="5"/>
        <v>57</v>
      </c>
    </row>
    <row r="330" spans="1:22" ht="13" x14ac:dyDescent="0.15">
      <c r="A330" s="4">
        <v>44774</v>
      </c>
      <c r="B330" s="5">
        <v>0.77875000000000005</v>
      </c>
      <c r="C330" s="1">
        <v>1400</v>
      </c>
      <c r="D330" s="1">
        <v>13002561</v>
      </c>
      <c r="E330" s="1">
        <v>13</v>
      </c>
      <c r="F330" s="1">
        <v>22589</v>
      </c>
      <c r="G330" s="1" t="s">
        <v>21</v>
      </c>
      <c r="H330" s="1">
        <v>15</v>
      </c>
      <c r="I330" s="1">
        <v>328252</v>
      </c>
      <c r="J330" s="1" t="s">
        <v>437</v>
      </c>
      <c r="K330" s="1" t="s">
        <v>117</v>
      </c>
      <c r="L330" s="1" t="s">
        <v>438</v>
      </c>
      <c r="M330" s="1">
        <v>1</v>
      </c>
      <c r="N330" s="2">
        <v>37.270000000000003</v>
      </c>
      <c r="O330" s="3">
        <v>57</v>
      </c>
      <c r="P330" s="1">
        <v>3</v>
      </c>
      <c r="Q330" s="1">
        <v>9</v>
      </c>
      <c r="R330" s="1">
        <v>200010022584</v>
      </c>
      <c r="S330" s="1">
        <v>29</v>
      </c>
      <c r="T330" s="1">
        <v>1</v>
      </c>
      <c r="U330" s="1">
        <v>4</v>
      </c>
      <c r="V330">
        <f t="shared" si="5"/>
        <v>57</v>
      </c>
    </row>
    <row r="331" spans="1:22" ht="13" x14ac:dyDescent="0.15">
      <c r="A331" s="4">
        <v>44774</v>
      </c>
      <c r="B331" s="5">
        <v>0.77875000000000005</v>
      </c>
      <c r="C331" s="1">
        <v>1400</v>
      </c>
      <c r="D331" s="1">
        <v>13002561</v>
      </c>
      <c r="E331" s="1">
        <v>13</v>
      </c>
      <c r="F331" s="1">
        <v>22589</v>
      </c>
      <c r="G331" s="1" t="s">
        <v>21</v>
      </c>
      <c r="H331" s="1">
        <v>15</v>
      </c>
      <c r="I331" s="1">
        <v>555</v>
      </c>
      <c r="J331" s="1" t="s">
        <v>439</v>
      </c>
      <c r="K331" s="1" t="s">
        <v>29</v>
      </c>
      <c r="L331" s="1" t="s">
        <v>35</v>
      </c>
      <c r="M331" s="1">
        <v>1</v>
      </c>
      <c r="N331" s="2">
        <v>113.8</v>
      </c>
      <c r="O331" s="3">
        <v>137</v>
      </c>
      <c r="P331" s="1">
        <v>6</v>
      </c>
      <c r="Q331" s="1">
        <v>9</v>
      </c>
      <c r="R331" s="1">
        <v>200010022584</v>
      </c>
      <c r="S331" s="1">
        <v>29</v>
      </c>
      <c r="T331" s="1">
        <v>1</v>
      </c>
      <c r="U331" s="1">
        <v>1</v>
      </c>
      <c r="V331">
        <f t="shared" si="5"/>
        <v>137</v>
      </c>
    </row>
    <row r="332" spans="1:22" ht="13" x14ac:dyDescent="0.15">
      <c r="A332" s="4">
        <v>44774</v>
      </c>
      <c r="B332" s="5">
        <v>0.77875000000000005</v>
      </c>
      <c r="C332" s="1">
        <v>1400</v>
      </c>
      <c r="D332" s="1">
        <v>13002561</v>
      </c>
      <c r="E332" s="1">
        <v>13</v>
      </c>
      <c r="F332" s="1">
        <v>22589</v>
      </c>
      <c r="G332" s="1" t="s">
        <v>21</v>
      </c>
      <c r="H332" s="1">
        <v>15</v>
      </c>
      <c r="I332" s="1">
        <v>61476</v>
      </c>
      <c r="J332" s="1" t="s">
        <v>440</v>
      </c>
      <c r="K332" s="1" t="s">
        <v>29</v>
      </c>
      <c r="L332" s="1" t="s">
        <v>441</v>
      </c>
      <c r="M332" s="1">
        <v>1</v>
      </c>
      <c r="N332" s="2">
        <v>7.88</v>
      </c>
      <c r="O332" s="3">
        <v>14</v>
      </c>
      <c r="P332" s="1">
        <v>1</v>
      </c>
      <c r="Q332" s="1">
        <v>9</v>
      </c>
      <c r="R332" s="1">
        <v>200010022584</v>
      </c>
      <c r="S332" s="1">
        <v>29</v>
      </c>
      <c r="T332" s="1">
        <v>1</v>
      </c>
      <c r="U332" s="1">
        <v>2</v>
      </c>
      <c r="V332">
        <f t="shared" si="5"/>
        <v>14</v>
      </c>
    </row>
    <row r="333" spans="1:22" ht="13" x14ac:dyDescent="0.15">
      <c r="A333" s="4">
        <v>44774</v>
      </c>
      <c r="B333" s="5">
        <v>0.78034722222222219</v>
      </c>
      <c r="C333" s="1">
        <v>1401</v>
      </c>
      <c r="D333" s="1">
        <v>13002561</v>
      </c>
      <c r="E333" s="1">
        <v>13</v>
      </c>
      <c r="F333" s="1">
        <v>22589</v>
      </c>
      <c r="G333" s="1" t="s">
        <v>21</v>
      </c>
      <c r="H333" s="1">
        <v>15</v>
      </c>
      <c r="I333" s="1">
        <v>498325</v>
      </c>
      <c r="J333" s="1" t="s">
        <v>442</v>
      </c>
      <c r="K333" s="1" t="s">
        <v>51</v>
      </c>
      <c r="L333" s="1" t="s">
        <v>65</v>
      </c>
      <c r="M333" s="1">
        <v>1</v>
      </c>
      <c r="N333" s="2">
        <v>114.58</v>
      </c>
      <c r="O333" s="3">
        <v>157</v>
      </c>
      <c r="P333" s="1">
        <v>0</v>
      </c>
      <c r="Q333" s="1" t="s">
        <v>25</v>
      </c>
      <c r="R333" s="1" t="s">
        <v>25</v>
      </c>
      <c r="S333" s="1">
        <v>29</v>
      </c>
      <c r="T333" s="1">
        <v>1</v>
      </c>
      <c r="U333" s="1">
        <v>1</v>
      </c>
      <c r="V333">
        <f t="shared" si="5"/>
        <v>157</v>
      </c>
    </row>
    <row r="334" spans="1:22" ht="13" x14ac:dyDescent="0.15">
      <c r="A334" s="4">
        <v>44774</v>
      </c>
      <c r="B334" s="5">
        <v>0.78233796296296299</v>
      </c>
      <c r="C334" s="1">
        <v>1402</v>
      </c>
      <c r="D334" s="1">
        <v>13002561</v>
      </c>
      <c r="E334" s="1">
        <v>13</v>
      </c>
      <c r="F334" s="1">
        <v>22589</v>
      </c>
      <c r="G334" s="1" t="s">
        <v>21</v>
      </c>
      <c r="H334" s="1">
        <v>18</v>
      </c>
      <c r="I334" s="1">
        <v>338768</v>
      </c>
      <c r="J334" s="1" t="s">
        <v>443</v>
      </c>
      <c r="K334" s="1" t="s">
        <v>51</v>
      </c>
      <c r="L334" s="1" t="s">
        <v>37</v>
      </c>
      <c r="M334" s="1">
        <v>1</v>
      </c>
      <c r="N334" s="2">
        <v>88.21</v>
      </c>
      <c r="O334" s="3">
        <v>121</v>
      </c>
      <c r="P334" s="1">
        <v>8</v>
      </c>
      <c r="Q334" s="1">
        <v>9</v>
      </c>
      <c r="R334" s="1">
        <v>200010012073</v>
      </c>
      <c r="S334" s="1">
        <v>29</v>
      </c>
      <c r="T334" s="1">
        <v>1</v>
      </c>
      <c r="U334" s="1">
        <v>6</v>
      </c>
      <c r="V334">
        <f t="shared" si="5"/>
        <v>121</v>
      </c>
    </row>
    <row r="335" spans="1:22" ht="13" x14ac:dyDescent="0.15">
      <c r="A335" s="4">
        <v>44774</v>
      </c>
      <c r="B335" s="5">
        <v>0.78233796296296299</v>
      </c>
      <c r="C335" s="1">
        <v>1402</v>
      </c>
      <c r="D335" s="1">
        <v>13002561</v>
      </c>
      <c r="E335" s="1">
        <v>13</v>
      </c>
      <c r="F335" s="1">
        <v>22589</v>
      </c>
      <c r="G335" s="1" t="s">
        <v>21</v>
      </c>
      <c r="H335" s="1">
        <v>18</v>
      </c>
      <c r="I335" s="1">
        <v>148734</v>
      </c>
      <c r="J335" s="1" t="s">
        <v>444</v>
      </c>
      <c r="K335" s="1" t="s">
        <v>23</v>
      </c>
      <c r="L335" s="1" t="s">
        <v>159</v>
      </c>
      <c r="M335" s="1">
        <v>1</v>
      </c>
      <c r="N335" s="2">
        <v>141.9</v>
      </c>
      <c r="O335" s="3">
        <v>169</v>
      </c>
      <c r="P335" s="1">
        <v>8</v>
      </c>
      <c r="Q335" s="1">
        <v>9</v>
      </c>
      <c r="R335" s="1">
        <v>200010012073</v>
      </c>
      <c r="S335" s="1">
        <v>29</v>
      </c>
      <c r="T335" s="1">
        <v>1</v>
      </c>
      <c r="U335" s="1">
        <v>1</v>
      </c>
      <c r="V335">
        <f t="shared" si="5"/>
        <v>169</v>
      </c>
    </row>
    <row r="336" spans="1:22" ht="13" x14ac:dyDescent="0.15">
      <c r="A336" s="4">
        <v>44774</v>
      </c>
      <c r="B336" s="5">
        <v>0.78233796296296299</v>
      </c>
      <c r="C336" s="1">
        <v>1402</v>
      </c>
      <c r="D336" s="1">
        <v>13002561</v>
      </c>
      <c r="E336" s="1">
        <v>13</v>
      </c>
      <c r="F336" s="1">
        <v>22589</v>
      </c>
      <c r="G336" s="1" t="s">
        <v>21</v>
      </c>
      <c r="H336" s="1">
        <v>18</v>
      </c>
      <c r="I336" s="1">
        <v>187304</v>
      </c>
      <c r="J336" s="1" t="s">
        <v>445</v>
      </c>
      <c r="K336" s="1" t="s">
        <v>110</v>
      </c>
      <c r="L336" s="1" t="s">
        <v>159</v>
      </c>
      <c r="M336" s="1">
        <v>1</v>
      </c>
      <c r="N336" s="2">
        <v>152.46</v>
      </c>
      <c r="O336" s="3">
        <v>181</v>
      </c>
      <c r="P336" s="1">
        <v>9</v>
      </c>
      <c r="Q336" s="1">
        <v>9</v>
      </c>
      <c r="R336" s="1">
        <v>200010012073</v>
      </c>
      <c r="S336" s="1">
        <v>29</v>
      </c>
      <c r="T336" s="1">
        <v>1</v>
      </c>
      <c r="U336" s="1">
        <v>2</v>
      </c>
      <c r="V336">
        <f t="shared" si="5"/>
        <v>181</v>
      </c>
    </row>
    <row r="337" spans="1:22" ht="13" x14ac:dyDescent="0.15">
      <c r="A337" s="4">
        <v>44774</v>
      </c>
      <c r="B337" s="5">
        <v>0.78341435185185182</v>
      </c>
      <c r="C337" s="1">
        <v>1403</v>
      </c>
      <c r="D337" s="1">
        <v>13002561</v>
      </c>
      <c r="E337" s="1">
        <v>13</v>
      </c>
      <c r="F337" s="1">
        <v>22589</v>
      </c>
      <c r="G337" s="1" t="s">
        <v>21</v>
      </c>
      <c r="H337" s="1">
        <v>15</v>
      </c>
      <c r="I337" s="1">
        <v>346980</v>
      </c>
      <c r="J337" s="1" t="s">
        <v>446</v>
      </c>
      <c r="K337" s="1" t="s">
        <v>51</v>
      </c>
      <c r="L337" s="1" t="s">
        <v>447</v>
      </c>
      <c r="M337" s="1">
        <v>1</v>
      </c>
      <c r="N337" s="2">
        <v>39.75</v>
      </c>
      <c r="O337" s="3">
        <v>50</v>
      </c>
      <c r="P337" s="1">
        <v>2</v>
      </c>
      <c r="Q337" s="1">
        <v>9</v>
      </c>
      <c r="R337" s="1">
        <v>200010004835</v>
      </c>
      <c r="S337" s="1">
        <v>29</v>
      </c>
      <c r="T337" s="1">
        <v>1</v>
      </c>
      <c r="U337" s="1">
        <v>2</v>
      </c>
      <c r="V337">
        <f t="shared" si="5"/>
        <v>50</v>
      </c>
    </row>
    <row r="338" spans="1:22" ht="13" x14ac:dyDescent="0.15">
      <c r="A338" s="4">
        <v>44774</v>
      </c>
      <c r="B338" s="5">
        <v>0.78341435185185182</v>
      </c>
      <c r="C338" s="1">
        <v>1403</v>
      </c>
      <c r="D338" s="1">
        <v>13002561</v>
      </c>
      <c r="E338" s="1">
        <v>13</v>
      </c>
      <c r="F338" s="1">
        <v>22589</v>
      </c>
      <c r="G338" s="1" t="s">
        <v>21</v>
      </c>
      <c r="H338" s="1">
        <v>15</v>
      </c>
      <c r="I338" s="1">
        <v>393135</v>
      </c>
      <c r="J338" s="1" t="s">
        <v>448</v>
      </c>
      <c r="K338" s="1" t="s">
        <v>51</v>
      </c>
      <c r="L338" s="1" t="s">
        <v>449</v>
      </c>
      <c r="M338" s="1">
        <v>1</v>
      </c>
      <c r="N338" s="2">
        <v>211.4</v>
      </c>
      <c r="O338" s="3">
        <v>252</v>
      </c>
      <c r="P338" s="1">
        <v>12</v>
      </c>
      <c r="Q338" s="1">
        <v>9</v>
      </c>
      <c r="R338" s="1">
        <v>200010004835</v>
      </c>
      <c r="S338" s="1">
        <v>29</v>
      </c>
      <c r="T338" s="1">
        <v>1</v>
      </c>
      <c r="U338" s="1">
        <v>1</v>
      </c>
      <c r="V338">
        <f t="shared" si="5"/>
        <v>252</v>
      </c>
    </row>
    <row r="339" spans="1:22" ht="13" x14ac:dyDescent="0.15">
      <c r="A339" s="4">
        <v>44774</v>
      </c>
      <c r="B339" s="5">
        <v>0.78697916666666667</v>
      </c>
      <c r="C339" s="1">
        <v>1404</v>
      </c>
      <c r="D339" s="1">
        <v>13002561</v>
      </c>
      <c r="E339" s="1">
        <v>13</v>
      </c>
      <c r="F339" s="1">
        <v>22589</v>
      </c>
      <c r="G339" s="1" t="s">
        <v>21</v>
      </c>
      <c r="H339" s="1">
        <v>15</v>
      </c>
      <c r="I339" s="1">
        <v>439855</v>
      </c>
      <c r="J339" s="1" t="s">
        <v>450</v>
      </c>
      <c r="K339" s="1" t="s">
        <v>23</v>
      </c>
      <c r="L339" s="1" t="s">
        <v>37</v>
      </c>
      <c r="M339" s="1">
        <v>1</v>
      </c>
      <c r="N339" s="2">
        <v>484.71</v>
      </c>
      <c r="O339" s="3">
        <v>640</v>
      </c>
      <c r="P339" s="1">
        <v>44</v>
      </c>
      <c r="Q339" s="1">
        <v>9</v>
      </c>
      <c r="R339" s="1">
        <v>200010011838</v>
      </c>
      <c r="S339" s="1">
        <v>29</v>
      </c>
      <c r="T339" s="1">
        <v>1</v>
      </c>
      <c r="U339" s="1">
        <v>1</v>
      </c>
      <c r="V339">
        <f t="shared" si="5"/>
        <v>640</v>
      </c>
    </row>
    <row r="340" spans="1:22" ht="13" x14ac:dyDescent="0.15">
      <c r="A340" s="4">
        <v>44774</v>
      </c>
      <c r="B340" s="5">
        <v>0.79040509259259262</v>
      </c>
      <c r="C340" s="1">
        <v>1405</v>
      </c>
      <c r="D340" s="1">
        <v>13002561</v>
      </c>
      <c r="E340" s="1">
        <v>13</v>
      </c>
      <c r="F340" s="1">
        <v>22589</v>
      </c>
      <c r="G340" s="1" t="s">
        <v>21</v>
      </c>
      <c r="H340" s="1">
        <v>18</v>
      </c>
      <c r="I340" s="1">
        <v>81988</v>
      </c>
      <c r="J340" s="1" t="s">
        <v>451</v>
      </c>
      <c r="K340" s="1" t="s">
        <v>61</v>
      </c>
      <c r="L340" s="1" t="s">
        <v>269</v>
      </c>
      <c r="M340" s="1">
        <v>10</v>
      </c>
      <c r="N340" s="2">
        <v>4.62</v>
      </c>
      <c r="O340" s="3">
        <v>8</v>
      </c>
      <c r="P340" s="1">
        <v>0</v>
      </c>
      <c r="Q340" s="1" t="s">
        <v>25</v>
      </c>
      <c r="R340" s="1" t="s">
        <v>25</v>
      </c>
      <c r="S340" s="1">
        <v>29</v>
      </c>
      <c r="T340" s="1">
        <v>1</v>
      </c>
      <c r="U340" s="1">
        <v>5</v>
      </c>
      <c r="V340">
        <f t="shared" si="5"/>
        <v>80</v>
      </c>
    </row>
    <row r="341" spans="1:22" ht="13" x14ac:dyDescent="0.15">
      <c r="A341" s="4">
        <v>44774</v>
      </c>
      <c r="B341" s="5">
        <v>0.79040509259259262</v>
      </c>
      <c r="C341" s="1">
        <v>1405</v>
      </c>
      <c r="D341" s="1">
        <v>13002561</v>
      </c>
      <c r="E341" s="1">
        <v>13</v>
      </c>
      <c r="F341" s="1">
        <v>22589</v>
      </c>
      <c r="G341" s="1" t="s">
        <v>21</v>
      </c>
      <c r="H341" s="1">
        <v>18</v>
      </c>
      <c r="I341" s="1">
        <v>362224</v>
      </c>
      <c r="J341" s="1" t="s">
        <v>452</v>
      </c>
      <c r="K341" s="1" t="s">
        <v>117</v>
      </c>
      <c r="L341" s="1" t="s">
        <v>453</v>
      </c>
      <c r="M341" s="1">
        <v>1</v>
      </c>
      <c r="N341" s="2">
        <v>304.06</v>
      </c>
      <c r="O341" s="3">
        <v>402</v>
      </c>
      <c r="P341" s="1">
        <v>0</v>
      </c>
      <c r="Q341" s="1" t="s">
        <v>25</v>
      </c>
      <c r="R341" s="1" t="s">
        <v>25</v>
      </c>
      <c r="S341" s="1">
        <v>29</v>
      </c>
      <c r="T341" s="1">
        <v>1</v>
      </c>
      <c r="U341" s="1">
        <v>8</v>
      </c>
      <c r="V341">
        <f t="shared" si="5"/>
        <v>402</v>
      </c>
    </row>
    <row r="342" spans="1:22" ht="13" x14ac:dyDescent="0.15">
      <c r="A342" s="4">
        <v>44774</v>
      </c>
      <c r="B342" s="5">
        <v>0.79040509259259262</v>
      </c>
      <c r="C342" s="1">
        <v>1405</v>
      </c>
      <c r="D342" s="1">
        <v>13002561</v>
      </c>
      <c r="E342" s="1">
        <v>13</v>
      </c>
      <c r="F342" s="1">
        <v>22589</v>
      </c>
      <c r="G342" s="1" t="s">
        <v>21</v>
      </c>
      <c r="H342" s="1">
        <v>18</v>
      </c>
      <c r="I342" s="1">
        <v>80861</v>
      </c>
      <c r="J342" s="1" t="s">
        <v>454</v>
      </c>
      <c r="K342" s="1" t="s">
        <v>51</v>
      </c>
      <c r="L342" s="1" t="s">
        <v>269</v>
      </c>
      <c r="M342" s="1">
        <v>1</v>
      </c>
      <c r="N342" s="2">
        <v>58.96</v>
      </c>
      <c r="O342" s="3">
        <v>93</v>
      </c>
      <c r="P342" s="1">
        <v>0</v>
      </c>
      <c r="Q342" s="1" t="s">
        <v>25</v>
      </c>
      <c r="R342" s="1" t="s">
        <v>25</v>
      </c>
      <c r="S342" s="1">
        <v>29</v>
      </c>
      <c r="T342" s="1">
        <v>1</v>
      </c>
      <c r="U342" s="1">
        <v>3</v>
      </c>
      <c r="V342">
        <f t="shared" si="5"/>
        <v>93</v>
      </c>
    </row>
    <row r="343" spans="1:22" ht="13" x14ac:dyDescent="0.15">
      <c r="A343" s="4">
        <v>44774</v>
      </c>
      <c r="B343" s="5">
        <v>0.79040509259259262</v>
      </c>
      <c r="C343" s="1">
        <v>1405</v>
      </c>
      <c r="D343" s="1">
        <v>13002561</v>
      </c>
      <c r="E343" s="1">
        <v>13</v>
      </c>
      <c r="F343" s="1">
        <v>22589</v>
      </c>
      <c r="G343" s="1" t="s">
        <v>21</v>
      </c>
      <c r="H343" s="1">
        <v>18</v>
      </c>
      <c r="I343" s="1">
        <v>80861</v>
      </c>
      <c r="J343" s="1" t="s">
        <v>454</v>
      </c>
      <c r="K343" s="1" t="s">
        <v>51</v>
      </c>
      <c r="L343" s="1" t="s">
        <v>269</v>
      </c>
      <c r="M343" s="1">
        <v>1</v>
      </c>
      <c r="N343" s="2">
        <v>58.75</v>
      </c>
      <c r="O343" s="3">
        <v>93</v>
      </c>
      <c r="P343" s="1">
        <v>0</v>
      </c>
      <c r="Q343" s="1" t="s">
        <v>25</v>
      </c>
      <c r="R343" s="1" t="s">
        <v>25</v>
      </c>
      <c r="S343" s="1">
        <v>29</v>
      </c>
      <c r="T343" s="1">
        <v>1</v>
      </c>
      <c r="U343" s="1">
        <v>4</v>
      </c>
      <c r="V343">
        <f t="shared" si="5"/>
        <v>93</v>
      </c>
    </row>
    <row r="344" spans="1:22" ht="13" x14ac:dyDescent="0.15">
      <c r="A344" s="4">
        <v>44774</v>
      </c>
      <c r="B344" s="5">
        <v>0.79040509259259262</v>
      </c>
      <c r="C344" s="1">
        <v>1405</v>
      </c>
      <c r="D344" s="1">
        <v>13002561</v>
      </c>
      <c r="E344" s="1">
        <v>13</v>
      </c>
      <c r="F344" s="1">
        <v>22589</v>
      </c>
      <c r="G344" s="1" t="s">
        <v>21</v>
      </c>
      <c r="H344" s="1">
        <v>18</v>
      </c>
      <c r="I344" s="1">
        <v>83110</v>
      </c>
      <c r="J344" s="1" t="s">
        <v>455</v>
      </c>
      <c r="K344" s="1" t="s">
        <v>51</v>
      </c>
      <c r="L344" s="1" t="s">
        <v>456</v>
      </c>
      <c r="M344" s="1">
        <v>2</v>
      </c>
      <c r="N344" s="2">
        <v>85.88</v>
      </c>
      <c r="O344" s="3">
        <v>135</v>
      </c>
      <c r="P344" s="1">
        <v>0</v>
      </c>
      <c r="Q344" s="1" t="s">
        <v>25</v>
      </c>
      <c r="R344" s="1" t="s">
        <v>25</v>
      </c>
      <c r="S344" s="1">
        <v>29</v>
      </c>
      <c r="T344" s="1">
        <v>1</v>
      </c>
      <c r="U344" s="1">
        <v>1</v>
      </c>
      <c r="V344">
        <f t="shared" si="5"/>
        <v>270</v>
      </c>
    </row>
    <row r="345" spans="1:22" ht="13" x14ac:dyDescent="0.15">
      <c r="A345" s="4">
        <v>44774</v>
      </c>
      <c r="B345" s="5">
        <v>0.79040509259259262</v>
      </c>
      <c r="C345" s="1">
        <v>1405</v>
      </c>
      <c r="D345" s="1">
        <v>13002561</v>
      </c>
      <c r="E345" s="1">
        <v>13</v>
      </c>
      <c r="F345" s="1">
        <v>22589</v>
      </c>
      <c r="G345" s="1" t="s">
        <v>21</v>
      </c>
      <c r="H345" s="1">
        <v>18</v>
      </c>
      <c r="I345" s="1">
        <v>280592</v>
      </c>
      <c r="J345" s="1" t="s">
        <v>457</v>
      </c>
      <c r="K345" s="1" t="s">
        <v>51</v>
      </c>
      <c r="L345" s="1" t="s">
        <v>458</v>
      </c>
      <c r="M345" s="1">
        <v>1</v>
      </c>
      <c r="N345" s="2">
        <v>154.13</v>
      </c>
      <c r="O345" s="3">
        <v>239</v>
      </c>
      <c r="P345" s="1">
        <v>0</v>
      </c>
      <c r="Q345" s="1" t="s">
        <v>25</v>
      </c>
      <c r="R345" s="1" t="s">
        <v>25</v>
      </c>
      <c r="S345" s="1">
        <v>29</v>
      </c>
      <c r="T345" s="1">
        <v>1</v>
      </c>
      <c r="U345" s="1">
        <v>6</v>
      </c>
      <c r="V345">
        <f t="shared" si="5"/>
        <v>239</v>
      </c>
    </row>
    <row r="346" spans="1:22" ht="13" x14ac:dyDescent="0.15">
      <c r="A346" s="4">
        <v>44774</v>
      </c>
      <c r="B346" s="5">
        <v>0.79335648148148152</v>
      </c>
      <c r="C346" s="1">
        <v>1406</v>
      </c>
      <c r="D346" s="1">
        <v>13002561</v>
      </c>
      <c r="E346" s="1">
        <v>13</v>
      </c>
      <c r="F346" s="1">
        <v>22589</v>
      </c>
      <c r="G346" s="1" t="s">
        <v>21</v>
      </c>
      <c r="H346" s="1">
        <v>15</v>
      </c>
      <c r="I346" s="1">
        <v>418109</v>
      </c>
      <c r="J346" s="1" t="s">
        <v>459</v>
      </c>
      <c r="K346" s="1" t="s">
        <v>51</v>
      </c>
      <c r="L346" s="1" t="s">
        <v>76</v>
      </c>
      <c r="M346" s="1">
        <v>1</v>
      </c>
      <c r="N346" s="2">
        <v>39.26</v>
      </c>
      <c r="O346" s="3">
        <v>46</v>
      </c>
      <c r="P346" s="1">
        <v>3</v>
      </c>
      <c r="Q346" s="1">
        <v>9</v>
      </c>
      <c r="R346" s="1">
        <v>200010022528</v>
      </c>
      <c r="S346" s="1">
        <v>29</v>
      </c>
      <c r="T346" s="1">
        <v>1</v>
      </c>
      <c r="U346" s="1">
        <v>1</v>
      </c>
      <c r="V346">
        <f t="shared" si="5"/>
        <v>46</v>
      </c>
    </row>
    <row r="347" spans="1:22" ht="13" x14ac:dyDescent="0.15">
      <c r="A347" s="4">
        <v>44774</v>
      </c>
      <c r="B347" s="5">
        <v>0.79335648148148152</v>
      </c>
      <c r="C347" s="1">
        <v>1406</v>
      </c>
      <c r="D347" s="1">
        <v>13002561</v>
      </c>
      <c r="E347" s="1">
        <v>13</v>
      </c>
      <c r="F347" s="1">
        <v>22589</v>
      </c>
      <c r="G347" s="1" t="s">
        <v>21</v>
      </c>
      <c r="H347" s="1">
        <v>15</v>
      </c>
      <c r="I347" s="1">
        <v>120091</v>
      </c>
      <c r="J347" s="1" t="s">
        <v>460</v>
      </c>
      <c r="K347" s="1" t="s">
        <v>51</v>
      </c>
      <c r="L347" s="1" t="s">
        <v>65</v>
      </c>
      <c r="M347" s="1">
        <v>1</v>
      </c>
      <c r="N347" s="2">
        <v>34.020000000000003</v>
      </c>
      <c r="O347" s="3">
        <v>42</v>
      </c>
      <c r="P347" s="1">
        <v>2</v>
      </c>
      <c r="Q347" s="1">
        <v>9</v>
      </c>
      <c r="R347" s="1">
        <v>200010022528</v>
      </c>
      <c r="S347" s="1">
        <v>29</v>
      </c>
      <c r="T347" s="1">
        <v>1</v>
      </c>
      <c r="U347" s="1">
        <v>2</v>
      </c>
      <c r="V347">
        <f t="shared" si="5"/>
        <v>42</v>
      </c>
    </row>
    <row r="348" spans="1:22" ht="13" x14ac:dyDescent="0.15">
      <c r="A348" s="4">
        <v>44774</v>
      </c>
      <c r="B348" s="5">
        <v>0.79335648148148152</v>
      </c>
      <c r="C348" s="1">
        <v>1406</v>
      </c>
      <c r="D348" s="1">
        <v>13002561</v>
      </c>
      <c r="E348" s="1">
        <v>13</v>
      </c>
      <c r="F348" s="1">
        <v>22589</v>
      </c>
      <c r="G348" s="1" t="s">
        <v>21</v>
      </c>
      <c r="H348" s="1">
        <v>15</v>
      </c>
      <c r="I348" s="1">
        <v>546</v>
      </c>
      <c r="J348" s="1" t="s">
        <v>461</v>
      </c>
      <c r="K348" s="1" t="s">
        <v>117</v>
      </c>
      <c r="L348" s="1" t="s">
        <v>462</v>
      </c>
      <c r="M348" s="1">
        <v>1</v>
      </c>
      <c r="N348" s="2">
        <v>476.47</v>
      </c>
      <c r="O348" s="3">
        <v>629</v>
      </c>
      <c r="P348" s="1">
        <v>44</v>
      </c>
      <c r="Q348" s="1">
        <v>9</v>
      </c>
      <c r="R348" s="1">
        <v>200010022528</v>
      </c>
      <c r="S348" s="1">
        <v>29</v>
      </c>
      <c r="T348" s="1">
        <v>1</v>
      </c>
      <c r="U348" s="1">
        <v>4</v>
      </c>
      <c r="V348">
        <f t="shared" si="5"/>
        <v>629</v>
      </c>
    </row>
    <row r="349" spans="1:22" ht="13" x14ac:dyDescent="0.15">
      <c r="A349" s="4">
        <v>44774</v>
      </c>
      <c r="B349" s="5">
        <v>0.79335648148148152</v>
      </c>
      <c r="C349" s="1">
        <v>1406</v>
      </c>
      <c r="D349" s="1">
        <v>13002561</v>
      </c>
      <c r="E349" s="1">
        <v>13</v>
      </c>
      <c r="F349" s="1">
        <v>22589</v>
      </c>
      <c r="G349" s="1" t="s">
        <v>21</v>
      </c>
      <c r="H349" s="1">
        <v>15</v>
      </c>
      <c r="I349" s="1">
        <v>149562</v>
      </c>
      <c r="J349" s="1" t="s">
        <v>463</v>
      </c>
      <c r="K349" s="1" t="s">
        <v>23</v>
      </c>
      <c r="L349" s="1" t="s">
        <v>159</v>
      </c>
      <c r="M349" s="1">
        <v>1</v>
      </c>
      <c r="N349" s="2">
        <v>79.2</v>
      </c>
      <c r="O349" s="3">
        <v>97</v>
      </c>
      <c r="P349" s="1">
        <v>4</v>
      </c>
      <c r="Q349" s="1">
        <v>9</v>
      </c>
      <c r="R349" s="1">
        <v>200010022528</v>
      </c>
      <c r="S349" s="1">
        <v>29</v>
      </c>
      <c r="T349" s="1">
        <v>1</v>
      </c>
      <c r="U349" s="1">
        <v>3</v>
      </c>
      <c r="V349">
        <f t="shared" si="5"/>
        <v>97</v>
      </c>
    </row>
    <row r="350" spans="1:22" ht="13" x14ac:dyDescent="0.15">
      <c r="A350" s="4">
        <v>44774</v>
      </c>
      <c r="B350" s="5">
        <v>0.79517361111111107</v>
      </c>
      <c r="C350" s="1">
        <v>1407</v>
      </c>
      <c r="D350" s="1">
        <v>13002561</v>
      </c>
      <c r="E350" s="1">
        <v>13</v>
      </c>
      <c r="F350" s="1">
        <v>22589</v>
      </c>
      <c r="G350" s="1" t="s">
        <v>21</v>
      </c>
      <c r="H350" s="1">
        <v>18</v>
      </c>
      <c r="I350" s="1">
        <v>504585</v>
      </c>
      <c r="J350" s="1" t="s">
        <v>464</v>
      </c>
      <c r="K350" s="1" t="s">
        <v>51</v>
      </c>
      <c r="L350" s="1" t="s">
        <v>248</v>
      </c>
      <c r="M350" s="1">
        <v>1</v>
      </c>
      <c r="N350" s="2">
        <v>247.7</v>
      </c>
      <c r="O350" s="3">
        <v>299</v>
      </c>
      <c r="P350" s="1">
        <v>14</v>
      </c>
      <c r="Q350" s="1">
        <v>9</v>
      </c>
      <c r="R350" s="1">
        <v>200010020276</v>
      </c>
      <c r="S350" s="1">
        <v>29</v>
      </c>
      <c r="T350" s="1">
        <v>1</v>
      </c>
      <c r="U350" s="1">
        <v>1</v>
      </c>
      <c r="V350">
        <f t="shared" si="5"/>
        <v>299</v>
      </c>
    </row>
    <row r="351" spans="1:22" ht="13" x14ac:dyDescent="0.15">
      <c r="A351" s="4">
        <v>44774</v>
      </c>
      <c r="B351" s="5">
        <v>0.81342592592592589</v>
      </c>
      <c r="C351" s="1">
        <v>1408</v>
      </c>
      <c r="D351" s="1">
        <v>13002561</v>
      </c>
      <c r="E351" s="1">
        <v>13</v>
      </c>
      <c r="F351" s="1">
        <v>22589</v>
      </c>
      <c r="G351" s="1" t="s">
        <v>21</v>
      </c>
      <c r="H351" s="1">
        <v>18</v>
      </c>
      <c r="I351" s="1">
        <v>5939</v>
      </c>
      <c r="J351" s="1" t="s">
        <v>465</v>
      </c>
      <c r="K351" s="1" t="s">
        <v>466</v>
      </c>
      <c r="L351" s="1" t="s">
        <v>175</v>
      </c>
      <c r="M351" s="1">
        <v>1</v>
      </c>
      <c r="N351" s="2">
        <v>1201.31</v>
      </c>
      <c r="O351" s="3">
        <v>1258</v>
      </c>
      <c r="P351" s="1">
        <v>0</v>
      </c>
      <c r="Q351" s="1" t="s">
        <v>25</v>
      </c>
      <c r="R351" s="1" t="s">
        <v>25</v>
      </c>
      <c r="S351" s="1">
        <v>29</v>
      </c>
      <c r="T351" s="1">
        <v>2</v>
      </c>
      <c r="U351" s="1">
        <v>1</v>
      </c>
      <c r="V351">
        <f t="shared" si="5"/>
        <v>1258</v>
      </c>
    </row>
    <row r="352" spans="1:22" ht="13" x14ac:dyDescent="0.15">
      <c r="A352" s="4">
        <v>44774</v>
      </c>
      <c r="B352" s="5">
        <v>0.81616898148148154</v>
      </c>
      <c r="C352" s="1">
        <v>1409</v>
      </c>
      <c r="D352" s="1">
        <v>13002561</v>
      </c>
      <c r="E352" s="1">
        <v>13</v>
      </c>
      <c r="F352" s="1">
        <v>22589</v>
      </c>
      <c r="G352" s="1" t="s">
        <v>21</v>
      </c>
      <c r="H352" s="1">
        <v>18</v>
      </c>
      <c r="I352" s="1">
        <v>21022</v>
      </c>
      <c r="J352" s="1" t="s">
        <v>467</v>
      </c>
      <c r="K352" s="1" t="s">
        <v>61</v>
      </c>
      <c r="L352" s="1" t="s">
        <v>175</v>
      </c>
      <c r="M352" s="1">
        <v>1</v>
      </c>
      <c r="N352" s="2">
        <v>316.14</v>
      </c>
      <c r="O352" s="3">
        <v>418</v>
      </c>
      <c r="P352" s="1">
        <v>39.35</v>
      </c>
      <c r="Q352" s="1">
        <v>925</v>
      </c>
      <c r="R352" s="1">
        <v>200000000492</v>
      </c>
      <c r="S352" s="1">
        <v>29</v>
      </c>
      <c r="T352" s="1">
        <v>1</v>
      </c>
      <c r="U352" s="1">
        <v>1</v>
      </c>
      <c r="V352">
        <f t="shared" si="5"/>
        <v>418</v>
      </c>
    </row>
    <row r="353" spans="1:22" ht="13" x14ac:dyDescent="0.15">
      <c r="A353" s="4">
        <v>44774</v>
      </c>
      <c r="B353" s="5">
        <v>0.81616898148148154</v>
      </c>
      <c r="C353" s="1">
        <v>1409</v>
      </c>
      <c r="D353" s="1">
        <v>13002561</v>
      </c>
      <c r="E353" s="1">
        <v>13</v>
      </c>
      <c r="F353" s="1">
        <v>22589</v>
      </c>
      <c r="G353" s="1" t="s">
        <v>21</v>
      </c>
      <c r="H353" s="1">
        <v>18</v>
      </c>
      <c r="I353" s="1">
        <v>6402</v>
      </c>
      <c r="J353" s="1" t="s">
        <v>468</v>
      </c>
      <c r="K353" s="1" t="s">
        <v>45</v>
      </c>
      <c r="L353" s="1" t="s">
        <v>76</v>
      </c>
      <c r="M353" s="1">
        <v>1</v>
      </c>
      <c r="N353" s="2">
        <v>18.18</v>
      </c>
      <c r="O353" s="3">
        <v>30</v>
      </c>
      <c r="P353" s="1">
        <v>2.83</v>
      </c>
      <c r="Q353" s="1">
        <v>925</v>
      </c>
      <c r="R353" s="1">
        <v>200000000492</v>
      </c>
      <c r="S353" s="1">
        <v>29</v>
      </c>
      <c r="T353" s="1">
        <v>1</v>
      </c>
      <c r="U353" s="1">
        <v>2</v>
      </c>
      <c r="V353">
        <f t="shared" si="5"/>
        <v>30</v>
      </c>
    </row>
    <row r="354" spans="1:22" ht="13" x14ac:dyDescent="0.15">
      <c r="A354" s="4">
        <v>44774</v>
      </c>
      <c r="B354" s="5">
        <v>0.81616898148148154</v>
      </c>
      <c r="C354" s="1">
        <v>1409</v>
      </c>
      <c r="D354" s="1">
        <v>13002561</v>
      </c>
      <c r="E354" s="1">
        <v>13</v>
      </c>
      <c r="F354" s="1">
        <v>22589</v>
      </c>
      <c r="G354" s="1" t="s">
        <v>21</v>
      </c>
      <c r="H354" s="1">
        <v>18</v>
      </c>
      <c r="I354" s="1">
        <v>6402</v>
      </c>
      <c r="J354" s="1" t="s">
        <v>468</v>
      </c>
      <c r="K354" s="1" t="s">
        <v>45</v>
      </c>
      <c r="L354" s="1" t="s">
        <v>76</v>
      </c>
      <c r="M354" s="1">
        <v>1</v>
      </c>
      <c r="N354" s="2">
        <v>18.18</v>
      </c>
      <c r="O354" s="3">
        <v>30</v>
      </c>
      <c r="P354" s="1">
        <v>2.82</v>
      </c>
      <c r="Q354" s="1">
        <v>925</v>
      </c>
      <c r="R354" s="1">
        <v>200000000492</v>
      </c>
      <c r="S354" s="1">
        <v>29</v>
      </c>
      <c r="T354" s="1">
        <v>1</v>
      </c>
      <c r="U354" s="1">
        <v>3</v>
      </c>
      <c r="V354">
        <f t="shared" si="5"/>
        <v>30</v>
      </c>
    </row>
    <row r="355" spans="1:22" ht="13" x14ac:dyDescent="0.15">
      <c r="A355" s="4">
        <v>44774</v>
      </c>
      <c r="B355" s="5">
        <v>0.81680555555555556</v>
      </c>
      <c r="C355" s="1">
        <v>1410</v>
      </c>
      <c r="D355" s="1">
        <v>13002561</v>
      </c>
      <c r="E355" s="1">
        <v>13</v>
      </c>
      <c r="F355" s="1">
        <v>22589</v>
      </c>
      <c r="G355" s="1" t="s">
        <v>21</v>
      </c>
      <c r="H355" s="1">
        <v>18</v>
      </c>
      <c r="I355" s="1">
        <v>132492</v>
      </c>
      <c r="J355" s="1" t="s">
        <v>469</v>
      </c>
      <c r="K355" s="1" t="s">
        <v>64</v>
      </c>
      <c r="L355" s="1" t="s">
        <v>470</v>
      </c>
      <c r="M355" s="1">
        <v>1</v>
      </c>
      <c r="N355" s="2">
        <v>18</v>
      </c>
      <c r="O355" s="3">
        <v>30</v>
      </c>
      <c r="P355" s="1">
        <v>3</v>
      </c>
      <c r="Q355" s="1">
        <v>9</v>
      </c>
      <c r="R355" s="1">
        <v>200010015192</v>
      </c>
      <c r="S355" s="1">
        <v>29</v>
      </c>
      <c r="T355" s="1">
        <v>1</v>
      </c>
      <c r="U355" s="1">
        <v>1</v>
      </c>
      <c r="V355">
        <f t="shared" si="5"/>
        <v>30</v>
      </c>
    </row>
    <row r="356" spans="1:22" ht="13" x14ac:dyDescent="0.15">
      <c r="A356" s="4">
        <v>44774</v>
      </c>
      <c r="B356" s="5">
        <v>0.81778935185185186</v>
      </c>
      <c r="C356" s="1">
        <v>1411</v>
      </c>
      <c r="D356" s="1">
        <v>13002561</v>
      </c>
      <c r="E356" s="1">
        <v>13</v>
      </c>
      <c r="F356" s="1">
        <v>22589</v>
      </c>
      <c r="G356" s="1" t="s">
        <v>21</v>
      </c>
      <c r="H356" s="1">
        <v>18</v>
      </c>
      <c r="I356" s="1">
        <v>260993</v>
      </c>
      <c r="J356" s="1" t="s">
        <v>471</v>
      </c>
      <c r="K356" s="1" t="s">
        <v>34</v>
      </c>
      <c r="L356" s="1" t="s">
        <v>37</v>
      </c>
      <c r="M356" s="1">
        <v>1</v>
      </c>
      <c r="N356" s="2">
        <v>144.94999999999999</v>
      </c>
      <c r="O356" s="3">
        <v>199</v>
      </c>
      <c r="P356" s="1">
        <v>0</v>
      </c>
      <c r="Q356" s="1" t="s">
        <v>25</v>
      </c>
      <c r="R356" s="1" t="s">
        <v>25</v>
      </c>
      <c r="S356" s="1">
        <v>29</v>
      </c>
      <c r="T356" s="1">
        <v>1</v>
      </c>
      <c r="U356" s="1">
        <v>1</v>
      </c>
      <c r="V356">
        <f t="shared" si="5"/>
        <v>199</v>
      </c>
    </row>
    <row r="357" spans="1:22" ht="13" x14ac:dyDescent="0.15">
      <c r="A357" s="4">
        <v>44774</v>
      </c>
      <c r="B357" s="5">
        <v>0.82155092592592593</v>
      </c>
      <c r="C357" s="1">
        <v>1412</v>
      </c>
      <c r="D357" s="1">
        <v>13002561</v>
      </c>
      <c r="E357" s="1">
        <v>13</v>
      </c>
      <c r="F357" s="1">
        <v>22589</v>
      </c>
      <c r="G357" s="1" t="s">
        <v>21</v>
      </c>
      <c r="H357" s="1">
        <v>15</v>
      </c>
      <c r="I357" s="1">
        <v>20094</v>
      </c>
      <c r="J357" s="1" t="s">
        <v>472</v>
      </c>
      <c r="K357" s="1" t="s">
        <v>29</v>
      </c>
      <c r="L357" s="1" t="s">
        <v>210</v>
      </c>
      <c r="M357" s="1">
        <v>1</v>
      </c>
      <c r="N357" s="2">
        <v>196.48</v>
      </c>
      <c r="O357" s="3">
        <v>270</v>
      </c>
      <c r="P357" s="1">
        <v>18</v>
      </c>
      <c r="Q357" s="1">
        <v>9</v>
      </c>
      <c r="R357" s="1">
        <v>200010022499</v>
      </c>
      <c r="S357" s="1">
        <v>29</v>
      </c>
      <c r="T357" s="1">
        <v>1</v>
      </c>
      <c r="U357" s="1">
        <v>1</v>
      </c>
      <c r="V357">
        <f t="shared" si="5"/>
        <v>270</v>
      </c>
    </row>
    <row r="358" spans="1:22" ht="13" x14ac:dyDescent="0.15">
      <c r="A358" s="4">
        <v>44774</v>
      </c>
      <c r="B358" s="5">
        <v>0.82774305555555561</v>
      </c>
      <c r="C358" s="1">
        <v>1413</v>
      </c>
      <c r="D358" s="1">
        <v>13002561</v>
      </c>
      <c r="E358" s="1">
        <v>13</v>
      </c>
      <c r="F358" s="1">
        <v>22589</v>
      </c>
      <c r="G358" s="1" t="s">
        <v>21</v>
      </c>
      <c r="H358" s="1">
        <v>15</v>
      </c>
      <c r="I358" s="1">
        <v>384302</v>
      </c>
      <c r="J358" s="1" t="s">
        <v>473</v>
      </c>
      <c r="K358" s="1" t="s">
        <v>51</v>
      </c>
      <c r="L358" s="1" t="s">
        <v>474</v>
      </c>
      <c r="M358" s="1">
        <v>1</v>
      </c>
      <c r="N358" s="2">
        <v>305</v>
      </c>
      <c r="O358" s="3">
        <v>403</v>
      </c>
      <c r="P358" s="1">
        <v>0</v>
      </c>
      <c r="Q358" s="1" t="s">
        <v>25</v>
      </c>
      <c r="R358" s="1" t="s">
        <v>25</v>
      </c>
      <c r="S358" s="1">
        <v>29</v>
      </c>
      <c r="T358" s="1">
        <v>1</v>
      </c>
      <c r="U358" s="1">
        <v>1</v>
      </c>
      <c r="V358">
        <f t="shared" si="5"/>
        <v>403</v>
      </c>
    </row>
    <row r="359" spans="1:22" ht="13" x14ac:dyDescent="0.15">
      <c r="A359" s="4">
        <v>44774</v>
      </c>
      <c r="B359" s="5">
        <v>0.82774305555555561</v>
      </c>
      <c r="C359" s="1">
        <v>1413</v>
      </c>
      <c r="D359" s="1">
        <v>13002561</v>
      </c>
      <c r="E359" s="1">
        <v>13</v>
      </c>
      <c r="F359" s="1">
        <v>22589</v>
      </c>
      <c r="G359" s="1" t="s">
        <v>21</v>
      </c>
      <c r="H359" s="1">
        <v>15</v>
      </c>
      <c r="I359" s="1">
        <v>12643</v>
      </c>
      <c r="J359" s="1" t="s">
        <v>400</v>
      </c>
      <c r="K359" s="1" t="s">
        <v>51</v>
      </c>
      <c r="L359" s="1" t="s">
        <v>56</v>
      </c>
      <c r="M359" s="1">
        <v>1</v>
      </c>
      <c r="N359" s="2">
        <v>145.52000000000001</v>
      </c>
      <c r="O359" s="3">
        <v>175</v>
      </c>
      <c r="P359" s="1">
        <v>0</v>
      </c>
      <c r="Q359" s="1" t="s">
        <v>25</v>
      </c>
      <c r="R359" s="1" t="s">
        <v>25</v>
      </c>
      <c r="S359" s="1">
        <v>29</v>
      </c>
      <c r="T359" s="1">
        <v>1</v>
      </c>
      <c r="U359" s="1">
        <v>3</v>
      </c>
      <c r="V359">
        <f t="shared" si="5"/>
        <v>175</v>
      </c>
    </row>
    <row r="360" spans="1:22" ht="13" x14ac:dyDescent="0.15">
      <c r="A360" s="4">
        <v>44774</v>
      </c>
      <c r="B360" s="5">
        <v>0.82774305555555561</v>
      </c>
      <c r="C360" s="1">
        <v>1413</v>
      </c>
      <c r="D360" s="1">
        <v>13002561</v>
      </c>
      <c r="E360" s="1">
        <v>13</v>
      </c>
      <c r="F360" s="1">
        <v>22589</v>
      </c>
      <c r="G360" s="1" t="s">
        <v>21</v>
      </c>
      <c r="H360" s="1">
        <v>15</v>
      </c>
      <c r="I360" s="1">
        <v>110605</v>
      </c>
      <c r="J360" s="1" t="s">
        <v>475</v>
      </c>
      <c r="K360" s="1" t="s">
        <v>45</v>
      </c>
      <c r="L360" s="1" t="s">
        <v>214</v>
      </c>
      <c r="M360" s="1">
        <v>1</v>
      </c>
      <c r="N360" s="2">
        <v>119.22</v>
      </c>
      <c r="O360" s="3">
        <v>143</v>
      </c>
      <c r="P360" s="1">
        <v>0</v>
      </c>
      <c r="Q360" s="1" t="s">
        <v>25</v>
      </c>
      <c r="R360" s="1" t="s">
        <v>25</v>
      </c>
      <c r="S360" s="1">
        <v>29</v>
      </c>
      <c r="T360" s="1">
        <v>1</v>
      </c>
      <c r="U360" s="1">
        <v>2</v>
      </c>
      <c r="V360">
        <f t="shared" si="5"/>
        <v>143</v>
      </c>
    </row>
    <row r="361" spans="1:22" ht="13" x14ac:dyDescent="0.15">
      <c r="A361" s="4">
        <v>44775</v>
      </c>
      <c r="B361" s="5">
        <v>0.3550462962962963</v>
      </c>
      <c r="C361" s="1">
        <v>1417</v>
      </c>
      <c r="D361" s="1">
        <v>13002581</v>
      </c>
      <c r="E361" s="1">
        <v>13</v>
      </c>
      <c r="F361" s="1">
        <v>22589</v>
      </c>
      <c r="G361" s="1" t="s">
        <v>21</v>
      </c>
      <c r="H361" s="1">
        <v>18</v>
      </c>
      <c r="I361" s="1">
        <v>62871</v>
      </c>
      <c r="J361" s="1" t="s">
        <v>476</v>
      </c>
      <c r="K361" s="1" t="s">
        <v>141</v>
      </c>
      <c r="L361" s="1" t="s">
        <v>477</v>
      </c>
      <c r="M361" s="1">
        <v>1</v>
      </c>
      <c r="N361" s="2">
        <v>817.18</v>
      </c>
      <c r="O361" s="3">
        <v>907</v>
      </c>
      <c r="P361" s="1">
        <v>27</v>
      </c>
      <c r="Q361" s="1">
        <v>9</v>
      </c>
      <c r="R361" s="1">
        <v>200010015571</v>
      </c>
      <c r="S361" s="1">
        <v>29</v>
      </c>
      <c r="T361" s="1">
        <v>1</v>
      </c>
      <c r="U361" s="1">
        <v>1</v>
      </c>
      <c r="V361">
        <f t="shared" si="5"/>
        <v>907</v>
      </c>
    </row>
    <row r="362" spans="1:22" ht="13" x14ac:dyDescent="0.15">
      <c r="A362" s="4">
        <v>44775</v>
      </c>
      <c r="B362" s="5">
        <v>0.37064814814814817</v>
      </c>
      <c r="C362" s="1">
        <v>1418</v>
      </c>
      <c r="D362" s="1">
        <v>13002581</v>
      </c>
      <c r="E362" s="1">
        <v>13</v>
      </c>
      <c r="F362" s="1">
        <v>22589</v>
      </c>
      <c r="G362" s="1" t="s">
        <v>21</v>
      </c>
      <c r="H362" s="1">
        <v>18</v>
      </c>
      <c r="I362" s="1">
        <v>271689</v>
      </c>
      <c r="J362" s="1" t="s">
        <v>478</v>
      </c>
      <c r="K362" s="1" t="s">
        <v>34</v>
      </c>
      <c r="L362" s="1" t="s">
        <v>248</v>
      </c>
      <c r="M362" s="1">
        <v>1</v>
      </c>
      <c r="N362" s="2">
        <v>307.19</v>
      </c>
      <c r="O362" s="3">
        <v>406</v>
      </c>
      <c r="P362" s="1">
        <v>28</v>
      </c>
      <c r="Q362" s="1">
        <v>9</v>
      </c>
      <c r="R362" s="1">
        <v>200010020497</v>
      </c>
      <c r="S362" s="1">
        <v>29</v>
      </c>
      <c r="T362" s="1">
        <v>1</v>
      </c>
      <c r="U362" s="1">
        <v>1</v>
      </c>
      <c r="V362">
        <f t="shared" si="5"/>
        <v>406</v>
      </c>
    </row>
    <row r="363" spans="1:22" ht="13" x14ac:dyDescent="0.15">
      <c r="A363" s="4">
        <v>44775</v>
      </c>
      <c r="B363" s="5">
        <v>0.37135416666666665</v>
      </c>
      <c r="C363" s="1">
        <v>1419</v>
      </c>
      <c r="D363" s="1">
        <v>13002581</v>
      </c>
      <c r="E363" s="1">
        <v>13</v>
      </c>
      <c r="F363" s="1">
        <v>22589</v>
      </c>
      <c r="G363" s="1" t="s">
        <v>21</v>
      </c>
      <c r="H363" s="1">
        <v>15</v>
      </c>
      <c r="I363" s="1">
        <v>340852</v>
      </c>
      <c r="J363" s="1" t="s">
        <v>479</v>
      </c>
      <c r="K363" s="1" t="s">
        <v>23</v>
      </c>
      <c r="L363" s="1" t="s">
        <v>276</v>
      </c>
      <c r="M363" s="1">
        <v>1</v>
      </c>
      <c r="N363" s="2">
        <v>714.65</v>
      </c>
      <c r="O363" s="3">
        <v>922</v>
      </c>
      <c r="P363" s="1">
        <v>0</v>
      </c>
      <c r="Q363" s="1" t="s">
        <v>25</v>
      </c>
      <c r="R363" s="1" t="s">
        <v>25</v>
      </c>
      <c r="S363" s="1">
        <v>29</v>
      </c>
      <c r="T363" s="1">
        <v>1</v>
      </c>
      <c r="U363" s="1">
        <v>1</v>
      </c>
      <c r="V363">
        <f t="shared" si="5"/>
        <v>922</v>
      </c>
    </row>
    <row r="364" spans="1:22" ht="13" x14ac:dyDescent="0.15">
      <c r="A364" s="4">
        <v>44775</v>
      </c>
      <c r="B364" s="5">
        <v>0.37314814814814817</v>
      </c>
      <c r="C364" s="1">
        <v>1420</v>
      </c>
      <c r="D364" s="1">
        <v>13002581</v>
      </c>
      <c r="E364" s="1">
        <v>13</v>
      </c>
      <c r="F364" s="1">
        <v>22589</v>
      </c>
      <c r="G364" s="1" t="s">
        <v>21</v>
      </c>
      <c r="H364" s="1">
        <v>15</v>
      </c>
      <c r="I364" s="1">
        <v>120093</v>
      </c>
      <c r="J364" s="1" t="s">
        <v>480</v>
      </c>
      <c r="K364" s="1" t="s">
        <v>51</v>
      </c>
      <c r="L364" s="1" t="s">
        <v>65</v>
      </c>
      <c r="M364" s="1">
        <v>1</v>
      </c>
      <c r="N364" s="2">
        <v>32.99</v>
      </c>
      <c r="O364" s="3">
        <v>41</v>
      </c>
      <c r="P364" s="1">
        <v>2</v>
      </c>
      <c r="Q364" s="1">
        <v>9</v>
      </c>
      <c r="R364" s="1">
        <v>200010011822</v>
      </c>
      <c r="S364" s="1">
        <v>29</v>
      </c>
      <c r="T364" s="1">
        <v>1</v>
      </c>
      <c r="U364" s="1">
        <v>2</v>
      </c>
      <c r="V364">
        <f t="shared" si="5"/>
        <v>41</v>
      </c>
    </row>
    <row r="365" spans="1:22" ht="13" x14ac:dyDescent="0.15">
      <c r="A365" s="4">
        <v>44775</v>
      </c>
      <c r="B365" s="5">
        <v>0.46819444444444447</v>
      </c>
      <c r="C365" s="1">
        <v>1442</v>
      </c>
      <c r="D365" s="1">
        <v>13002581</v>
      </c>
      <c r="E365" s="1">
        <v>13</v>
      </c>
      <c r="F365" s="1">
        <v>22589</v>
      </c>
      <c r="G365" s="1" t="s">
        <v>21</v>
      </c>
      <c r="H365" s="1">
        <v>18</v>
      </c>
      <c r="I365" s="1">
        <v>120093</v>
      </c>
      <c r="J365" s="1" t="s">
        <v>480</v>
      </c>
      <c r="K365" s="1" t="s">
        <v>51</v>
      </c>
      <c r="L365" s="1" t="s">
        <v>65</v>
      </c>
      <c r="M365" s="1">
        <v>1</v>
      </c>
      <c r="N365" s="2">
        <v>32.99</v>
      </c>
      <c r="O365" s="3">
        <v>41</v>
      </c>
      <c r="P365" s="1">
        <v>2</v>
      </c>
      <c r="Q365" s="1">
        <v>9</v>
      </c>
      <c r="R365" s="1">
        <v>200010000466</v>
      </c>
      <c r="S365" s="1">
        <v>29</v>
      </c>
      <c r="T365" s="1">
        <v>1</v>
      </c>
      <c r="U365" s="1">
        <v>1</v>
      </c>
      <c r="V365">
        <f t="shared" si="5"/>
        <v>41</v>
      </c>
    </row>
    <row r="366" spans="1:22" ht="13" x14ac:dyDescent="0.15">
      <c r="A366" s="4">
        <v>44775</v>
      </c>
      <c r="B366" s="5">
        <v>0.37314814814814817</v>
      </c>
      <c r="C366" s="1">
        <v>1420</v>
      </c>
      <c r="D366" s="1">
        <v>13002581</v>
      </c>
      <c r="E366" s="1">
        <v>13</v>
      </c>
      <c r="F366" s="1">
        <v>22589</v>
      </c>
      <c r="G366" s="1" t="s">
        <v>21</v>
      </c>
      <c r="H366" s="1">
        <v>15</v>
      </c>
      <c r="I366" s="1">
        <v>342266</v>
      </c>
      <c r="J366" s="1" t="s">
        <v>481</v>
      </c>
      <c r="K366" s="1" t="s">
        <v>51</v>
      </c>
      <c r="L366" s="1" t="s">
        <v>335</v>
      </c>
      <c r="M366" s="1">
        <v>1</v>
      </c>
      <c r="N366" s="2">
        <v>52.91</v>
      </c>
      <c r="O366" s="3">
        <v>76</v>
      </c>
      <c r="P366" s="1">
        <v>5</v>
      </c>
      <c r="Q366" s="1">
        <v>9</v>
      </c>
      <c r="R366" s="1">
        <v>200010011822</v>
      </c>
      <c r="S366" s="1">
        <v>29</v>
      </c>
      <c r="T366" s="1">
        <v>1</v>
      </c>
      <c r="U366" s="1">
        <v>1</v>
      </c>
      <c r="V366">
        <f t="shared" si="5"/>
        <v>76</v>
      </c>
    </row>
    <row r="367" spans="1:22" ht="13" x14ac:dyDescent="0.15">
      <c r="A367" s="4">
        <v>44775</v>
      </c>
      <c r="B367" s="5">
        <v>0.37431712962962965</v>
      </c>
      <c r="C367" s="1">
        <v>1421</v>
      </c>
      <c r="D367" s="1">
        <v>13002581</v>
      </c>
      <c r="E367" s="1">
        <v>13</v>
      </c>
      <c r="F367" s="1">
        <v>22589</v>
      </c>
      <c r="G367" s="1" t="s">
        <v>21</v>
      </c>
      <c r="H367" s="1">
        <v>15</v>
      </c>
      <c r="I367" s="1">
        <v>338912</v>
      </c>
      <c r="J367" s="1" t="s">
        <v>122</v>
      </c>
      <c r="K367" s="1" t="s">
        <v>64</v>
      </c>
      <c r="L367" s="1" t="s">
        <v>123</v>
      </c>
      <c r="M367" s="1">
        <v>1</v>
      </c>
      <c r="N367" s="2">
        <v>37.96</v>
      </c>
      <c r="O367" s="3">
        <v>47.05</v>
      </c>
      <c r="P367" s="1">
        <v>2.0499999999999998</v>
      </c>
      <c r="Q367" s="1">
        <v>9</v>
      </c>
      <c r="R367" s="1">
        <v>200010011822</v>
      </c>
      <c r="S367" s="1">
        <v>29</v>
      </c>
      <c r="T367" s="1">
        <v>1</v>
      </c>
      <c r="U367" s="1">
        <v>1</v>
      </c>
      <c r="V367">
        <f t="shared" si="5"/>
        <v>47.05</v>
      </c>
    </row>
    <row r="368" spans="1:22" ht="13" x14ac:dyDescent="0.15">
      <c r="A368" s="4">
        <v>44775</v>
      </c>
      <c r="B368" s="5">
        <v>0.38119212962962962</v>
      </c>
      <c r="C368" s="1">
        <v>1422</v>
      </c>
      <c r="D368" s="1">
        <v>13002581</v>
      </c>
      <c r="E368" s="1">
        <v>13</v>
      </c>
      <c r="F368" s="1">
        <v>22589</v>
      </c>
      <c r="G368" s="1" t="s">
        <v>21</v>
      </c>
      <c r="H368" s="1">
        <v>18</v>
      </c>
      <c r="I368" s="1">
        <v>403561</v>
      </c>
      <c r="J368" s="1" t="s">
        <v>482</v>
      </c>
      <c r="K368" s="1" t="s">
        <v>51</v>
      </c>
      <c r="L368" s="1" t="s">
        <v>483</v>
      </c>
      <c r="M368" s="1">
        <v>1</v>
      </c>
      <c r="N368" s="2">
        <v>57.56</v>
      </c>
      <c r="O368" s="3">
        <v>91</v>
      </c>
      <c r="P368" s="1">
        <v>9</v>
      </c>
      <c r="Q368" s="1">
        <v>9</v>
      </c>
      <c r="R368" s="1">
        <v>200010004069</v>
      </c>
      <c r="S368" s="1">
        <v>29</v>
      </c>
      <c r="T368" s="1">
        <v>1</v>
      </c>
      <c r="U368" s="1">
        <v>9</v>
      </c>
      <c r="V368">
        <f t="shared" si="5"/>
        <v>91</v>
      </c>
    </row>
    <row r="369" spans="1:22" ht="13" x14ac:dyDescent="0.15">
      <c r="A369" s="4">
        <v>44775</v>
      </c>
      <c r="B369" s="5">
        <v>0.38119212962962962</v>
      </c>
      <c r="C369" s="1">
        <v>1422</v>
      </c>
      <c r="D369" s="1">
        <v>13002581</v>
      </c>
      <c r="E369" s="1">
        <v>13</v>
      </c>
      <c r="F369" s="1">
        <v>22589</v>
      </c>
      <c r="G369" s="1" t="s">
        <v>21</v>
      </c>
      <c r="H369" s="1">
        <v>18</v>
      </c>
      <c r="I369" s="1">
        <v>154353</v>
      </c>
      <c r="J369" s="1" t="s">
        <v>484</v>
      </c>
      <c r="K369" s="1" t="s">
        <v>23</v>
      </c>
      <c r="L369" s="1" t="s">
        <v>24</v>
      </c>
      <c r="M369" s="1">
        <v>1</v>
      </c>
      <c r="N369" s="2">
        <v>186.32</v>
      </c>
      <c r="O369" s="3">
        <v>256</v>
      </c>
      <c r="P369" s="1">
        <v>17</v>
      </c>
      <c r="Q369" s="1">
        <v>9</v>
      </c>
      <c r="R369" s="1">
        <v>200010004069</v>
      </c>
      <c r="S369" s="1">
        <v>29</v>
      </c>
      <c r="T369" s="1">
        <v>1</v>
      </c>
      <c r="U369" s="1">
        <v>3</v>
      </c>
      <c r="V369">
        <f t="shared" si="5"/>
        <v>256</v>
      </c>
    </row>
    <row r="370" spans="1:22" ht="13" x14ac:dyDescent="0.15">
      <c r="A370" s="4">
        <v>44775</v>
      </c>
      <c r="B370" s="5">
        <v>0.38119212962962962</v>
      </c>
      <c r="C370" s="1">
        <v>1422</v>
      </c>
      <c r="D370" s="1">
        <v>13002581</v>
      </c>
      <c r="E370" s="1">
        <v>13</v>
      </c>
      <c r="F370" s="1">
        <v>22589</v>
      </c>
      <c r="G370" s="1" t="s">
        <v>21</v>
      </c>
      <c r="H370" s="1">
        <v>18</v>
      </c>
      <c r="I370" s="1">
        <v>101346</v>
      </c>
      <c r="J370" s="1" t="s">
        <v>485</v>
      </c>
      <c r="K370" s="1" t="s">
        <v>117</v>
      </c>
      <c r="L370" s="1" t="s">
        <v>39</v>
      </c>
      <c r="M370" s="1">
        <v>1</v>
      </c>
      <c r="N370" s="2">
        <v>107.34</v>
      </c>
      <c r="O370" s="3">
        <v>148</v>
      </c>
      <c r="P370" s="1">
        <v>10</v>
      </c>
      <c r="Q370" s="1">
        <v>9</v>
      </c>
      <c r="R370" s="1">
        <v>200010004069</v>
      </c>
      <c r="S370" s="1">
        <v>29</v>
      </c>
      <c r="T370" s="1">
        <v>1</v>
      </c>
      <c r="U370" s="1">
        <v>7</v>
      </c>
      <c r="V370">
        <f t="shared" si="5"/>
        <v>148</v>
      </c>
    </row>
    <row r="371" spans="1:22" ht="13" x14ac:dyDescent="0.15">
      <c r="A371" s="4">
        <v>44775</v>
      </c>
      <c r="B371" s="5">
        <v>0.38119212962962962</v>
      </c>
      <c r="C371" s="1">
        <v>1422</v>
      </c>
      <c r="D371" s="1">
        <v>13002581</v>
      </c>
      <c r="E371" s="1">
        <v>13</v>
      </c>
      <c r="F371" s="1">
        <v>22589</v>
      </c>
      <c r="G371" s="1" t="s">
        <v>21</v>
      </c>
      <c r="H371" s="1">
        <v>18</v>
      </c>
      <c r="I371" s="1">
        <v>255427</v>
      </c>
      <c r="J371" s="1" t="s">
        <v>486</v>
      </c>
      <c r="K371" s="1" t="s">
        <v>23</v>
      </c>
      <c r="L371" s="1" t="s">
        <v>487</v>
      </c>
      <c r="M371" s="1">
        <v>1</v>
      </c>
      <c r="N371" s="2">
        <v>456.34</v>
      </c>
      <c r="O371" s="3">
        <v>603</v>
      </c>
      <c r="P371" s="1">
        <v>42</v>
      </c>
      <c r="Q371" s="1">
        <v>9</v>
      </c>
      <c r="R371" s="1">
        <v>200010004069</v>
      </c>
      <c r="S371" s="1">
        <v>29</v>
      </c>
      <c r="T371" s="1">
        <v>1</v>
      </c>
      <c r="U371" s="1">
        <v>2</v>
      </c>
      <c r="V371">
        <f t="shared" si="5"/>
        <v>603</v>
      </c>
    </row>
    <row r="372" spans="1:22" ht="13" x14ac:dyDescent="0.15">
      <c r="A372" s="4">
        <v>44775</v>
      </c>
      <c r="B372" s="5">
        <v>0.38119212962962962</v>
      </c>
      <c r="C372" s="1">
        <v>1422</v>
      </c>
      <c r="D372" s="1">
        <v>13002581</v>
      </c>
      <c r="E372" s="1">
        <v>13</v>
      </c>
      <c r="F372" s="1">
        <v>22589</v>
      </c>
      <c r="G372" s="1" t="s">
        <v>21</v>
      </c>
      <c r="H372" s="1">
        <v>18</v>
      </c>
      <c r="I372" s="1">
        <v>508726</v>
      </c>
      <c r="J372" s="1" t="s">
        <v>488</v>
      </c>
      <c r="K372" s="1" t="s">
        <v>51</v>
      </c>
      <c r="L372" s="1" t="s">
        <v>274</v>
      </c>
      <c r="M372" s="1">
        <v>1</v>
      </c>
      <c r="N372" s="2">
        <v>174.59</v>
      </c>
      <c r="O372" s="3">
        <v>240</v>
      </c>
      <c r="P372" s="1">
        <v>16</v>
      </c>
      <c r="Q372" s="1">
        <v>9</v>
      </c>
      <c r="R372" s="1">
        <v>200010004069</v>
      </c>
      <c r="S372" s="1">
        <v>29</v>
      </c>
      <c r="T372" s="1">
        <v>1</v>
      </c>
      <c r="U372" s="1">
        <v>8</v>
      </c>
      <c r="V372">
        <f t="shared" si="5"/>
        <v>240</v>
      </c>
    </row>
    <row r="373" spans="1:22" ht="13" x14ac:dyDescent="0.15">
      <c r="A373" s="4">
        <v>44775</v>
      </c>
      <c r="B373" s="5">
        <v>0.38119212962962962</v>
      </c>
      <c r="C373" s="1">
        <v>1422</v>
      </c>
      <c r="D373" s="1">
        <v>13002581</v>
      </c>
      <c r="E373" s="1">
        <v>13</v>
      </c>
      <c r="F373" s="1">
        <v>22589</v>
      </c>
      <c r="G373" s="1" t="s">
        <v>21</v>
      </c>
      <c r="H373" s="1">
        <v>18</v>
      </c>
      <c r="I373" s="1">
        <v>19381</v>
      </c>
      <c r="J373" s="1" t="s">
        <v>489</v>
      </c>
      <c r="K373" s="1" t="s">
        <v>51</v>
      </c>
      <c r="L373" s="1" t="s">
        <v>272</v>
      </c>
      <c r="M373" s="1">
        <v>1</v>
      </c>
      <c r="N373" s="2">
        <v>698.41</v>
      </c>
      <c r="O373" s="3">
        <v>901</v>
      </c>
      <c r="P373" s="1">
        <v>63</v>
      </c>
      <c r="Q373" s="1">
        <v>9</v>
      </c>
      <c r="R373" s="1">
        <v>200010004069</v>
      </c>
      <c r="S373" s="1">
        <v>29</v>
      </c>
      <c r="T373" s="1">
        <v>1</v>
      </c>
      <c r="U373" s="1">
        <v>1</v>
      </c>
      <c r="V373">
        <f t="shared" si="5"/>
        <v>901</v>
      </c>
    </row>
    <row r="374" spans="1:22" ht="13" x14ac:dyDescent="0.15">
      <c r="A374" s="4">
        <v>44775</v>
      </c>
      <c r="B374" s="5">
        <v>0.38119212962962962</v>
      </c>
      <c r="C374" s="1">
        <v>1422</v>
      </c>
      <c r="D374" s="1">
        <v>13002581</v>
      </c>
      <c r="E374" s="1">
        <v>13</v>
      </c>
      <c r="F374" s="1">
        <v>22589</v>
      </c>
      <c r="G374" s="1" t="s">
        <v>21</v>
      </c>
      <c r="H374" s="1">
        <v>18</v>
      </c>
      <c r="I374" s="1">
        <v>291429</v>
      </c>
      <c r="J374" s="1" t="s">
        <v>490</v>
      </c>
      <c r="K374" s="1" t="s">
        <v>51</v>
      </c>
      <c r="L374" s="1" t="s">
        <v>76</v>
      </c>
      <c r="M374" s="1">
        <v>1</v>
      </c>
      <c r="N374" s="2">
        <v>455.83</v>
      </c>
      <c r="O374" s="3">
        <v>602</v>
      </c>
      <c r="P374" s="1">
        <v>42</v>
      </c>
      <c r="Q374" s="1">
        <v>9</v>
      </c>
      <c r="R374" s="1">
        <v>200010004069</v>
      </c>
      <c r="S374" s="1">
        <v>29</v>
      </c>
      <c r="T374" s="1">
        <v>1</v>
      </c>
      <c r="U374" s="1">
        <v>4</v>
      </c>
      <c r="V374">
        <f t="shared" si="5"/>
        <v>602</v>
      </c>
    </row>
    <row r="375" spans="1:22" ht="13" x14ac:dyDescent="0.15">
      <c r="A375" s="4">
        <v>44775</v>
      </c>
      <c r="B375" s="5">
        <v>0.38119212962962962</v>
      </c>
      <c r="C375" s="1">
        <v>1422</v>
      </c>
      <c r="D375" s="1">
        <v>13002581</v>
      </c>
      <c r="E375" s="1">
        <v>13</v>
      </c>
      <c r="F375" s="1">
        <v>22589</v>
      </c>
      <c r="G375" s="1" t="s">
        <v>21</v>
      </c>
      <c r="H375" s="1">
        <v>18</v>
      </c>
      <c r="I375" s="1">
        <v>291429</v>
      </c>
      <c r="J375" s="1" t="s">
        <v>490</v>
      </c>
      <c r="K375" s="1" t="s">
        <v>51</v>
      </c>
      <c r="L375" s="1" t="s">
        <v>76</v>
      </c>
      <c r="M375" s="1">
        <v>1</v>
      </c>
      <c r="N375" s="2">
        <v>451.18</v>
      </c>
      <c r="O375" s="3">
        <v>596</v>
      </c>
      <c r="P375" s="1">
        <v>41</v>
      </c>
      <c r="Q375" s="1">
        <v>9</v>
      </c>
      <c r="R375" s="1">
        <v>200010004069</v>
      </c>
      <c r="S375" s="1">
        <v>29</v>
      </c>
      <c r="T375" s="1">
        <v>1</v>
      </c>
      <c r="U375" s="1">
        <v>5</v>
      </c>
      <c r="V375">
        <f t="shared" si="5"/>
        <v>596</v>
      </c>
    </row>
    <row r="376" spans="1:22" ht="13" x14ac:dyDescent="0.15">
      <c r="A376" s="4">
        <v>44775</v>
      </c>
      <c r="B376" s="5">
        <v>0.38119212962962962</v>
      </c>
      <c r="C376" s="1">
        <v>1422</v>
      </c>
      <c r="D376" s="1">
        <v>13002581</v>
      </c>
      <c r="E376" s="1">
        <v>13</v>
      </c>
      <c r="F376" s="1">
        <v>22589</v>
      </c>
      <c r="G376" s="1" t="s">
        <v>21</v>
      </c>
      <c r="H376" s="1">
        <v>18</v>
      </c>
      <c r="I376" s="1">
        <v>116131</v>
      </c>
      <c r="J376" s="1" t="s">
        <v>491</v>
      </c>
      <c r="K376" s="1" t="s">
        <v>51</v>
      </c>
      <c r="L376" s="1" t="s">
        <v>492</v>
      </c>
      <c r="M376" s="1">
        <v>1</v>
      </c>
      <c r="N376" s="2">
        <v>247.84</v>
      </c>
      <c r="O376" s="3">
        <v>377</v>
      </c>
      <c r="P376" s="1">
        <v>37</v>
      </c>
      <c r="Q376" s="1">
        <v>9</v>
      </c>
      <c r="R376" s="1">
        <v>200010004069</v>
      </c>
      <c r="S376" s="1">
        <v>29</v>
      </c>
      <c r="T376" s="1">
        <v>1</v>
      </c>
      <c r="U376" s="1">
        <v>6</v>
      </c>
      <c r="V376">
        <f t="shared" si="5"/>
        <v>377</v>
      </c>
    </row>
    <row r="377" spans="1:22" ht="13" x14ac:dyDescent="0.15">
      <c r="A377" s="4">
        <v>44775</v>
      </c>
      <c r="B377" s="5">
        <v>0.38211805555555556</v>
      </c>
      <c r="C377" s="1">
        <v>1423</v>
      </c>
      <c r="D377" s="1">
        <v>13002581</v>
      </c>
      <c r="E377" s="1">
        <v>13</v>
      </c>
      <c r="F377" s="1">
        <v>22589</v>
      </c>
      <c r="G377" s="1" t="s">
        <v>21</v>
      </c>
      <c r="H377" s="1">
        <v>18</v>
      </c>
      <c r="I377" s="1">
        <v>386904</v>
      </c>
      <c r="J377" s="1" t="s">
        <v>493</v>
      </c>
      <c r="K377" s="1" t="s">
        <v>117</v>
      </c>
      <c r="L377" s="1" t="s">
        <v>494</v>
      </c>
      <c r="M377" s="1">
        <v>1</v>
      </c>
      <c r="N377" s="2">
        <v>199.03</v>
      </c>
      <c r="O377" s="3">
        <v>309</v>
      </c>
      <c r="P377" s="1">
        <v>0</v>
      </c>
      <c r="Q377" s="1" t="s">
        <v>25</v>
      </c>
      <c r="R377" s="1" t="s">
        <v>25</v>
      </c>
      <c r="S377" s="1">
        <v>29</v>
      </c>
      <c r="T377" s="1">
        <v>1</v>
      </c>
      <c r="U377" s="1">
        <v>1</v>
      </c>
      <c r="V377">
        <f t="shared" si="5"/>
        <v>309</v>
      </c>
    </row>
    <row r="378" spans="1:22" ht="13" x14ac:dyDescent="0.15">
      <c r="A378" s="4">
        <v>44775</v>
      </c>
      <c r="B378" s="5">
        <v>0.38267361111111109</v>
      </c>
      <c r="C378" s="1">
        <v>1424</v>
      </c>
      <c r="D378" s="1">
        <v>13002581</v>
      </c>
      <c r="E378" s="1">
        <v>13</v>
      </c>
      <c r="F378" s="1">
        <v>22589</v>
      </c>
      <c r="G378" s="1" t="s">
        <v>21</v>
      </c>
      <c r="H378" s="1">
        <v>15</v>
      </c>
      <c r="I378" s="1">
        <v>443168</v>
      </c>
      <c r="J378" s="1" t="s">
        <v>495</v>
      </c>
      <c r="K378" s="1" t="s">
        <v>51</v>
      </c>
      <c r="L378" s="1" t="s">
        <v>52</v>
      </c>
      <c r="M378" s="1">
        <v>1</v>
      </c>
      <c r="N378" s="2">
        <v>69.83</v>
      </c>
      <c r="O378" s="3">
        <v>110</v>
      </c>
      <c r="P378" s="1">
        <v>11</v>
      </c>
      <c r="Q378" s="1">
        <v>9</v>
      </c>
      <c r="R378" s="1">
        <v>200010019507</v>
      </c>
      <c r="S378" s="1">
        <v>29</v>
      </c>
      <c r="T378" s="1">
        <v>1</v>
      </c>
      <c r="U378" s="1">
        <v>1</v>
      </c>
      <c r="V378">
        <f t="shared" si="5"/>
        <v>110</v>
      </c>
    </row>
    <row r="379" spans="1:22" ht="13" x14ac:dyDescent="0.15">
      <c r="A379" s="4">
        <v>44775</v>
      </c>
      <c r="B379" s="5">
        <v>0.38592592592592595</v>
      </c>
      <c r="C379" s="1">
        <v>1425</v>
      </c>
      <c r="D379" s="1">
        <v>13002581</v>
      </c>
      <c r="E379" s="1">
        <v>13</v>
      </c>
      <c r="F379" s="1">
        <v>22589</v>
      </c>
      <c r="G379" s="1" t="s">
        <v>21</v>
      </c>
      <c r="H379" s="1">
        <v>18</v>
      </c>
      <c r="I379" s="1">
        <v>142036</v>
      </c>
      <c r="J379" s="1" t="s">
        <v>101</v>
      </c>
      <c r="K379" s="1" t="s">
        <v>23</v>
      </c>
      <c r="L379" s="1" t="s">
        <v>76</v>
      </c>
      <c r="M379" s="1">
        <v>1</v>
      </c>
      <c r="N379" s="2">
        <v>187.36</v>
      </c>
      <c r="O379" s="3">
        <v>220</v>
      </c>
      <c r="P379" s="1">
        <v>15</v>
      </c>
      <c r="Q379" s="1">
        <v>9</v>
      </c>
      <c r="R379" s="1">
        <v>200010004820</v>
      </c>
      <c r="S379" s="1">
        <v>29</v>
      </c>
      <c r="T379" s="1">
        <v>1</v>
      </c>
      <c r="U379" s="1">
        <v>1</v>
      </c>
      <c r="V379">
        <f t="shared" si="5"/>
        <v>220</v>
      </c>
    </row>
    <row r="380" spans="1:22" ht="13" x14ac:dyDescent="0.15">
      <c r="A380" s="4">
        <v>44775</v>
      </c>
      <c r="B380" s="5">
        <v>0.38670138888888889</v>
      </c>
      <c r="C380" s="1">
        <v>1426</v>
      </c>
      <c r="D380" s="1">
        <v>13002581</v>
      </c>
      <c r="E380" s="1">
        <v>13</v>
      </c>
      <c r="F380" s="1">
        <v>22589</v>
      </c>
      <c r="G380" s="1" t="s">
        <v>21</v>
      </c>
      <c r="H380" s="1">
        <v>18</v>
      </c>
      <c r="I380" s="1">
        <v>137821</v>
      </c>
      <c r="J380" s="1" t="s">
        <v>496</v>
      </c>
      <c r="K380" s="1" t="s">
        <v>34</v>
      </c>
      <c r="L380" s="1" t="s">
        <v>497</v>
      </c>
      <c r="M380" s="1">
        <v>1</v>
      </c>
      <c r="N380" s="2">
        <v>123.42</v>
      </c>
      <c r="O380" s="3">
        <v>192</v>
      </c>
      <c r="P380" s="1">
        <v>19</v>
      </c>
      <c r="Q380" s="1">
        <v>9</v>
      </c>
      <c r="R380" s="1">
        <v>200010004820</v>
      </c>
      <c r="S380" s="1">
        <v>29</v>
      </c>
      <c r="T380" s="1">
        <v>1</v>
      </c>
      <c r="U380" s="1">
        <v>1</v>
      </c>
      <c r="V380">
        <f t="shared" si="5"/>
        <v>192</v>
      </c>
    </row>
    <row r="381" spans="1:22" ht="13" x14ac:dyDescent="0.15">
      <c r="A381" s="4">
        <v>44775</v>
      </c>
      <c r="B381" s="5">
        <v>0.38952546296296298</v>
      </c>
      <c r="C381" s="1">
        <v>1427</v>
      </c>
      <c r="D381" s="1">
        <v>13002581</v>
      </c>
      <c r="E381" s="1">
        <v>13</v>
      </c>
      <c r="F381" s="1">
        <v>22589</v>
      </c>
      <c r="G381" s="1" t="s">
        <v>21</v>
      </c>
      <c r="H381" s="1">
        <v>15</v>
      </c>
      <c r="I381" s="1">
        <v>176133</v>
      </c>
      <c r="J381" s="1" t="s">
        <v>498</v>
      </c>
      <c r="K381" s="1" t="s">
        <v>23</v>
      </c>
      <c r="L381" s="1" t="s">
        <v>255</v>
      </c>
      <c r="M381" s="1">
        <v>1</v>
      </c>
      <c r="N381" s="2">
        <v>128.32</v>
      </c>
      <c r="O381" s="3">
        <v>156</v>
      </c>
      <c r="P381" s="1">
        <v>7</v>
      </c>
      <c r="Q381" s="1">
        <v>9</v>
      </c>
      <c r="R381" s="1">
        <v>200010021998</v>
      </c>
      <c r="S381" s="1">
        <v>29</v>
      </c>
      <c r="T381" s="1">
        <v>1</v>
      </c>
      <c r="U381" s="1">
        <v>1</v>
      </c>
      <c r="V381">
        <f t="shared" si="5"/>
        <v>156</v>
      </c>
    </row>
    <row r="382" spans="1:22" ht="13" x14ac:dyDescent="0.15">
      <c r="A382" s="4">
        <v>44775</v>
      </c>
      <c r="B382" s="5">
        <v>0.38952546296296298</v>
      </c>
      <c r="C382" s="1">
        <v>1427</v>
      </c>
      <c r="D382" s="1">
        <v>13002581</v>
      </c>
      <c r="E382" s="1">
        <v>13</v>
      </c>
      <c r="F382" s="1">
        <v>22589</v>
      </c>
      <c r="G382" s="1" t="s">
        <v>21</v>
      </c>
      <c r="H382" s="1">
        <v>15</v>
      </c>
      <c r="I382" s="1">
        <v>347642</v>
      </c>
      <c r="J382" s="1" t="s">
        <v>499</v>
      </c>
      <c r="K382" s="1" t="s">
        <v>51</v>
      </c>
      <c r="L382" s="1" t="s">
        <v>492</v>
      </c>
      <c r="M382" s="1">
        <v>1</v>
      </c>
      <c r="N382" s="2">
        <v>334.63</v>
      </c>
      <c r="O382" s="3">
        <v>492</v>
      </c>
      <c r="P382" s="1">
        <v>49</v>
      </c>
      <c r="Q382" s="1">
        <v>9</v>
      </c>
      <c r="R382" s="1">
        <v>200010021998</v>
      </c>
      <c r="S382" s="1">
        <v>29</v>
      </c>
      <c r="T382" s="1">
        <v>1</v>
      </c>
      <c r="U382" s="1">
        <v>2</v>
      </c>
      <c r="V382">
        <f t="shared" si="5"/>
        <v>492</v>
      </c>
    </row>
    <row r="383" spans="1:22" ht="13" x14ac:dyDescent="0.15">
      <c r="A383" s="4">
        <v>44775</v>
      </c>
      <c r="B383" s="5">
        <v>0.38952546296296298</v>
      </c>
      <c r="C383" s="1">
        <v>1427</v>
      </c>
      <c r="D383" s="1">
        <v>13002581</v>
      </c>
      <c r="E383" s="1">
        <v>13</v>
      </c>
      <c r="F383" s="1">
        <v>22589</v>
      </c>
      <c r="G383" s="1" t="s">
        <v>21</v>
      </c>
      <c r="H383" s="1">
        <v>15</v>
      </c>
      <c r="I383" s="1">
        <v>1185</v>
      </c>
      <c r="J383" s="1" t="s">
        <v>500</v>
      </c>
      <c r="K383" s="1" t="s">
        <v>51</v>
      </c>
      <c r="L383" s="1" t="s">
        <v>501</v>
      </c>
      <c r="M383" s="1">
        <v>1</v>
      </c>
      <c r="N383" s="2">
        <v>241.83</v>
      </c>
      <c r="O383" s="3">
        <v>327</v>
      </c>
      <c r="P383" s="1">
        <v>22</v>
      </c>
      <c r="Q383" s="1">
        <v>9</v>
      </c>
      <c r="R383" s="1">
        <v>200010021998</v>
      </c>
      <c r="S383" s="1">
        <v>29</v>
      </c>
      <c r="T383" s="1">
        <v>1</v>
      </c>
      <c r="U383" s="1">
        <v>3</v>
      </c>
      <c r="V383">
        <f t="shared" si="5"/>
        <v>327</v>
      </c>
    </row>
    <row r="384" spans="1:22" ht="13" x14ac:dyDescent="0.15">
      <c r="A384" s="4">
        <v>44775</v>
      </c>
      <c r="B384" s="5">
        <v>0.39520833333333333</v>
      </c>
      <c r="C384" s="1">
        <v>1428</v>
      </c>
      <c r="D384" s="1">
        <v>13002581</v>
      </c>
      <c r="E384" s="1">
        <v>13</v>
      </c>
      <c r="F384" s="1">
        <v>22589</v>
      </c>
      <c r="G384" s="1" t="s">
        <v>21</v>
      </c>
      <c r="H384" s="1">
        <v>15</v>
      </c>
      <c r="I384" s="1">
        <v>345211</v>
      </c>
      <c r="J384" s="1" t="s">
        <v>92</v>
      </c>
      <c r="K384" s="1" t="s">
        <v>51</v>
      </c>
      <c r="L384" s="1" t="s">
        <v>93</v>
      </c>
      <c r="M384" s="1">
        <v>1</v>
      </c>
      <c r="N384" s="2">
        <v>25.71</v>
      </c>
      <c r="O384" s="3">
        <v>31</v>
      </c>
      <c r="P384" s="1">
        <v>1</v>
      </c>
      <c r="Q384" s="1">
        <v>9</v>
      </c>
      <c r="R384" s="1">
        <v>200010021941</v>
      </c>
      <c r="S384" s="1">
        <v>29</v>
      </c>
      <c r="T384" s="1">
        <v>1</v>
      </c>
      <c r="U384" s="1">
        <v>2</v>
      </c>
      <c r="V384">
        <f t="shared" si="5"/>
        <v>31</v>
      </c>
    </row>
    <row r="385" spans="1:22" ht="13" x14ac:dyDescent="0.15">
      <c r="A385" s="4">
        <v>44775</v>
      </c>
      <c r="B385" s="5">
        <v>0.39520833333333333</v>
      </c>
      <c r="C385" s="1">
        <v>1428</v>
      </c>
      <c r="D385" s="1">
        <v>13002581</v>
      </c>
      <c r="E385" s="1">
        <v>13</v>
      </c>
      <c r="F385" s="1">
        <v>22589</v>
      </c>
      <c r="G385" s="1" t="s">
        <v>21</v>
      </c>
      <c r="H385" s="1">
        <v>15</v>
      </c>
      <c r="I385" s="1">
        <v>346980</v>
      </c>
      <c r="J385" s="1" t="s">
        <v>446</v>
      </c>
      <c r="K385" s="1" t="s">
        <v>51</v>
      </c>
      <c r="L385" s="1" t="s">
        <v>447</v>
      </c>
      <c r="M385" s="1">
        <v>1</v>
      </c>
      <c r="N385" s="2">
        <v>39.75</v>
      </c>
      <c r="O385" s="3">
        <v>50</v>
      </c>
      <c r="P385" s="1">
        <v>2</v>
      </c>
      <c r="Q385" s="1">
        <v>9</v>
      </c>
      <c r="R385" s="1">
        <v>200010021941</v>
      </c>
      <c r="S385" s="1">
        <v>29</v>
      </c>
      <c r="T385" s="1">
        <v>1</v>
      </c>
      <c r="U385" s="1">
        <v>3</v>
      </c>
      <c r="V385">
        <f t="shared" si="5"/>
        <v>50</v>
      </c>
    </row>
    <row r="386" spans="1:22" ht="13" x14ac:dyDescent="0.15">
      <c r="A386" s="4">
        <v>44775</v>
      </c>
      <c r="B386" s="5">
        <v>0.39520833333333333</v>
      </c>
      <c r="C386" s="1">
        <v>1428</v>
      </c>
      <c r="D386" s="1">
        <v>13002581</v>
      </c>
      <c r="E386" s="1">
        <v>13</v>
      </c>
      <c r="F386" s="1">
        <v>22589</v>
      </c>
      <c r="G386" s="1" t="s">
        <v>21</v>
      </c>
      <c r="H386" s="1">
        <v>15</v>
      </c>
      <c r="I386" s="1">
        <v>191546</v>
      </c>
      <c r="J386" s="1" t="s">
        <v>502</v>
      </c>
      <c r="K386" s="1" t="s">
        <v>51</v>
      </c>
      <c r="L386" s="1" t="s">
        <v>248</v>
      </c>
      <c r="M386" s="1">
        <v>1</v>
      </c>
      <c r="N386" s="2">
        <v>76.010000000000005</v>
      </c>
      <c r="O386" s="3">
        <v>95</v>
      </c>
      <c r="P386" s="1">
        <v>4</v>
      </c>
      <c r="Q386" s="1">
        <v>9</v>
      </c>
      <c r="R386" s="1">
        <v>200010021941</v>
      </c>
      <c r="S386" s="1">
        <v>29</v>
      </c>
      <c r="T386" s="1">
        <v>1</v>
      </c>
      <c r="U386" s="1">
        <v>1</v>
      </c>
      <c r="V386">
        <f t="shared" si="5"/>
        <v>95</v>
      </c>
    </row>
    <row r="387" spans="1:22" ht="13" x14ac:dyDescent="0.15">
      <c r="A387" s="4">
        <v>44775</v>
      </c>
      <c r="B387" s="5">
        <v>0.39520833333333333</v>
      </c>
      <c r="C387" s="1">
        <v>1428</v>
      </c>
      <c r="D387" s="1">
        <v>13002581</v>
      </c>
      <c r="E387" s="1">
        <v>13</v>
      </c>
      <c r="F387" s="1">
        <v>22589</v>
      </c>
      <c r="G387" s="1" t="s">
        <v>21</v>
      </c>
      <c r="H387" s="1">
        <v>15</v>
      </c>
      <c r="I387" s="1">
        <v>195924</v>
      </c>
      <c r="J387" s="1" t="s">
        <v>503</v>
      </c>
      <c r="K387" s="1" t="s">
        <v>110</v>
      </c>
      <c r="L387" s="1" t="s">
        <v>504</v>
      </c>
      <c r="M387" s="1">
        <v>1</v>
      </c>
      <c r="N387" s="2">
        <v>76.319999999999993</v>
      </c>
      <c r="O387" s="3">
        <v>120</v>
      </c>
      <c r="P387" s="1">
        <v>12</v>
      </c>
      <c r="Q387" s="1">
        <v>9</v>
      </c>
      <c r="R387" s="1">
        <v>200010021941</v>
      </c>
      <c r="S387" s="1">
        <v>29</v>
      </c>
      <c r="T387" s="1">
        <v>1</v>
      </c>
      <c r="U387" s="1">
        <v>4</v>
      </c>
      <c r="V387">
        <f t="shared" ref="V387:V450" si="6">O387*M387</f>
        <v>120</v>
      </c>
    </row>
    <row r="388" spans="1:22" ht="13" x14ac:dyDescent="0.15">
      <c r="A388" s="4">
        <v>44775</v>
      </c>
      <c r="B388" s="5">
        <v>0.41244212962962962</v>
      </c>
      <c r="C388" s="1">
        <v>1429</v>
      </c>
      <c r="D388" s="1">
        <v>13002581</v>
      </c>
      <c r="E388" s="1">
        <v>13</v>
      </c>
      <c r="F388" s="1">
        <v>22589</v>
      </c>
      <c r="G388" s="1" t="s">
        <v>21</v>
      </c>
      <c r="H388" s="1">
        <v>15</v>
      </c>
      <c r="I388" s="1">
        <v>11488</v>
      </c>
      <c r="J388" s="1" t="s">
        <v>505</v>
      </c>
      <c r="K388" s="1" t="s">
        <v>117</v>
      </c>
      <c r="L388" s="1" t="s">
        <v>506</v>
      </c>
      <c r="M388" s="1">
        <v>1</v>
      </c>
      <c r="N388" s="2">
        <v>157.47999999999999</v>
      </c>
      <c r="O388" s="3">
        <v>216</v>
      </c>
      <c r="P388" s="1">
        <v>15</v>
      </c>
      <c r="Q388" s="1">
        <v>9</v>
      </c>
      <c r="R388" s="1">
        <v>200010001074</v>
      </c>
      <c r="S388" s="1">
        <v>29</v>
      </c>
      <c r="T388" s="1">
        <v>1</v>
      </c>
      <c r="U388" s="1">
        <v>1</v>
      </c>
      <c r="V388">
        <f t="shared" si="6"/>
        <v>216</v>
      </c>
    </row>
    <row r="389" spans="1:22" ht="13" x14ac:dyDescent="0.15">
      <c r="A389" s="4">
        <v>44775</v>
      </c>
      <c r="B389" s="5">
        <v>0.41244212962962962</v>
      </c>
      <c r="C389" s="1">
        <v>1429</v>
      </c>
      <c r="D389" s="1">
        <v>13002581</v>
      </c>
      <c r="E389" s="1">
        <v>13</v>
      </c>
      <c r="F389" s="1">
        <v>22589</v>
      </c>
      <c r="G389" s="1" t="s">
        <v>21</v>
      </c>
      <c r="H389" s="1">
        <v>15</v>
      </c>
      <c r="I389" s="1">
        <v>485587</v>
      </c>
      <c r="J389" s="1" t="s">
        <v>507</v>
      </c>
      <c r="K389" s="1" t="s">
        <v>29</v>
      </c>
      <c r="L389" s="1" t="s">
        <v>97</v>
      </c>
      <c r="M389" s="1">
        <v>1</v>
      </c>
      <c r="N389" s="2">
        <v>15.2</v>
      </c>
      <c r="O389" s="3">
        <v>24</v>
      </c>
      <c r="P389" s="1">
        <v>1</v>
      </c>
      <c r="Q389" s="1">
        <v>9</v>
      </c>
      <c r="R389" s="1">
        <v>200010001074</v>
      </c>
      <c r="S389" s="1">
        <v>29</v>
      </c>
      <c r="T389" s="1">
        <v>1</v>
      </c>
      <c r="U389" s="1">
        <v>2</v>
      </c>
      <c r="V389">
        <f t="shared" si="6"/>
        <v>24</v>
      </c>
    </row>
    <row r="390" spans="1:22" ht="13" x14ac:dyDescent="0.15">
      <c r="A390" s="4">
        <v>44775</v>
      </c>
      <c r="B390" s="5">
        <v>0.41244212962962962</v>
      </c>
      <c r="C390" s="1">
        <v>1429</v>
      </c>
      <c r="D390" s="1">
        <v>13002581</v>
      </c>
      <c r="E390" s="1">
        <v>13</v>
      </c>
      <c r="F390" s="1">
        <v>22589</v>
      </c>
      <c r="G390" s="1" t="s">
        <v>21</v>
      </c>
      <c r="H390" s="1">
        <v>15</v>
      </c>
      <c r="I390" s="1">
        <v>564775</v>
      </c>
      <c r="J390" s="1" t="s">
        <v>508</v>
      </c>
      <c r="K390" s="1" t="s">
        <v>51</v>
      </c>
      <c r="L390" s="1" t="s">
        <v>509</v>
      </c>
      <c r="M390" s="1">
        <v>1</v>
      </c>
      <c r="N390" s="2">
        <v>6.87</v>
      </c>
      <c r="O390" s="3">
        <v>12</v>
      </c>
      <c r="P390" s="1">
        <v>1</v>
      </c>
      <c r="Q390" s="1">
        <v>9</v>
      </c>
      <c r="R390" s="1">
        <v>200010001074</v>
      </c>
      <c r="S390" s="1">
        <v>29</v>
      </c>
      <c r="T390" s="1">
        <v>1</v>
      </c>
      <c r="U390" s="1">
        <v>3</v>
      </c>
      <c r="V390">
        <f t="shared" si="6"/>
        <v>12</v>
      </c>
    </row>
    <row r="391" spans="1:22" ht="13" x14ac:dyDescent="0.15">
      <c r="A391" s="4">
        <v>44775</v>
      </c>
      <c r="B391" s="5">
        <v>0.41516203703703702</v>
      </c>
      <c r="C391" s="1">
        <v>1430</v>
      </c>
      <c r="D391" s="1">
        <v>13002581</v>
      </c>
      <c r="E391" s="1">
        <v>13</v>
      </c>
      <c r="F391" s="1">
        <v>22589</v>
      </c>
      <c r="G391" s="1" t="s">
        <v>21</v>
      </c>
      <c r="H391" s="1">
        <v>15</v>
      </c>
      <c r="I391" s="1">
        <v>82008</v>
      </c>
      <c r="J391" s="1" t="s">
        <v>215</v>
      </c>
      <c r="K391" s="1" t="s">
        <v>23</v>
      </c>
      <c r="L391" s="1" t="s">
        <v>279</v>
      </c>
      <c r="M391" s="1">
        <v>1</v>
      </c>
      <c r="N391" s="2">
        <v>35.9</v>
      </c>
      <c r="O391" s="3">
        <v>41</v>
      </c>
      <c r="P391" s="1">
        <v>2</v>
      </c>
      <c r="Q391" s="1">
        <v>9</v>
      </c>
      <c r="R391" s="1">
        <v>200010022582</v>
      </c>
      <c r="S391" s="1">
        <v>29</v>
      </c>
      <c r="T391" s="1">
        <v>1</v>
      </c>
      <c r="U391" s="1">
        <v>2</v>
      </c>
      <c r="V391">
        <f t="shared" si="6"/>
        <v>41</v>
      </c>
    </row>
    <row r="392" spans="1:22" ht="13" x14ac:dyDescent="0.15">
      <c r="A392" s="4">
        <v>44775</v>
      </c>
      <c r="B392" s="5">
        <v>0.41516203703703702</v>
      </c>
      <c r="C392" s="1">
        <v>1430</v>
      </c>
      <c r="D392" s="1">
        <v>13002581</v>
      </c>
      <c r="E392" s="1">
        <v>13</v>
      </c>
      <c r="F392" s="1">
        <v>22589</v>
      </c>
      <c r="G392" s="1" t="s">
        <v>21</v>
      </c>
      <c r="H392" s="1">
        <v>15</v>
      </c>
      <c r="I392" s="1">
        <v>5225</v>
      </c>
      <c r="J392" s="1" t="s">
        <v>510</v>
      </c>
      <c r="K392" s="1" t="s">
        <v>23</v>
      </c>
      <c r="L392" s="1" t="s">
        <v>511</v>
      </c>
      <c r="M392" s="1">
        <v>1</v>
      </c>
      <c r="N392" s="2">
        <v>562.1</v>
      </c>
      <c r="O392" s="3">
        <v>726</v>
      </c>
      <c r="P392" s="1">
        <v>50</v>
      </c>
      <c r="Q392" s="1">
        <v>9</v>
      </c>
      <c r="R392" s="1">
        <v>200010022582</v>
      </c>
      <c r="S392" s="1">
        <v>29</v>
      </c>
      <c r="T392" s="1">
        <v>1</v>
      </c>
      <c r="U392" s="1">
        <v>1</v>
      </c>
      <c r="V392">
        <f t="shared" si="6"/>
        <v>726</v>
      </c>
    </row>
    <row r="393" spans="1:22" ht="13" x14ac:dyDescent="0.15">
      <c r="A393" s="4">
        <v>44775</v>
      </c>
      <c r="B393" s="5">
        <v>0.41516203703703702</v>
      </c>
      <c r="C393" s="1">
        <v>1430</v>
      </c>
      <c r="D393" s="1">
        <v>13002581</v>
      </c>
      <c r="E393" s="1">
        <v>13</v>
      </c>
      <c r="F393" s="1">
        <v>22589</v>
      </c>
      <c r="G393" s="1" t="s">
        <v>21</v>
      </c>
      <c r="H393" s="1">
        <v>15</v>
      </c>
      <c r="I393" s="1">
        <v>82008</v>
      </c>
      <c r="J393" s="1" t="s">
        <v>215</v>
      </c>
      <c r="K393" s="1" t="s">
        <v>23</v>
      </c>
      <c r="L393" s="1" t="s">
        <v>279</v>
      </c>
      <c r="M393" s="1">
        <v>1</v>
      </c>
      <c r="N393" s="2">
        <v>35.9</v>
      </c>
      <c r="O393" s="3">
        <v>41</v>
      </c>
      <c r="P393" s="1">
        <v>2</v>
      </c>
      <c r="Q393" s="1">
        <v>9</v>
      </c>
      <c r="R393" s="1">
        <v>200010022582</v>
      </c>
      <c r="S393" s="1">
        <v>29</v>
      </c>
      <c r="T393" s="1">
        <v>1</v>
      </c>
      <c r="U393" s="1">
        <v>3</v>
      </c>
      <c r="V393">
        <f t="shared" si="6"/>
        <v>41</v>
      </c>
    </row>
    <row r="394" spans="1:22" ht="13" x14ac:dyDescent="0.15">
      <c r="A394" s="4">
        <v>44775</v>
      </c>
      <c r="B394" s="5">
        <v>0.41692129629629632</v>
      </c>
      <c r="C394" s="1">
        <v>1431</v>
      </c>
      <c r="D394" s="1">
        <v>13002581</v>
      </c>
      <c r="E394" s="1">
        <v>13</v>
      </c>
      <c r="F394" s="1">
        <v>22589</v>
      </c>
      <c r="G394" s="1" t="s">
        <v>21</v>
      </c>
      <c r="H394" s="1">
        <v>15</v>
      </c>
      <c r="I394" s="1">
        <v>131362</v>
      </c>
      <c r="J394" s="1" t="s">
        <v>512</v>
      </c>
      <c r="K394" s="1" t="s">
        <v>34</v>
      </c>
      <c r="L394" s="1" t="s">
        <v>155</v>
      </c>
      <c r="M394" s="1">
        <v>1</v>
      </c>
      <c r="N394" s="2">
        <v>86.22</v>
      </c>
      <c r="O394" s="3">
        <v>136</v>
      </c>
      <c r="P394" s="1">
        <v>13</v>
      </c>
      <c r="Q394" s="1">
        <v>9</v>
      </c>
      <c r="R394" s="1">
        <v>200010018003</v>
      </c>
      <c r="S394" s="1">
        <v>29</v>
      </c>
      <c r="T394" s="1">
        <v>1</v>
      </c>
      <c r="U394" s="1">
        <v>3</v>
      </c>
      <c r="V394">
        <f t="shared" si="6"/>
        <v>136</v>
      </c>
    </row>
    <row r="395" spans="1:22" ht="13" x14ac:dyDescent="0.15">
      <c r="A395" s="4">
        <v>44775</v>
      </c>
      <c r="B395" s="5">
        <v>0.41692129629629632</v>
      </c>
      <c r="C395" s="1">
        <v>1431</v>
      </c>
      <c r="D395" s="1">
        <v>13002581</v>
      </c>
      <c r="E395" s="1">
        <v>13</v>
      </c>
      <c r="F395" s="1">
        <v>22589</v>
      </c>
      <c r="G395" s="1" t="s">
        <v>21</v>
      </c>
      <c r="H395" s="1">
        <v>15</v>
      </c>
      <c r="I395" s="1">
        <v>348748</v>
      </c>
      <c r="J395" s="1" t="s">
        <v>260</v>
      </c>
      <c r="K395" s="1" t="s">
        <v>29</v>
      </c>
      <c r="L395" s="1" t="s">
        <v>261</v>
      </c>
      <c r="M395" s="1">
        <v>1</v>
      </c>
      <c r="N395" s="2">
        <v>56.03</v>
      </c>
      <c r="O395" s="3">
        <v>70</v>
      </c>
      <c r="P395" s="1">
        <v>3</v>
      </c>
      <c r="Q395" s="1">
        <v>9</v>
      </c>
      <c r="R395" s="1">
        <v>200010018003</v>
      </c>
      <c r="S395" s="1">
        <v>29</v>
      </c>
      <c r="T395" s="1">
        <v>1</v>
      </c>
      <c r="U395" s="1">
        <v>2</v>
      </c>
      <c r="V395">
        <f t="shared" si="6"/>
        <v>70</v>
      </c>
    </row>
    <row r="396" spans="1:22" ht="13" x14ac:dyDescent="0.15">
      <c r="A396" s="4">
        <v>44775</v>
      </c>
      <c r="B396" s="5">
        <v>0.41692129629629632</v>
      </c>
      <c r="C396" s="1">
        <v>1431</v>
      </c>
      <c r="D396" s="1">
        <v>13002581</v>
      </c>
      <c r="E396" s="1">
        <v>13</v>
      </c>
      <c r="F396" s="1">
        <v>22589</v>
      </c>
      <c r="G396" s="1" t="s">
        <v>21</v>
      </c>
      <c r="H396" s="1">
        <v>15</v>
      </c>
      <c r="I396" s="1">
        <v>12822</v>
      </c>
      <c r="J396" s="1" t="s">
        <v>513</v>
      </c>
      <c r="K396" s="1" t="s">
        <v>23</v>
      </c>
      <c r="L396" s="1" t="s">
        <v>175</v>
      </c>
      <c r="M396" s="1">
        <v>1</v>
      </c>
      <c r="N396" s="2">
        <v>187.98</v>
      </c>
      <c r="O396" s="3">
        <v>258</v>
      </c>
      <c r="P396" s="1">
        <v>18</v>
      </c>
      <c r="Q396" s="1">
        <v>9</v>
      </c>
      <c r="R396" s="1">
        <v>200010018003</v>
      </c>
      <c r="S396" s="1">
        <v>29</v>
      </c>
      <c r="T396" s="1">
        <v>1</v>
      </c>
      <c r="U396" s="1">
        <v>1</v>
      </c>
      <c r="V396">
        <f t="shared" si="6"/>
        <v>258</v>
      </c>
    </row>
    <row r="397" spans="1:22" ht="13" x14ac:dyDescent="0.15">
      <c r="A397" s="4">
        <v>44775</v>
      </c>
      <c r="B397" s="5">
        <v>0.41692129629629632</v>
      </c>
      <c r="C397" s="1">
        <v>1431</v>
      </c>
      <c r="D397" s="1">
        <v>13002581</v>
      </c>
      <c r="E397" s="1">
        <v>13</v>
      </c>
      <c r="F397" s="1">
        <v>22589</v>
      </c>
      <c r="G397" s="1" t="s">
        <v>21</v>
      </c>
      <c r="H397" s="1">
        <v>15</v>
      </c>
      <c r="I397" s="1">
        <v>296315</v>
      </c>
      <c r="J397" s="1" t="s">
        <v>514</v>
      </c>
      <c r="K397" s="1" t="s">
        <v>64</v>
      </c>
      <c r="L397" s="1" t="s">
        <v>515</v>
      </c>
      <c r="M397" s="1">
        <v>1</v>
      </c>
      <c r="N397" s="2">
        <v>33.08</v>
      </c>
      <c r="O397" s="3">
        <v>54</v>
      </c>
      <c r="P397" s="1">
        <v>5</v>
      </c>
      <c r="Q397" s="1">
        <v>9</v>
      </c>
      <c r="R397" s="1">
        <v>200010018003</v>
      </c>
      <c r="S397" s="1">
        <v>29</v>
      </c>
      <c r="T397" s="1">
        <v>1</v>
      </c>
      <c r="U397" s="1">
        <v>4</v>
      </c>
      <c r="V397">
        <f t="shared" si="6"/>
        <v>54</v>
      </c>
    </row>
    <row r="398" spans="1:22" ht="13" x14ac:dyDescent="0.15">
      <c r="A398" s="4">
        <v>44775</v>
      </c>
      <c r="B398" s="5">
        <v>0.42370370370370369</v>
      </c>
      <c r="C398" s="1">
        <v>1432</v>
      </c>
      <c r="D398" s="1">
        <v>13002581</v>
      </c>
      <c r="E398" s="1">
        <v>13</v>
      </c>
      <c r="F398" s="1">
        <v>22589</v>
      </c>
      <c r="G398" s="1" t="s">
        <v>21</v>
      </c>
      <c r="H398" s="1">
        <v>15</v>
      </c>
      <c r="I398" s="1">
        <v>393311</v>
      </c>
      <c r="J398" s="1" t="s">
        <v>516</v>
      </c>
      <c r="K398" s="1" t="s">
        <v>48</v>
      </c>
      <c r="L398" s="1" t="s">
        <v>99</v>
      </c>
      <c r="M398" s="1">
        <v>1</v>
      </c>
      <c r="N398" s="2">
        <v>97.46</v>
      </c>
      <c r="O398" s="3">
        <v>154</v>
      </c>
      <c r="P398" s="1">
        <v>15</v>
      </c>
      <c r="Q398" s="1">
        <v>9</v>
      </c>
      <c r="R398" s="1">
        <v>200010001077</v>
      </c>
      <c r="S398" s="1">
        <v>29</v>
      </c>
      <c r="T398" s="1">
        <v>1</v>
      </c>
      <c r="U398" s="1">
        <v>1</v>
      </c>
      <c r="V398">
        <f t="shared" si="6"/>
        <v>154</v>
      </c>
    </row>
    <row r="399" spans="1:22" ht="13" x14ac:dyDescent="0.15">
      <c r="A399" s="4">
        <v>44775</v>
      </c>
      <c r="B399" s="5">
        <v>0.42370370370370369</v>
      </c>
      <c r="C399" s="1">
        <v>1432</v>
      </c>
      <c r="D399" s="1">
        <v>13002581</v>
      </c>
      <c r="E399" s="1">
        <v>13</v>
      </c>
      <c r="F399" s="1">
        <v>22589</v>
      </c>
      <c r="G399" s="1" t="s">
        <v>21</v>
      </c>
      <c r="H399" s="1">
        <v>15</v>
      </c>
      <c r="I399" s="1">
        <v>173202</v>
      </c>
      <c r="J399" s="1" t="s">
        <v>273</v>
      </c>
      <c r="K399" s="1" t="s">
        <v>23</v>
      </c>
      <c r="L399" s="1" t="s">
        <v>274</v>
      </c>
      <c r="M399" s="1">
        <v>1</v>
      </c>
      <c r="N399" s="2">
        <v>25.78</v>
      </c>
      <c r="O399" s="3">
        <v>40</v>
      </c>
      <c r="P399" s="1">
        <v>2</v>
      </c>
      <c r="Q399" s="1">
        <v>9</v>
      </c>
      <c r="R399" s="1">
        <v>200010001077</v>
      </c>
      <c r="S399" s="1">
        <v>29</v>
      </c>
      <c r="T399" s="1">
        <v>1</v>
      </c>
      <c r="U399" s="1">
        <v>2</v>
      </c>
      <c r="V399">
        <f t="shared" si="6"/>
        <v>40</v>
      </c>
    </row>
    <row r="400" spans="1:22" ht="13" x14ac:dyDescent="0.15">
      <c r="A400" s="4">
        <v>44775</v>
      </c>
      <c r="B400" s="5">
        <v>0.72925925925925927</v>
      </c>
      <c r="C400" s="1">
        <v>1511</v>
      </c>
      <c r="D400" s="1">
        <v>13002581</v>
      </c>
      <c r="E400" s="1">
        <v>13</v>
      </c>
      <c r="F400" s="1">
        <v>22589</v>
      </c>
      <c r="G400" s="1" t="s">
        <v>21</v>
      </c>
      <c r="H400" s="1">
        <v>18</v>
      </c>
      <c r="I400" s="1">
        <v>173202</v>
      </c>
      <c r="J400" s="1" t="s">
        <v>273</v>
      </c>
      <c r="K400" s="1" t="s">
        <v>23</v>
      </c>
      <c r="L400" s="1" t="s">
        <v>274</v>
      </c>
      <c r="M400" s="1">
        <v>1</v>
      </c>
      <c r="N400" s="2">
        <v>25.78</v>
      </c>
      <c r="O400" s="3">
        <v>40</v>
      </c>
      <c r="P400" s="1">
        <v>2</v>
      </c>
      <c r="Q400" s="1">
        <v>9</v>
      </c>
      <c r="R400" s="1">
        <v>200010005098</v>
      </c>
      <c r="S400" s="1">
        <v>29</v>
      </c>
      <c r="T400" s="1">
        <v>1</v>
      </c>
      <c r="U400" s="1">
        <v>1</v>
      </c>
      <c r="V400">
        <f t="shared" si="6"/>
        <v>40</v>
      </c>
    </row>
    <row r="401" spans="1:22" ht="13" x14ac:dyDescent="0.15">
      <c r="A401" s="4">
        <v>44775</v>
      </c>
      <c r="B401" s="5">
        <v>0.43678240740740742</v>
      </c>
      <c r="C401" s="1">
        <v>1433</v>
      </c>
      <c r="D401" s="1">
        <v>13002581</v>
      </c>
      <c r="E401" s="1">
        <v>13</v>
      </c>
      <c r="F401" s="1">
        <v>22589</v>
      </c>
      <c r="G401" s="1" t="s">
        <v>21</v>
      </c>
      <c r="H401" s="1">
        <v>15</v>
      </c>
      <c r="I401" s="1">
        <v>18836</v>
      </c>
      <c r="J401" s="1" t="s">
        <v>517</v>
      </c>
      <c r="K401" s="1" t="s">
        <v>51</v>
      </c>
      <c r="L401" s="1" t="s">
        <v>67</v>
      </c>
      <c r="M401" s="1">
        <v>1</v>
      </c>
      <c r="N401" s="2">
        <v>110.21</v>
      </c>
      <c r="O401" s="3">
        <v>124</v>
      </c>
      <c r="P401" s="1">
        <v>8</v>
      </c>
      <c r="Q401" s="1">
        <v>9</v>
      </c>
      <c r="R401" s="1">
        <v>200010002062</v>
      </c>
      <c r="S401" s="1">
        <v>29</v>
      </c>
      <c r="T401" s="1">
        <v>1</v>
      </c>
      <c r="U401" s="1">
        <v>3</v>
      </c>
      <c r="V401">
        <f t="shared" si="6"/>
        <v>124</v>
      </c>
    </row>
    <row r="402" spans="1:22" ht="13" x14ac:dyDescent="0.15">
      <c r="A402" s="4">
        <v>44775</v>
      </c>
      <c r="B402" s="5">
        <v>0.53684027777777776</v>
      </c>
      <c r="C402" s="1">
        <v>1469</v>
      </c>
      <c r="D402" s="1">
        <v>13002581</v>
      </c>
      <c r="E402" s="1">
        <v>13</v>
      </c>
      <c r="F402" s="1">
        <v>22589</v>
      </c>
      <c r="G402" s="1" t="s">
        <v>21</v>
      </c>
      <c r="H402" s="1">
        <v>15</v>
      </c>
      <c r="I402" s="1">
        <v>18836</v>
      </c>
      <c r="J402" s="1" t="s">
        <v>517</v>
      </c>
      <c r="K402" s="1" t="s">
        <v>51</v>
      </c>
      <c r="L402" s="1" t="s">
        <v>67</v>
      </c>
      <c r="M402" s="1">
        <v>1</v>
      </c>
      <c r="N402" s="2">
        <v>110.21</v>
      </c>
      <c r="O402" s="3">
        <v>124</v>
      </c>
      <c r="P402" s="1">
        <v>21.24</v>
      </c>
      <c r="Q402" s="1">
        <v>925</v>
      </c>
      <c r="R402" s="1">
        <v>200000000492</v>
      </c>
      <c r="S402" s="1">
        <v>29</v>
      </c>
      <c r="T402" s="1">
        <v>1</v>
      </c>
      <c r="U402" s="1">
        <v>2</v>
      </c>
      <c r="V402">
        <f t="shared" si="6"/>
        <v>124</v>
      </c>
    </row>
    <row r="403" spans="1:22" ht="13" x14ac:dyDescent="0.15">
      <c r="A403" s="4">
        <v>44775</v>
      </c>
      <c r="B403" s="5">
        <v>0.6381944444444444</v>
      </c>
      <c r="C403" s="1">
        <v>1487</v>
      </c>
      <c r="D403" s="1">
        <v>13002581</v>
      </c>
      <c r="E403" s="1">
        <v>13</v>
      </c>
      <c r="F403" s="1">
        <v>22589</v>
      </c>
      <c r="G403" s="1" t="s">
        <v>21</v>
      </c>
      <c r="H403" s="1">
        <v>18</v>
      </c>
      <c r="I403" s="1">
        <v>18836</v>
      </c>
      <c r="J403" s="1" t="s">
        <v>517</v>
      </c>
      <c r="K403" s="1" t="s">
        <v>51</v>
      </c>
      <c r="L403" s="1" t="s">
        <v>67</v>
      </c>
      <c r="M403" s="1">
        <v>1</v>
      </c>
      <c r="N403" s="2">
        <v>110.21</v>
      </c>
      <c r="O403" s="3">
        <v>124</v>
      </c>
      <c r="P403" s="1">
        <v>8</v>
      </c>
      <c r="Q403" s="1">
        <v>9</v>
      </c>
      <c r="R403" s="1">
        <v>200010000401</v>
      </c>
      <c r="S403" s="1">
        <v>29</v>
      </c>
      <c r="T403" s="1">
        <v>1</v>
      </c>
      <c r="U403" s="1">
        <v>3</v>
      </c>
      <c r="V403">
        <f t="shared" si="6"/>
        <v>124</v>
      </c>
    </row>
    <row r="404" spans="1:22" ht="13" x14ac:dyDescent="0.15">
      <c r="A404" s="4">
        <v>44775</v>
      </c>
      <c r="B404" s="5">
        <v>0.43678240740740742</v>
      </c>
      <c r="C404" s="1">
        <v>1433</v>
      </c>
      <c r="D404" s="1">
        <v>13002581</v>
      </c>
      <c r="E404" s="1">
        <v>13</v>
      </c>
      <c r="F404" s="1">
        <v>22589</v>
      </c>
      <c r="G404" s="1" t="s">
        <v>21</v>
      </c>
      <c r="H404" s="1">
        <v>15</v>
      </c>
      <c r="I404" s="1">
        <v>9594</v>
      </c>
      <c r="J404" s="1" t="s">
        <v>302</v>
      </c>
      <c r="K404" s="1" t="s">
        <v>23</v>
      </c>
      <c r="L404" s="1" t="s">
        <v>303</v>
      </c>
      <c r="M404" s="1">
        <v>1</v>
      </c>
      <c r="N404" s="2">
        <v>62.12</v>
      </c>
      <c r="O404" s="3">
        <v>75</v>
      </c>
      <c r="P404" s="1">
        <v>5</v>
      </c>
      <c r="Q404" s="1">
        <v>9</v>
      </c>
      <c r="R404" s="1">
        <v>200010002062</v>
      </c>
      <c r="S404" s="1">
        <v>29</v>
      </c>
      <c r="T404" s="1">
        <v>1</v>
      </c>
      <c r="U404" s="1">
        <v>4</v>
      </c>
      <c r="V404">
        <f t="shared" si="6"/>
        <v>75</v>
      </c>
    </row>
    <row r="405" spans="1:22" ht="13" x14ac:dyDescent="0.15">
      <c r="A405" s="4">
        <v>44775</v>
      </c>
      <c r="B405" s="5">
        <v>0.43678240740740742</v>
      </c>
      <c r="C405" s="1">
        <v>1433</v>
      </c>
      <c r="D405" s="1">
        <v>13002581</v>
      </c>
      <c r="E405" s="1">
        <v>13</v>
      </c>
      <c r="F405" s="1">
        <v>22589</v>
      </c>
      <c r="G405" s="1" t="s">
        <v>21</v>
      </c>
      <c r="H405" s="1">
        <v>15</v>
      </c>
      <c r="I405" s="1">
        <v>78687</v>
      </c>
      <c r="J405" s="1" t="s">
        <v>518</v>
      </c>
      <c r="K405" s="1" t="s">
        <v>51</v>
      </c>
      <c r="L405" s="1" t="s">
        <v>519</v>
      </c>
      <c r="M405" s="1">
        <v>1</v>
      </c>
      <c r="N405" s="2">
        <v>66.400000000000006</v>
      </c>
      <c r="O405" s="3">
        <v>105</v>
      </c>
      <c r="P405" s="1">
        <v>10</v>
      </c>
      <c r="Q405" s="1">
        <v>9</v>
      </c>
      <c r="R405" s="1">
        <v>200010002062</v>
      </c>
      <c r="S405" s="1">
        <v>29</v>
      </c>
      <c r="T405" s="1">
        <v>1</v>
      </c>
      <c r="U405" s="1">
        <v>1</v>
      </c>
      <c r="V405">
        <f t="shared" si="6"/>
        <v>105</v>
      </c>
    </row>
    <row r="406" spans="1:22" ht="13" x14ac:dyDescent="0.15">
      <c r="A406" s="4">
        <v>44775</v>
      </c>
      <c r="B406" s="5">
        <v>0.43678240740740742</v>
      </c>
      <c r="C406" s="1">
        <v>1433</v>
      </c>
      <c r="D406" s="1">
        <v>13002581</v>
      </c>
      <c r="E406" s="1">
        <v>13</v>
      </c>
      <c r="F406" s="1">
        <v>22589</v>
      </c>
      <c r="G406" s="1" t="s">
        <v>21</v>
      </c>
      <c r="H406" s="1">
        <v>15</v>
      </c>
      <c r="I406" s="1">
        <v>29118</v>
      </c>
      <c r="J406" s="1" t="s">
        <v>520</v>
      </c>
      <c r="K406" s="1" t="s">
        <v>51</v>
      </c>
      <c r="L406" s="1" t="s">
        <v>269</v>
      </c>
      <c r="M406" s="1">
        <v>2</v>
      </c>
      <c r="N406" s="2">
        <v>29.75</v>
      </c>
      <c r="O406" s="3">
        <v>49</v>
      </c>
      <c r="P406" s="1">
        <v>9</v>
      </c>
      <c r="Q406" s="1">
        <v>9</v>
      </c>
      <c r="R406" s="1">
        <v>200010002062</v>
      </c>
      <c r="S406" s="1">
        <v>29</v>
      </c>
      <c r="T406" s="1">
        <v>1</v>
      </c>
      <c r="U406" s="1">
        <v>2</v>
      </c>
      <c r="V406">
        <f t="shared" si="6"/>
        <v>98</v>
      </c>
    </row>
    <row r="407" spans="1:22" ht="13" x14ac:dyDescent="0.15">
      <c r="A407" s="4">
        <v>44775</v>
      </c>
      <c r="B407" s="5">
        <v>0.4375</v>
      </c>
      <c r="C407" s="1">
        <v>1434</v>
      </c>
      <c r="D407" s="1">
        <v>13002581</v>
      </c>
      <c r="E407" s="1">
        <v>13</v>
      </c>
      <c r="F407" s="1">
        <v>22589</v>
      </c>
      <c r="G407" s="1" t="s">
        <v>21</v>
      </c>
      <c r="H407" s="1">
        <v>15</v>
      </c>
      <c r="I407" s="1">
        <v>473</v>
      </c>
      <c r="J407" s="1" t="s">
        <v>521</v>
      </c>
      <c r="K407" s="1" t="s">
        <v>23</v>
      </c>
      <c r="L407" s="1" t="s">
        <v>303</v>
      </c>
      <c r="M407" s="1">
        <v>1</v>
      </c>
      <c r="N407" s="2">
        <v>47.59</v>
      </c>
      <c r="O407" s="3">
        <v>73</v>
      </c>
      <c r="P407" s="1">
        <v>5</v>
      </c>
      <c r="Q407" s="1">
        <v>9</v>
      </c>
      <c r="R407" s="1">
        <v>200010007796</v>
      </c>
      <c r="S407" s="1">
        <v>29</v>
      </c>
      <c r="T407" s="1">
        <v>1</v>
      </c>
      <c r="U407" s="1">
        <v>1</v>
      </c>
      <c r="V407">
        <f t="shared" si="6"/>
        <v>73</v>
      </c>
    </row>
    <row r="408" spans="1:22" ht="13" x14ac:dyDescent="0.15">
      <c r="A408" s="4">
        <v>44775</v>
      </c>
      <c r="B408" s="5">
        <v>0.4375</v>
      </c>
      <c r="C408" s="1">
        <v>1434</v>
      </c>
      <c r="D408" s="1">
        <v>13002581</v>
      </c>
      <c r="E408" s="1">
        <v>13</v>
      </c>
      <c r="F408" s="1">
        <v>22589</v>
      </c>
      <c r="G408" s="1" t="s">
        <v>21</v>
      </c>
      <c r="H408" s="1">
        <v>15</v>
      </c>
      <c r="I408" s="1">
        <v>473</v>
      </c>
      <c r="J408" s="1" t="s">
        <v>521</v>
      </c>
      <c r="K408" s="1" t="s">
        <v>23</v>
      </c>
      <c r="L408" s="1" t="s">
        <v>303</v>
      </c>
      <c r="M408" s="1">
        <v>1</v>
      </c>
      <c r="N408" s="2">
        <v>47.59</v>
      </c>
      <c r="O408" s="3">
        <v>73</v>
      </c>
      <c r="P408" s="1">
        <v>5</v>
      </c>
      <c r="Q408" s="1">
        <v>9</v>
      </c>
      <c r="R408" s="1">
        <v>200010007796</v>
      </c>
      <c r="S408" s="1">
        <v>29</v>
      </c>
      <c r="T408" s="1">
        <v>1</v>
      </c>
      <c r="U408" s="1">
        <v>2</v>
      </c>
      <c r="V408">
        <f t="shared" si="6"/>
        <v>73</v>
      </c>
    </row>
    <row r="409" spans="1:22" ht="13" x14ac:dyDescent="0.15">
      <c r="A409" s="4">
        <v>44775</v>
      </c>
      <c r="B409" s="5">
        <v>0.4375</v>
      </c>
      <c r="C409" s="1">
        <v>1434</v>
      </c>
      <c r="D409" s="1">
        <v>13002581</v>
      </c>
      <c r="E409" s="1">
        <v>13</v>
      </c>
      <c r="F409" s="1">
        <v>22589</v>
      </c>
      <c r="G409" s="1" t="s">
        <v>21</v>
      </c>
      <c r="H409" s="1">
        <v>15</v>
      </c>
      <c r="I409" s="1">
        <v>2302</v>
      </c>
      <c r="J409" s="1" t="s">
        <v>81</v>
      </c>
      <c r="K409" s="1" t="s">
        <v>61</v>
      </c>
      <c r="L409" s="1" t="s">
        <v>82</v>
      </c>
      <c r="M409" s="1">
        <v>1</v>
      </c>
      <c r="N409" s="2">
        <v>148.28</v>
      </c>
      <c r="O409" s="3">
        <v>174</v>
      </c>
      <c r="P409" s="1">
        <v>8</v>
      </c>
      <c r="Q409" s="1">
        <v>9</v>
      </c>
      <c r="R409" s="1">
        <v>200010007796</v>
      </c>
      <c r="S409" s="1">
        <v>29</v>
      </c>
      <c r="T409" s="1">
        <v>1</v>
      </c>
      <c r="U409" s="1">
        <v>3</v>
      </c>
      <c r="V409">
        <f t="shared" si="6"/>
        <v>174</v>
      </c>
    </row>
    <row r="410" spans="1:22" ht="13" x14ac:dyDescent="0.15">
      <c r="A410" s="4">
        <v>44775</v>
      </c>
      <c r="B410" s="5">
        <v>0.44471064814814815</v>
      </c>
      <c r="C410" s="1">
        <v>1435</v>
      </c>
      <c r="D410" s="1">
        <v>13002581</v>
      </c>
      <c r="E410" s="1">
        <v>13</v>
      </c>
      <c r="F410" s="1">
        <v>22589</v>
      </c>
      <c r="G410" s="1" t="s">
        <v>21</v>
      </c>
      <c r="H410" s="1">
        <v>18</v>
      </c>
      <c r="I410" s="1">
        <v>168705</v>
      </c>
      <c r="J410" s="1" t="s">
        <v>522</v>
      </c>
      <c r="K410" s="1" t="s">
        <v>110</v>
      </c>
      <c r="L410" s="1" t="s">
        <v>449</v>
      </c>
      <c r="M410" s="1">
        <v>1</v>
      </c>
      <c r="N410" s="2">
        <v>98.01</v>
      </c>
      <c r="O410" s="3">
        <v>121</v>
      </c>
      <c r="P410" s="1">
        <v>0</v>
      </c>
      <c r="Q410" s="1" t="s">
        <v>25</v>
      </c>
      <c r="R410" s="1" t="s">
        <v>25</v>
      </c>
      <c r="S410" s="1">
        <v>29</v>
      </c>
      <c r="T410" s="1">
        <v>1</v>
      </c>
      <c r="U410" s="1">
        <v>1</v>
      </c>
      <c r="V410">
        <f t="shared" si="6"/>
        <v>121</v>
      </c>
    </row>
    <row r="411" spans="1:22" ht="13" x14ac:dyDescent="0.15">
      <c r="A411" s="4">
        <v>44775</v>
      </c>
      <c r="B411" s="5">
        <v>0.44946759259259261</v>
      </c>
      <c r="C411" s="1">
        <v>1436</v>
      </c>
      <c r="D411" s="1">
        <v>13002581</v>
      </c>
      <c r="E411" s="1">
        <v>13</v>
      </c>
      <c r="F411" s="1">
        <v>22589</v>
      </c>
      <c r="G411" s="1" t="s">
        <v>21</v>
      </c>
      <c r="H411" s="1">
        <v>18</v>
      </c>
      <c r="I411" s="1">
        <v>347696</v>
      </c>
      <c r="J411" s="1" t="s">
        <v>523</v>
      </c>
      <c r="K411" s="1" t="s">
        <v>51</v>
      </c>
      <c r="L411" s="1" t="s">
        <v>492</v>
      </c>
      <c r="M411" s="1">
        <v>1</v>
      </c>
      <c r="N411" s="2">
        <v>288.08</v>
      </c>
      <c r="O411" s="3">
        <v>438</v>
      </c>
      <c r="P411" s="1">
        <v>43</v>
      </c>
      <c r="Q411" s="1">
        <v>9</v>
      </c>
      <c r="R411" s="1">
        <v>200010011842</v>
      </c>
      <c r="S411" s="1">
        <v>29</v>
      </c>
      <c r="T411" s="1">
        <v>1</v>
      </c>
      <c r="U411" s="1">
        <v>2</v>
      </c>
      <c r="V411">
        <f t="shared" si="6"/>
        <v>438</v>
      </c>
    </row>
    <row r="412" spans="1:22" ht="13" x14ac:dyDescent="0.15">
      <c r="A412" s="4">
        <v>44775</v>
      </c>
      <c r="B412" s="5">
        <v>0.44946759259259261</v>
      </c>
      <c r="C412" s="1">
        <v>1436</v>
      </c>
      <c r="D412" s="1">
        <v>13002581</v>
      </c>
      <c r="E412" s="1">
        <v>13</v>
      </c>
      <c r="F412" s="1">
        <v>22589</v>
      </c>
      <c r="G412" s="1" t="s">
        <v>21</v>
      </c>
      <c r="H412" s="1">
        <v>18</v>
      </c>
      <c r="I412" s="1">
        <v>317995</v>
      </c>
      <c r="J412" s="1" t="s">
        <v>524</v>
      </c>
      <c r="K412" s="1" t="s">
        <v>64</v>
      </c>
      <c r="L412" s="1" t="s">
        <v>306</v>
      </c>
      <c r="M412" s="1">
        <v>1</v>
      </c>
      <c r="N412" s="2">
        <v>108.5</v>
      </c>
      <c r="O412" s="3">
        <v>149</v>
      </c>
      <c r="P412" s="1">
        <v>10</v>
      </c>
      <c r="Q412" s="1">
        <v>9</v>
      </c>
      <c r="R412" s="1">
        <v>200010011842</v>
      </c>
      <c r="S412" s="1">
        <v>29</v>
      </c>
      <c r="T412" s="1">
        <v>1</v>
      </c>
      <c r="U412" s="1">
        <v>3</v>
      </c>
      <c r="V412">
        <f t="shared" si="6"/>
        <v>149</v>
      </c>
    </row>
    <row r="413" spans="1:22" ht="13" x14ac:dyDescent="0.15">
      <c r="A413" s="4">
        <v>44775</v>
      </c>
      <c r="B413" s="5">
        <v>0.44946759259259261</v>
      </c>
      <c r="C413" s="1">
        <v>1436</v>
      </c>
      <c r="D413" s="1">
        <v>13002581</v>
      </c>
      <c r="E413" s="1">
        <v>13</v>
      </c>
      <c r="F413" s="1">
        <v>22589</v>
      </c>
      <c r="G413" s="1" t="s">
        <v>21</v>
      </c>
      <c r="H413" s="1">
        <v>18</v>
      </c>
      <c r="I413" s="1">
        <v>323715</v>
      </c>
      <c r="J413" s="1" t="s">
        <v>525</v>
      </c>
      <c r="K413" s="1" t="s">
        <v>29</v>
      </c>
      <c r="L413" s="1" t="s">
        <v>526</v>
      </c>
      <c r="M413" s="1">
        <v>1</v>
      </c>
      <c r="N413" s="2">
        <v>145.06</v>
      </c>
      <c r="O413" s="3">
        <v>225</v>
      </c>
      <c r="P413" s="1">
        <v>22</v>
      </c>
      <c r="Q413" s="1">
        <v>9</v>
      </c>
      <c r="R413" s="1">
        <v>200010011842</v>
      </c>
      <c r="S413" s="1">
        <v>29</v>
      </c>
      <c r="T413" s="1">
        <v>1</v>
      </c>
      <c r="U413" s="1">
        <v>1</v>
      </c>
      <c r="V413">
        <f t="shared" si="6"/>
        <v>225</v>
      </c>
    </row>
    <row r="414" spans="1:22" ht="13" x14ac:dyDescent="0.15">
      <c r="A414" s="4">
        <v>44775</v>
      </c>
      <c r="B414" s="5">
        <v>0.59129629629629632</v>
      </c>
      <c r="C414" s="1">
        <v>1480</v>
      </c>
      <c r="D414" s="1">
        <v>13002581</v>
      </c>
      <c r="E414" s="1">
        <v>13</v>
      </c>
      <c r="F414" s="1">
        <v>22589</v>
      </c>
      <c r="G414" s="1" t="s">
        <v>21</v>
      </c>
      <c r="H414" s="1">
        <v>18</v>
      </c>
      <c r="I414" s="1">
        <v>323715</v>
      </c>
      <c r="J414" s="1" t="s">
        <v>525</v>
      </c>
      <c r="K414" s="1" t="s">
        <v>29</v>
      </c>
      <c r="L414" s="1" t="s">
        <v>526</v>
      </c>
      <c r="M414" s="1">
        <v>1</v>
      </c>
      <c r="N414" s="2">
        <v>145.06</v>
      </c>
      <c r="O414" s="3">
        <v>225</v>
      </c>
      <c r="P414" s="1">
        <v>0</v>
      </c>
      <c r="Q414" s="1" t="s">
        <v>25</v>
      </c>
      <c r="R414" s="1" t="s">
        <v>25</v>
      </c>
      <c r="S414" s="1">
        <v>29</v>
      </c>
      <c r="T414" s="1">
        <v>1</v>
      </c>
      <c r="U414" s="1">
        <v>1</v>
      </c>
      <c r="V414">
        <f t="shared" si="6"/>
        <v>225</v>
      </c>
    </row>
    <row r="415" spans="1:22" ht="13" x14ac:dyDescent="0.15">
      <c r="A415" s="4">
        <v>44775</v>
      </c>
      <c r="B415" s="5">
        <v>0.45052083333333331</v>
      </c>
      <c r="C415" s="1">
        <v>1437</v>
      </c>
      <c r="D415" s="1">
        <v>13002581</v>
      </c>
      <c r="E415" s="1">
        <v>13</v>
      </c>
      <c r="F415" s="1">
        <v>22589</v>
      </c>
      <c r="G415" s="1" t="s">
        <v>21</v>
      </c>
      <c r="H415" s="1">
        <v>18</v>
      </c>
      <c r="I415" s="1">
        <v>114</v>
      </c>
      <c r="J415" s="1" t="s">
        <v>527</v>
      </c>
      <c r="K415" s="1" t="s">
        <v>117</v>
      </c>
      <c r="L415" s="1" t="s">
        <v>528</v>
      </c>
      <c r="M415" s="1">
        <v>1</v>
      </c>
      <c r="N415" s="2">
        <v>338.92</v>
      </c>
      <c r="O415" s="3">
        <v>448</v>
      </c>
      <c r="P415" s="1">
        <v>0</v>
      </c>
      <c r="Q415" s="1" t="s">
        <v>25</v>
      </c>
      <c r="R415" s="1" t="s">
        <v>25</v>
      </c>
      <c r="S415" s="1">
        <v>29</v>
      </c>
      <c r="T415" s="1">
        <v>1</v>
      </c>
      <c r="U415" s="1">
        <v>1</v>
      </c>
      <c r="V415">
        <f t="shared" si="6"/>
        <v>448</v>
      </c>
    </row>
    <row r="416" spans="1:22" ht="13" x14ac:dyDescent="0.15">
      <c r="A416" s="4">
        <v>44775</v>
      </c>
      <c r="B416" s="5">
        <v>0.45318287037037036</v>
      </c>
      <c r="C416" s="1">
        <v>1438</v>
      </c>
      <c r="D416" s="1">
        <v>13002581</v>
      </c>
      <c r="E416" s="1">
        <v>13</v>
      </c>
      <c r="F416" s="1">
        <v>22589</v>
      </c>
      <c r="G416" s="1" t="s">
        <v>21</v>
      </c>
      <c r="H416" s="1">
        <v>15</v>
      </c>
      <c r="I416" s="1">
        <v>344242</v>
      </c>
      <c r="J416" s="1" t="s">
        <v>262</v>
      </c>
      <c r="K416" s="1" t="s">
        <v>51</v>
      </c>
      <c r="L416" s="1" t="s">
        <v>222</v>
      </c>
      <c r="M416" s="1">
        <v>1</v>
      </c>
      <c r="N416" s="2">
        <v>44.59</v>
      </c>
      <c r="O416" s="3">
        <v>55</v>
      </c>
      <c r="P416" s="1">
        <v>2</v>
      </c>
      <c r="Q416" s="1">
        <v>9</v>
      </c>
      <c r="R416" s="1">
        <v>200010001691</v>
      </c>
      <c r="S416" s="1">
        <v>29</v>
      </c>
      <c r="T416" s="1">
        <v>1</v>
      </c>
      <c r="U416" s="1">
        <v>1</v>
      </c>
      <c r="V416">
        <f t="shared" si="6"/>
        <v>55</v>
      </c>
    </row>
    <row r="417" spans="1:22" ht="13" x14ac:dyDescent="0.15">
      <c r="A417" s="4">
        <v>44775</v>
      </c>
      <c r="B417" s="5">
        <v>0.45318287037037036</v>
      </c>
      <c r="C417" s="1">
        <v>1438</v>
      </c>
      <c r="D417" s="1">
        <v>13002581</v>
      </c>
      <c r="E417" s="1">
        <v>13</v>
      </c>
      <c r="F417" s="1">
        <v>22589</v>
      </c>
      <c r="G417" s="1" t="s">
        <v>21</v>
      </c>
      <c r="H417" s="1">
        <v>15</v>
      </c>
      <c r="I417" s="1">
        <v>344242</v>
      </c>
      <c r="J417" s="1" t="s">
        <v>262</v>
      </c>
      <c r="K417" s="1" t="s">
        <v>51</v>
      </c>
      <c r="L417" s="1" t="s">
        <v>222</v>
      </c>
      <c r="M417" s="1">
        <v>1</v>
      </c>
      <c r="N417" s="2">
        <v>44.59</v>
      </c>
      <c r="O417" s="3">
        <v>55</v>
      </c>
      <c r="P417" s="1">
        <v>2</v>
      </c>
      <c r="Q417" s="1">
        <v>9</v>
      </c>
      <c r="R417" s="1">
        <v>200010001691</v>
      </c>
      <c r="S417" s="1">
        <v>29</v>
      </c>
      <c r="T417" s="1">
        <v>1</v>
      </c>
      <c r="U417" s="1">
        <v>2</v>
      </c>
      <c r="V417">
        <f t="shared" si="6"/>
        <v>55</v>
      </c>
    </row>
    <row r="418" spans="1:22" ht="13" x14ac:dyDescent="0.15">
      <c r="A418" s="4">
        <v>44775</v>
      </c>
      <c r="B418" s="5">
        <v>0.46902777777777777</v>
      </c>
      <c r="C418" s="1">
        <v>1443</v>
      </c>
      <c r="D418" s="1">
        <v>13002581</v>
      </c>
      <c r="E418" s="1">
        <v>13</v>
      </c>
      <c r="F418" s="1">
        <v>22589</v>
      </c>
      <c r="G418" s="1" t="s">
        <v>21</v>
      </c>
      <c r="H418" s="1">
        <v>18</v>
      </c>
      <c r="I418" s="1">
        <v>344242</v>
      </c>
      <c r="J418" s="1" t="s">
        <v>262</v>
      </c>
      <c r="K418" s="1" t="s">
        <v>51</v>
      </c>
      <c r="L418" s="1" t="s">
        <v>222</v>
      </c>
      <c r="M418" s="1">
        <v>1</v>
      </c>
      <c r="N418" s="2">
        <v>44.59</v>
      </c>
      <c r="O418" s="3">
        <v>55</v>
      </c>
      <c r="P418" s="1">
        <v>2</v>
      </c>
      <c r="Q418" s="1">
        <v>9</v>
      </c>
      <c r="R418" s="1">
        <v>200010022530</v>
      </c>
      <c r="S418" s="1">
        <v>29</v>
      </c>
      <c r="T418" s="1">
        <v>1</v>
      </c>
      <c r="U418" s="1">
        <v>1</v>
      </c>
      <c r="V418">
        <f t="shared" si="6"/>
        <v>55</v>
      </c>
    </row>
    <row r="419" spans="1:22" ht="13" x14ac:dyDescent="0.15">
      <c r="A419" s="4">
        <v>44775</v>
      </c>
      <c r="B419" s="5">
        <v>0.46049768518518519</v>
      </c>
      <c r="C419" s="1">
        <v>1439</v>
      </c>
      <c r="D419" s="1">
        <v>13002581</v>
      </c>
      <c r="E419" s="1">
        <v>13</v>
      </c>
      <c r="F419" s="1">
        <v>22589</v>
      </c>
      <c r="G419" s="1" t="s">
        <v>21</v>
      </c>
      <c r="H419" s="1">
        <v>15</v>
      </c>
      <c r="I419" s="1">
        <v>2302</v>
      </c>
      <c r="J419" s="1" t="s">
        <v>81</v>
      </c>
      <c r="K419" s="1" t="s">
        <v>61</v>
      </c>
      <c r="L419" s="1" t="s">
        <v>82</v>
      </c>
      <c r="M419" s="1">
        <v>1</v>
      </c>
      <c r="N419" s="2">
        <v>148.28</v>
      </c>
      <c r="O419" s="3">
        <v>174</v>
      </c>
      <c r="P419" s="1">
        <v>8</v>
      </c>
      <c r="Q419" s="1">
        <v>9</v>
      </c>
      <c r="R419" s="1">
        <v>200010022427</v>
      </c>
      <c r="S419" s="1">
        <v>29</v>
      </c>
      <c r="T419" s="1">
        <v>1</v>
      </c>
      <c r="U419" s="1">
        <v>2</v>
      </c>
      <c r="V419">
        <f t="shared" si="6"/>
        <v>174</v>
      </c>
    </row>
    <row r="420" spans="1:22" ht="13" x14ac:dyDescent="0.15">
      <c r="A420" s="4">
        <v>44775</v>
      </c>
      <c r="B420" s="5">
        <v>0.46049768518518519</v>
      </c>
      <c r="C420" s="1">
        <v>1439</v>
      </c>
      <c r="D420" s="1">
        <v>13002581</v>
      </c>
      <c r="E420" s="1">
        <v>13</v>
      </c>
      <c r="F420" s="1">
        <v>22589</v>
      </c>
      <c r="G420" s="1" t="s">
        <v>21</v>
      </c>
      <c r="H420" s="1">
        <v>15</v>
      </c>
      <c r="I420" s="1">
        <v>724</v>
      </c>
      <c r="J420" s="1" t="s">
        <v>529</v>
      </c>
      <c r="K420" s="1" t="s">
        <v>23</v>
      </c>
      <c r="L420" s="1" t="s">
        <v>214</v>
      </c>
      <c r="M420" s="1">
        <v>1</v>
      </c>
      <c r="N420" s="2">
        <v>66.09</v>
      </c>
      <c r="O420" s="3">
        <v>78</v>
      </c>
      <c r="P420" s="1">
        <v>3</v>
      </c>
      <c r="Q420" s="1">
        <v>9</v>
      </c>
      <c r="R420" s="1">
        <v>200010022427</v>
      </c>
      <c r="S420" s="1">
        <v>29</v>
      </c>
      <c r="T420" s="1">
        <v>1</v>
      </c>
      <c r="U420" s="1">
        <v>1</v>
      </c>
      <c r="V420">
        <f t="shared" si="6"/>
        <v>78</v>
      </c>
    </row>
    <row r="421" spans="1:22" ht="13" x14ac:dyDescent="0.15">
      <c r="A421" s="4">
        <v>44775</v>
      </c>
      <c r="B421" s="5">
        <v>0.46228009259259262</v>
      </c>
      <c r="C421" s="1">
        <v>1440</v>
      </c>
      <c r="D421" s="1">
        <v>13002581</v>
      </c>
      <c r="E421" s="1">
        <v>13</v>
      </c>
      <c r="F421" s="1">
        <v>22589</v>
      </c>
      <c r="G421" s="1" t="s">
        <v>21</v>
      </c>
      <c r="H421" s="1">
        <v>18</v>
      </c>
      <c r="I421" s="1">
        <v>1398</v>
      </c>
      <c r="J421" s="1" t="s">
        <v>530</v>
      </c>
      <c r="K421" s="1" t="s">
        <v>51</v>
      </c>
      <c r="L421" s="1" t="s">
        <v>531</v>
      </c>
      <c r="M421" s="1">
        <v>1</v>
      </c>
      <c r="N421" s="2">
        <v>530.53</v>
      </c>
      <c r="O421" s="3">
        <v>685</v>
      </c>
      <c r="P421" s="1">
        <v>0</v>
      </c>
      <c r="Q421" s="1" t="s">
        <v>25</v>
      </c>
      <c r="R421" s="1" t="s">
        <v>25</v>
      </c>
      <c r="S421" s="1">
        <v>29</v>
      </c>
      <c r="T421" s="1">
        <v>1</v>
      </c>
      <c r="U421" s="1">
        <v>3</v>
      </c>
      <c r="V421">
        <f t="shared" si="6"/>
        <v>685</v>
      </c>
    </row>
    <row r="422" spans="1:22" ht="13" x14ac:dyDescent="0.15">
      <c r="A422" s="4">
        <v>44775</v>
      </c>
      <c r="B422" s="5">
        <v>0.46228009259259262</v>
      </c>
      <c r="C422" s="1">
        <v>1440</v>
      </c>
      <c r="D422" s="1">
        <v>13002581</v>
      </c>
      <c r="E422" s="1">
        <v>13</v>
      </c>
      <c r="F422" s="1">
        <v>22589</v>
      </c>
      <c r="G422" s="1" t="s">
        <v>21</v>
      </c>
      <c r="H422" s="1">
        <v>18</v>
      </c>
      <c r="I422" s="1">
        <v>132492</v>
      </c>
      <c r="J422" s="1" t="s">
        <v>469</v>
      </c>
      <c r="K422" s="1" t="s">
        <v>64</v>
      </c>
      <c r="L422" s="1" t="s">
        <v>470</v>
      </c>
      <c r="M422" s="1">
        <v>1</v>
      </c>
      <c r="N422" s="2">
        <v>18</v>
      </c>
      <c r="O422" s="3">
        <v>30</v>
      </c>
      <c r="P422" s="1">
        <v>0</v>
      </c>
      <c r="Q422" s="1" t="s">
        <v>25</v>
      </c>
      <c r="R422" s="1" t="s">
        <v>25</v>
      </c>
      <c r="S422" s="1">
        <v>29</v>
      </c>
      <c r="T422" s="1">
        <v>1</v>
      </c>
      <c r="U422" s="1">
        <v>2</v>
      </c>
      <c r="V422">
        <f t="shared" si="6"/>
        <v>30</v>
      </c>
    </row>
    <row r="423" spans="1:22" ht="13" x14ac:dyDescent="0.15">
      <c r="A423" s="4">
        <v>44775</v>
      </c>
      <c r="B423" s="5">
        <v>0.46228009259259262</v>
      </c>
      <c r="C423" s="1">
        <v>1440</v>
      </c>
      <c r="D423" s="1">
        <v>13002581</v>
      </c>
      <c r="E423" s="1">
        <v>13</v>
      </c>
      <c r="F423" s="1">
        <v>22589</v>
      </c>
      <c r="G423" s="1" t="s">
        <v>21</v>
      </c>
      <c r="H423" s="1">
        <v>18</v>
      </c>
      <c r="I423" s="1">
        <v>30028</v>
      </c>
      <c r="J423" s="1" t="s">
        <v>166</v>
      </c>
      <c r="K423" s="1" t="s">
        <v>51</v>
      </c>
      <c r="L423" s="1" t="s">
        <v>167</v>
      </c>
      <c r="M423" s="1">
        <v>2</v>
      </c>
      <c r="N423" s="2">
        <v>10.01</v>
      </c>
      <c r="O423" s="3">
        <v>17</v>
      </c>
      <c r="P423" s="1">
        <v>0</v>
      </c>
      <c r="Q423" s="1" t="s">
        <v>25</v>
      </c>
      <c r="R423" s="1" t="s">
        <v>25</v>
      </c>
      <c r="S423" s="1">
        <v>29</v>
      </c>
      <c r="T423" s="1">
        <v>1</v>
      </c>
      <c r="U423" s="1">
        <v>1</v>
      </c>
      <c r="V423">
        <f t="shared" si="6"/>
        <v>34</v>
      </c>
    </row>
    <row r="424" spans="1:22" ht="13" x14ac:dyDescent="0.15">
      <c r="A424" s="4">
        <v>44775</v>
      </c>
      <c r="B424" s="5">
        <v>0.7406018518518519</v>
      </c>
      <c r="C424" s="1">
        <v>1516</v>
      </c>
      <c r="D424" s="1">
        <v>13002581</v>
      </c>
      <c r="E424" s="1">
        <v>13</v>
      </c>
      <c r="F424" s="1">
        <v>22589</v>
      </c>
      <c r="G424" s="1" t="s">
        <v>21</v>
      </c>
      <c r="H424" s="1">
        <v>15</v>
      </c>
      <c r="I424" s="1">
        <v>30028</v>
      </c>
      <c r="J424" s="1" t="s">
        <v>166</v>
      </c>
      <c r="K424" s="1" t="s">
        <v>51</v>
      </c>
      <c r="L424" s="1" t="s">
        <v>167</v>
      </c>
      <c r="M424" s="1">
        <v>1</v>
      </c>
      <c r="N424" s="2">
        <v>10.01</v>
      </c>
      <c r="O424" s="3">
        <v>17</v>
      </c>
      <c r="P424" s="1">
        <v>1</v>
      </c>
      <c r="Q424" s="1">
        <v>9</v>
      </c>
      <c r="R424" s="1">
        <v>200010018923</v>
      </c>
      <c r="S424" s="1">
        <v>29</v>
      </c>
      <c r="T424" s="1">
        <v>1</v>
      </c>
      <c r="U424" s="1">
        <v>1</v>
      </c>
      <c r="V424">
        <f t="shared" si="6"/>
        <v>17</v>
      </c>
    </row>
    <row r="425" spans="1:22" ht="13" x14ac:dyDescent="0.15">
      <c r="A425" s="4">
        <v>44775</v>
      </c>
      <c r="B425" s="5">
        <v>0.46716435185185184</v>
      </c>
      <c r="C425" s="1">
        <v>1441</v>
      </c>
      <c r="D425" s="1">
        <v>13002581</v>
      </c>
      <c r="E425" s="1">
        <v>13</v>
      </c>
      <c r="F425" s="1">
        <v>22589</v>
      </c>
      <c r="G425" s="1" t="s">
        <v>21</v>
      </c>
      <c r="H425" s="1">
        <v>18</v>
      </c>
      <c r="I425" s="1">
        <v>83</v>
      </c>
      <c r="J425" s="1" t="s">
        <v>532</v>
      </c>
      <c r="K425" s="1" t="s">
        <v>51</v>
      </c>
      <c r="L425" s="1" t="s">
        <v>533</v>
      </c>
      <c r="M425" s="1">
        <v>1</v>
      </c>
      <c r="N425" s="2">
        <v>308.89999999999998</v>
      </c>
      <c r="O425" s="3">
        <v>371</v>
      </c>
      <c r="P425" s="1">
        <v>25</v>
      </c>
      <c r="Q425" s="1">
        <v>9</v>
      </c>
      <c r="R425" s="1">
        <v>200010022273</v>
      </c>
      <c r="S425" s="1">
        <v>29</v>
      </c>
      <c r="T425" s="1">
        <v>1</v>
      </c>
      <c r="U425" s="1">
        <v>1</v>
      </c>
      <c r="V425">
        <f t="shared" si="6"/>
        <v>371</v>
      </c>
    </row>
    <row r="426" spans="1:22" ht="13" x14ac:dyDescent="0.15">
      <c r="A426" s="4">
        <v>44775</v>
      </c>
      <c r="B426" s="5">
        <v>0.46716435185185184</v>
      </c>
      <c r="C426" s="1">
        <v>1441</v>
      </c>
      <c r="D426" s="1">
        <v>13002581</v>
      </c>
      <c r="E426" s="1">
        <v>13</v>
      </c>
      <c r="F426" s="1">
        <v>22589</v>
      </c>
      <c r="G426" s="1" t="s">
        <v>21</v>
      </c>
      <c r="H426" s="1">
        <v>18</v>
      </c>
      <c r="I426" s="1">
        <v>182633</v>
      </c>
      <c r="J426" s="1" t="s">
        <v>534</v>
      </c>
      <c r="K426" s="1" t="s">
        <v>117</v>
      </c>
      <c r="L426" s="1" t="s">
        <v>394</v>
      </c>
      <c r="M426" s="1">
        <v>1</v>
      </c>
      <c r="N426" s="2">
        <v>210.19</v>
      </c>
      <c r="O426" s="3">
        <v>253</v>
      </c>
      <c r="P426" s="1">
        <v>12</v>
      </c>
      <c r="Q426" s="1">
        <v>9</v>
      </c>
      <c r="R426" s="1">
        <v>200010022273</v>
      </c>
      <c r="S426" s="1">
        <v>29</v>
      </c>
      <c r="T426" s="1">
        <v>1</v>
      </c>
      <c r="U426" s="1">
        <v>2</v>
      </c>
      <c r="V426">
        <f t="shared" si="6"/>
        <v>253</v>
      </c>
    </row>
    <row r="427" spans="1:22" ht="13" x14ac:dyDescent="0.15">
      <c r="A427" s="4">
        <v>44775</v>
      </c>
      <c r="B427" s="5">
        <v>0.46902777777777777</v>
      </c>
      <c r="C427" s="1">
        <v>1443</v>
      </c>
      <c r="D427" s="1">
        <v>13002581</v>
      </c>
      <c r="E427" s="1">
        <v>13</v>
      </c>
      <c r="F427" s="1">
        <v>22589</v>
      </c>
      <c r="G427" s="1" t="s">
        <v>21</v>
      </c>
      <c r="H427" s="1">
        <v>18</v>
      </c>
      <c r="I427" s="1">
        <v>418134</v>
      </c>
      <c r="J427" s="1" t="s">
        <v>418</v>
      </c>
      <c r="K427" s="1" t="s">
        <v>51</v>
      </c>
      <c r="L427" s="1" t="s">
        <v>76</v>
      </c>
      <c r="M427" s="1">
        <v>1</v>
      </c>
      <c r="N427" s="2">
        <v>30.25</v>
      </c>
      <c r="O427" s="3">
        <v>35</v>
      </c>
      <c r="P427" s="1">
        <v>2</v>
      </c>
      <c r="Q427" s="1">
        <v>9</v>
      </c>
      <c r="R427" s="1">
        <v>200010022530</v>
      </c>
      <c r="S427" s="1">
        <v>29</v>
      </c>
      <c r="T427" s="1">
        <v>1</v>
      </c>
      <c r="U427" s="1">
        <v>2</v>
      </c>
      <c r="V427">
        <f t="shared" si="6"/>
        <v>35</v>
      </c>
    </row>
    <row r="428" spans="1:22" ht="13" x14ac:dyDescent="0.15">
      <c r="A428" s="4">
        <v>44775</v>
      </c>
      <c r="B428" s="5">
        <v>0.46902777777777777</v>
      </c>
      <c r="C428" s="1">
        <v>1443</v>
      </c>
      <c r="D428" s="1">
        <v>13002581</v>
      </c>
      <c r="E428" s="1">
        <v>13</v>
      </c>
      <c r="F428" s="1">
        <v>22589</v>
      </c>
      <c r="G428" s="1" t="s">
        <v>21</v>
      </c>
      <c r="H428" s="1">
        <v>18</v>
      </c>
      <c r="I428" s="1">
        <v>418134</v>
      </c>
      <c r="J428" s="1" t="s">
        <v>418</v>
      </c>
      <c r="K428" s="1" t="s">
        <v>51</v>
      </c>
      <c r="L428" s="1" t="s">
        <v>76</v>
      </c>
      <c r="M428" s="1">
        <v>1</v>
      </c>
      <c r="N428" s="2">
        <v>30.25</v>
      </c>
      <c r="O428" s="3">
        <v>35</v>
      </c>
      <c r="P428" s="1">
        <v>2</v>
      </c>
      <c r="Q428" s="1">
        <v>9</v>
      </c>
      <c r="R428" s="1">
        <v>200010022530</v>
      </c>
      <c r="S428" s="1">
        <v>29</v>
      </c>
      <c r="T428" s="1">
        <v>1</v>
      </c>
      <c r="U428" s="1">
        <v>3</v>
      </c>
      <c r="V428">
        <f t="shared" si="6"/>
        <v>35</v>
      </c>
    </row>
    <row r="429" spans="1:22" ht="13" x14ac:dyDescent="0.15">
      <c r="A429" s="4">
        <v>44775</v>
      </c>
      <c r="B429" s="5">
        <v>0.46902777777777777</v>
      </c>
      <c r="C429" s="1">
        <v>1443</v>
      </c>
      <c r="D429" s="1">
        <v>13002581</v>
      </c>
      <c r="E429" s="1">
        <v>13</v>
      </c>
      <c r="F429" s="1">
        <v>22589</v>
      </c>
      <c r="G429" s="1" t="s">
        <v>21</v>
      </c>
      <c r="H429" s="1">
        <v>18</v>
      </c>
      <c r="I429" s="1">
        <v>418134</v>
      </c>
      <c r="J429" s="1" t="s">
        <v>418</v>
      </c>
      <c r="K429" s="1" t="s">
        <v>51</v>
      </c>
      <c r="L429" s="1" t="s">
        <v>76</v>
      </c>
      <c r="M429" s="1">
        <v>1</v>
      </c>
      <c r="N429" s="2">
        <v>30.25</v>
      </c>
      <c r="O429" s="3">
        <v>35</v>
      </c>
      <c r="P429" s="1">
        <v>2</v>
      </c>
      <c r="Q429" s="1">
        <v>9</v>
      </c>
      <c r="R429" s="1">
        <v>200010022530</v>
      </c>
      <c r="S429" s="1">
        <v>29</v>
      </c>
      <c r="T429" s="1">
        <v>1</v>
      </c>
      <c r="U429" s="1">
        <v>4</v>
      </c>
      <c r="V429">
        <f t="shared" si="6"/>
        <v>35</v>
      </c>
    </row>
    <row r="430" spans="1:22" ht="13" x14ac:dyDescent="0.15">
      <c r="A430" s="4">
        <v>44775</v>
      </c>
      <c r="B430" s="5">
        <v>0.46902777777777777</v>
      </c>
      <c r="C430" s="1">
        <v>1443</v>
      </c>
      <c r="D430" s="1">
        <v>13002581</v>
      </c>
      <c r="E430" s="1">
        <v>13</v>
      </c>
      <c r="F430" s="1">
        <v>22589</v>
      </c>
      <c r="G430" s="1" t="s">
        <v>21</v>
      </c>
      <c r="H430" s="1">
        <v>18</v>
      </c>
      <c r="I430" s="1">
        <v>418134</v>
      </c>
      <c r="J430" s="1" t="s">
        <v>418</v>
      </c>
      <c r="K430" s="1" t="s">
        <v>51</v>
      </c>
      <c r="L430" s="1" t="s">
        <v>76</v>
      </c>
      <c r="M430" s="1">
        <v>1</v>
      </c>
      <c r="N430" s="2">
        <v>30.25</v>
      </c>
      <c r="O430" s="3">
        <v>35</v>
      </c>
      <c r="P430" s="1">
        <v>2</v>
      </c>
      <c r="Q430" s="1">
        <v>9</v>
      </c>
      <c r="R430" s="1">
        <v>200010022530</v>
      </c>
      <c r="S430" s="1">
        <v>29</v>
      </c>
      <c r="T430" s="1">
        <v>1</v>
      </c>
      <c r="U430" s="1">
        <v>5</v>
      </c>
      <c r="V430">
        <f t="shared" si="6"/>
        <v>35</v>
      </c>
    </row>
    <row r="431" spans="1:22" ht="13" x14ac:dyDescent="0.15">
      <c r="A431" s="4">
        <v>44775</v>
      </c>
      <c r="B431" s="5">
        <v>0.5242013888888889</v>
      </c>
      <c r="C431" s="1">
        <v>1464</v>
      </c>
      <c r="D431" s="1">
        <v>13002581</v>
      </c>
      <c r="E431" s="1">
        <v>13</v>
      </c>
      <c r="F431" s="1">
        <v>22589</v>
      </c>
      <c r="G431" s="1" t="s">
        <v>21</v>
      </c>
      <c r="H431" s="1">
        <v>15</v>
      </c>
      <c r="I431" s="1">
        <v>418134</v>
      </c>
      <c r="J431" s="1" t="s">
        <v>418</v>
      </c>
      <c r="K431" s="1" t="s">
        <v>51</v>
      </c>
      <c r="L431" s="1" t="s">
        <v>76</v>
      </c>
      <c r="M431" s="1">
        <v>1</v>
      </c>
      <c r="N431" s="2">
        <v>30.25</v>
      </c>
      <c r="O431" s="3">
        <v>35</v>
      </c>
      <c r="P431" s="1">
        <v>2</v>
      </c>
      <c r="Q431" s="1">
        <v>9</v>
      </c>
      <c r="R431" s="1">
        <v>200010009449</v>
      </c>
      <c r="S431" s="1">
        <v>29</v>
      </c>
      <c r="T431" s="1">
        <v>1</v>
      </c>
      <c r="U431" s="1">
        <v>1</v>
      </c>
      <c r="V431">
        <f t="shared" si="6"/>
        <v>35</v>
      </c>
    </row>
    <row r="432" spans="1:22" ht="13" x14ac:dyDescent="0.15">
      <c r="A432" s="4">
        <v>44775</v>
      </c>
      <c r="B432" s="5">
        <v>0.47571759259259261</v>
      </c>
      <c r="C432" s="1">
        <v>1444</v>
      </c>
      <c r="D432" s="1">
        <v>13002581</v>
      </c>
      <c r="E432" s="1">
        <v>13</v>
      </c>
      <c r="F432" s="1">
        <v>22589</v>
      </c>
      <c r="G432" s="1" t="s">
        <v>21</v>
      </c>
      <c r="H432" s="1">
        <v>15</v>
      </c>
      <c r="I432" s="1">
        <v>347426</v>
      </c>
      <c r="J432" s="1" t="s">
        <v>535</v>
      </c>
      <c r="K432" s="1" t="s">
        <v>51</v>
      </c>
      <c r="L432" s="1" t="s">
        <v>536</v>
      </c>
      <c r="M432" s="1">
        <v>1</v>
      </c>
      <c r="N432" s="2">
        <v>2552.4299999999998</v>
      </c>
      <c r="O432" s="3">
        <v>3497</v>
      </c>
      <c r="P432" s="1">
        <v>349</v>
      </c>
      <c r="Q432" s="1">
        <v>9</v>
      </c>
      <c r="R432" s="1">
        <v>200010001691</v>
      </c>
      <c r="S432" s="1">
        <v>29</v>
      </c>
      <c r="T432" s="1">
        <v>1</v>
      </c>
      <c r="U432" s="1">
        <v>1</v>
      </c>
      <c r="V432">
        <f t="shared" si="6"/>
        <v>3497</v>
      </c>
    </row>
    <row r="433" spans="1:22" ht="13" x14ac:dyDescent="0.15">
      <c r="A433" s="4">
        <v>44775</v>
      </c>
      <c r="B433" s="5">
        <v>0.47620370370370368</v>
      </c>
      <c r="C433" s="1">
        <v>1445</v>
      </c>
      <c r="D433" s="1">
        <v>13002581</v>
      </c>
      <c r="E433" s="1">
        <v>13</v>
      </c>
      <c r="F433" s="1">
        <v>22589</v>
      </c>
      <c r="G433" s="1" t="s">
        <v>21</v>
      </c>
      <c r="H433" s="1">
        <v>18</v>
      </c>
      <c r="I433" s="1">
        <v>2302</v>
      </c>
      <c r="J433" s="1" t="s">
        <v>81</v>
      </c>
      <c r="K433" s="1" t="s">
        <v>61</v>
      </c>
      <c r="L433" s="1" t="s">
        <v>82</v>
      </c>
      <c r="M433" s="1">
        <v>1</v>
      </c>
      <c r="N433" s="2">
        <v>148.28</v>
      </c>
      <c r="O433" s="3">
        <v>174</v>
      </c>
      <c r="P433" s="1">
        <v>8</v>
      </c>
      <c r="Q433" s="1">
        <v>9</v>
      </c>
      <c r="R433" s="1">
        <v>200010011842</v>
      </c>
      <c r="S433" s="1">
        <v>29</v>
      </c>
      <c r="T433" s="1">
        <v>1</v>
      </c>
      <c r="U433" s="1">
        <v>1</v>
      </c>
      <c r="V433">
        <f t="shared" si="6"/>
        <v>174</v>
      </c>
    </row>
    <row r="434" spans="1:22" ht="13" x14ac:dyDescent="0.15">
      <c r="A434" s="4">
        <v>44775</v>
      </c>
      <c r="B434" s="5">
        <v>0.4767824074074074</v>
      </c>
      <c r="C434" s="1">
        <v>1446</v>
      </c>
      <c r="D434" s="1">
        <v>13002581</v>
      </c>
      <c r="E434" s="1">
        <v>13</v>
      </c>
      <c r="F434" s="1">
        <v>22589</v>
      </c>
      <c r="G434" s="1" t="s">
        <v>21</v>
      </c>
      <c r="H434" s="1">
        <v>18</v>
      </c>
      <c r="I434" s="1">
        <v>41241</v>
      </c>
      <c r="J434" s="1" t="s">
        <v>150</v>
      </c>
      <c r="K434" s="1" t="s">
        <v>34</v>
      </c>
      <c r="L434" s="1" t="s">
        <v>151</v>
      </c>
      <c r="M434" s="1">
        <v>1</v>
      </c>
      <c r="N434" s="2">
        <v>99.97</v>
      </c>
      <c r="O434" s="3">
        <v>121.72</v>
      </c>
      <c r="P434" s="1">
        <v>0</v>
      </c>
      <c r="Q434" s="1" t="s">
        <v>25</v>
      </c>
      <c r="R434" s="1" t="s">
        <v>25</v>
      </c>
      <c r="S434" s="1">
        <v>29</v>
      </c>
      <c r="T434" s="1">
        <v>2</v>
      </c>
      <c r="U434" s="1">
        <v>1</v>
      </c>
      <c r="V434">
        <f t="shared" si="6"/>
        <v>121.72</v>
      </c>
    </row>
    <row r="435" spans="1:22" ht="13" x14ac:dyDescent="0.15">
      <c r="A435" s="4">
        <v>44775</v>
      </c>
      <c r="B435" s="5">
        <v>0.7515856481481481</v>
      </c>
      <c r="C435" s="1">
        <v>1521</v>
      </c>
      <c r="D435" s="1">
        <v>13002581</v>
      </c>
      <c r="E435" s="1">
        <v>13</v>
      </c>
      <c r="F435" s="1">
        <v>22589</v>
      </c>
      <c r="G435" s="1" t="s">
        <v>21</v>
      </c>
      <c r="H435" s="1">
        <v>18</v>
      </c>
      <c r="I435" s="1">
        <v>41241</v>
      </c>
      <c r="J435" s="1" t="s">
        <v>150</v>
      </c>
      <c r="K435" s="1" t="s">
        <v>34</v>
      </c>
      <c r="L435" s="1" t="s">
        <v>151</v>
      </c>
      <c r="M435" s="1">
        <v>1</v>
      </c>
      <c r="N435" s="2">
        <v>99.97</v>
      </c>
      <c r="O435" s="3">
        <v>121.72</v>
      </c>
      <c r="P435" s="1">
        <v>0</v>
      </c>
      <c r="Q435" s="1" t="s">
        <v>25</v>
      </c>
      <c r="R435" s="1" t="s">
        <v>25</v>
      </c>
      <c r="S435" s="1">
        <v>29</v>
      </c>
      <c r="T435" s="1">
        <v>2</v>
      </c>
      <c r="U435" s="1">
        <v>2</v>
      </c>
      <c r="V435">
        <f t="shared" si="6"/>
        <v>121.72</v>
      </c>
    </row>
    <row r="436" spans="1:22" ht="13" x14ac:dyDescent="0.15">
      <c r="A436" s="4">
        <v>44775</v>
      </c>
      <c r="B436" s="5">
        <v>0.48201388888888891</v>
      </c>
      <c r="C436" s="1">
        <v>1447</v>
      </c>
      <c r="D436" s="1">
        <v>13002581</v>
      </c>
      <c r="E436" s="1">
        <v>13</v>
      </c>
      <c r="F436" s="1">
        <v>22589</v>
      </c>
      <c r="G436" s="1" t="s">
        <v>21</v>
      </c>
      <c r="H436" s="1">
        <v>18</v>
      </c>
      <c r="I436" s="1">
        <v>312886</v>
      </c>
      <c r="J436" s="1" t="s">
        <v>537</v>
      </c>
      <c r="K436" s="1" t="s">
        <v>61</v>
      </c>
      <c r="L436" s="1" t="s">
        <v>37</v>
      </c>
      <c r="M436" s="1">
        <v>1</v>
      </c>
      <c r="N436" s="2">
        <v>559.67999999999995</v>
      </c>
      <c r="O436" s="3">
        <v>722</v>
      </c>
      <c r="P436" s="1">
        <v>50</v>
      </c>
      <c r="Q436" s="1">
        <v>9</v>
      </c>
      <c r="R436" s="1">
        <v>200010016190</v>
      </c>
      <c r="S436" s="1">
        <v>29</v>
      </c>
      <c r="T436" s="1">
        <v>1</v>
      </c>
      <c r="U436" s="1">
        <v>1</v>
      </c>
      <c r="V436">
        <f t="shared" si="6"/>
        <v>722</v>
      </c>
    </row>
    <row r="437" spans="1:22" ht="13" x14ac:dyDescent="0.15">
      <c r="A437" s="4">
        <v>44775</v>
      </c>
      <c r="B437" s="5">
        <v>0.48563657407407407</v>
      </c>
      <c r="C437" s="1">
        <v>1448</v>
      </c>
      <c r="D437" s="1">
        <v>13002581</v>
      </c>
      <c r="E437" s="1">
        <v>13</v>
      </c>
      <c r="F437" s="1">
        <v>22589</v>
      </c>
      <c r="G437" s="1" t="s">
        <v>21</v>
      </c>
      <c r="H437" s="1">
        <v>15</v>
      </c>
      <c r="I437" s="1">
        <v>523021</v>
      </c>
      <c r="J437" s="1" t="s">
        <v>538</v>
      </c>
      <c r="K437" s="1" t="s">
        <v>23</v>
      </c>
      <c r="L437" s="1" t="s">
        <v>539</v>
      </c>
      <c r="M437" s="1">
        <v>1</v>
      </c>
      <c r="N437" s="2">
        <v>127.49</v>
      </c>
      <c r="O437" s="3">
        <v>153</v>
      </c>
      <c r="P437" s="1">
        <v>7</v>
      </c>
      <c r="Q437" s="1">
        <v>9</v>
      </c>
      <c r="R437" s="1">
        <v>200010014189</v>
      </c>
      <c r="S437" s="1">
        <v>29</v>
      </c>
      <c r="T437" s="1">
        <v>1</v>
      </c>
      <c r="U437" s="1">
        <v>1</v>
      </c>
      <c r="V437">
        <f t="shared" si="6"/>
        <v>153</v>
      </c>
    </row>
    <row r="438" spans="1:22" ht="13" x14ac:dyDescent="0.15">
      <c r="A438" s="4">
        <v>44775</v>
      </c>
      <c r="B438" s="5">
        <v>0.48563657407407407</v>
      </c>
      <c r="C438" s="1">
        <v>1448</v>
      </c>
      <c r="D438" s="1">
        <v>13002581</v>
      </c>
      <c r="E438" s="1">
        <v>13</v>
      </c>
      <c r="F438" s="1">
        <v>22589</v>
      </c>
      <c r="G438" s="1" t="s">
        <v>21</v>
      </c>
      <c r="H438" s="1">
        <v>15</v>
      </c>
      <c r="I438" s="1">
        <v>1329</v>
      </c>
      <c r="J438" s="1" t="s">
        <v>540</v>
      </c>
      <c r="K438" s="1" t="s">
        <v>34</v>
      </c>
      <c r="L438" s="1" t="s">
        <v>541</v>
      </c>
      <c r="M438" s="1">
        <v>0.2</v>
      </c>
      <c r="N438" s="2">
        <v>419.66</v>
      </c>
      <c r="O438" s="3">
        <v>554</v>
      </c>
      <c r="P438" s="1">
        <v>6.8</v>
      </c>
      <c r="Q438" s="1">
        <v>9</v>
      </c>
      <c r="R438" s="1">
        <v>200010014189</v>
      </c>
      <c r="S438" s="1">
        <v>29</v>
      </c>
      <c r="T438" s="1">
        <v>1</v>
      </c>
      <c r="U438" s="1">
        <v>2</v>
      </c>
      <c r="V438">
        <f t="shared" si="6"/>
        <v>110.80000000000001</v>
      </c>
    </row>
    <row r="439" spans="1:22" ht="13" x14ac:dyDescent="0.15">
      <c r="A439" s="4">
        <v>44775</v>
      </c>
      <c r="B439" s="5">
        <v>0.48714120370370373</v>
      </c>
      <c r="C439" s="1">
        <v>1449</v>
      </c>
      <c r="D439" s="1">
        <v>13002581</v>
      </c>
      <c r="E439" s="1">
        <v>13</v>
      </c>
      <c r="F439" s="1">
        <v>22589</v>
      </c>
      <c r="G439" s="1" t="s">
        <v>21</v>
      </c>
      <c r="H439" s="1">
        <v>15</v>
      </c>
      <c r="I439" s="1">
        <v>98751</v>
      </c>
      <c r="J439" s="1" t="s">
        <v>542</v>
      </c>
      <c r="K439" s="1" t="s">
        <v>51</v>
      </c>
      <c r="L439" s="1" t="s">
        <v>543</v>
      </c>
      <c r="M439" s="1">
        <v>1</v>
      </c>
      <c r="N439" s="2">
        <v>77.22</v>
      </c>
      <c r="O439" s="3">
        <v>122</v>
      </c>
      <c r="P439" s="1">
        <v>0</v>
      </c>
      <c r="Q439" s="1" t="s">
        <v>25</v>
      </c>
      <c r="R439" s="1" t="s">
        <v>25</v>
      </c>
      <c r="S439" s="1">
        <v>29</v>
      </c>
      <c r="T439" s="1">
        <v>1</v>
      </c>
      <c r="U439" s="1">
        <v>1</v>
      </c>
      <c r="V439">
        <f t="shared" si="6"/>
        <v>122</v>
      </c>
    </row>
    <row r="440" spans="1:22" ht="13" x14ac:dyDescent="0.15">
      <c r="A440" s="4">
        <v>44775</v>
      </c>
      <c r="B440" s="5">
        <v>0.49315972222222221</v>
      </c>
      <c r="C440" s="1">
        <v>1450</v>
      </c>
      <c r="D440" s="1">
        <v>13002581</v>
      </c>
      <c r="E440" s="1">
        <v>13</v>
      </c>
      <c r="F440" s="1">
        <v>22589</v>
      </c>
      <c r="G440" s="1" t="s">
        <v>21</v>
      </c>
      <c r="H440" s="1">
        <v>15</v>
      </c>
      <c r="I440" s="1">
        <v>4189</v>
      </c>
      <c r="J440" s="1" t="s">
        <v>544</v>
      </c>
      <c r="K440" s="1" t="s">
        <v>117</v>
      </c>
      <c r="L440" s="1" t="s">
        <v>545</v>
      </c>
      <c r="M440" s="1">
        <v>1</v>
      </c>
      <c r="N440" s="2">
        <v>559.91</v>
      </c>
      <c r="O440" s="3">
        <v>624</v>
      </c>
      <c r="P440" s="1">
        <v>18</v>
      </c>
      <c r="Q440" s="1">
        <v>9</v>
      </c>
      <c r="R440" s="1">
        <v>200010019550</v>
      </c>
      <c r="S440" s="1">
        <v>29</v>
      </c>
      <c r="T440" s="1">
        <v>1</v>
      </c>
      <c r="U440" s="1">
        <v>1</v>
      </c>
      <c r="V440">
        <f t="shared" si="6"/>
        <v>624</v>
      </c>
    </row>
    <row r="441" spans="1:22" ht="13" x14ac:dyDescent="0.15">
      <c r="A441" s="4">
        <v>44775</v>
      </c>
      <c r="B441" s="5">
        <v>0.49315972222222221</v>
      </c>
      <c r="C441" s="1">
        <v>1450</v>
      </c>
      <c r="D441" s="1">
        <v>13002581</v>
      </c>
      <c r="E441" s="1">
        <v>13</v>
      </c>
      <c r="F441" s="1">
        <v>22589</v>
      </c>
      <c r="G441" s="1" t="s">
        <v>21</v>
      </c>
      <c r="H441" s="1">
        <v>15</v>
      </c>
      <c r="I441" s="1">
        <v>256548</v>
      </c>
      <c r="J441" s="1" t="s">
        <v>546</v>
      </c>
      <c r="K441" s="1" t="s">
        <v>117</v>
      </c>
      <c r="L441" s="1" t="s">
        <v>547</v>
      </c>
      <c r="M441" s="1">
        <v>1</v>
      </c>
      <c r="N441" s="2">
        <v>174.32</v>
      </c>
      <c r="O441" s="3">
        <v>231</v>
      </c>
      <c r="P441" s="1">
        <v>23</v>
      </c>
      <c r="Q441" s="1">
        <v>9</v>
      </c>
      <c r="R441" s="1">
        <v>200010019550</v>
      </c>
      <c r="S441" s="1">
        <v>29</v>
      </c>
      <c r="T441" s="1">
        <v>1</v>
      </c>
      <c r="U441" s="1">
        <v>2</v>
      </c>
      <c r="V441">
        <f t="shared" si="6"/>
        <v>231</v>
      </c>
    </row>
    <row r="442" spans="1:22" ht="13" x14ac:dyDescent="0.15">
      <c r="A442" s="4">
        <v>44775</v>
      </c>
      <c r="B442" s="5">
        <v>0.49315972222222221</v>
      </c>
      <c r="C442" s="1">
        <v>1450</v>
      </c>
      <c r="D442" s="1">
        <v>13002581</v>
      </c>
      <c r="E442" s="1">
        <v>13</v>
      </c>
      <c r="F442" s="1">
        <v>22589</v>
      </c>
      <c r="G442" s="1" t="s">
        <v>21</v>
      </c>
      <c r="H442" s="1">
        <v>15</v>
      </c>
      <c r="I442" s="1">
        <v>278599</v>
      </c>
      <c r="J442" s="1" t="s">
        <v>98</v>
      </c>
      <c r="K442" s="1" t="s">
        <v>23</v>
      </c>
      <c r="L442" s="1" t="s">
        <v>99</v>
      </c>
      <c r="M442" s="1">
        <v>2</v>
      </c>
      <c r="N442" s="2">
        <v>30.62</v>
      </c>
      <c r="O442" s="3">
        <v>50</v>
      </c>
      <c r="P442" s="1">
        <v>10</v>
      </c>
      <c r="Q442" s="1">
        <v>9</v>
      </c>
      <c r="R442" s="1">
        <v>200010019550</v>
      </c>
      <c r="S442" s="1">
        <v>29</v>
      </c>
      <c r="T442" s="1">
        <v>1</v>
      </c>
      <c r="U442" s="1">
        <v>3</v>
      </c>
      <c r="V442">
        <f t="shared" si="6"/>
        <v>100</v>
      </c>
    </row>
    <row r="443" spans="1:22" ht="13" x14ac:dyDescent="0.15">
      <c r="A443" s="4">
        <v>44775</v>
      </c>
      <c r="B443" s="5">
        <v>0.49481481481481482</v>
      </c>
      <c r="C443" s="1">
        <v>1451</v>
      </c>
      <c r="D443" s="1">
        <v>13002581</v>
      </c>
      <c r="E443" s="1">
        <v>13</v>
      </c>
      <c r="F443" s="1">
        <v>22589</v>
      </c>
      <c r="G443" s="1" t="s">
        <v>21</v>
      </c>
      <c r="H443" s="1">
        <v>18</v>
      </c>
      <c r="I443" s="1">
        <v>499560</v>
      </c>
      <c r="J443" s="1" t="s">
        <v>548</v>
      </c>
      <c r="K443" s="1" t="s">
        <v>48</v>
      </c>
      <c r="L443" s="1" t="s">
        <v>547</v>
      </c>
      <c r="M443" s="1">
        <v>1</v>
      </c>
      <c r="N443" s="2">
        <v>107.38</v>
      </c>
      <c r="O443" s="3">
        <v>167</v>
      </c>
      <c r="P443" s="1">
        <v>0</v>
      </c>
      <c r="Q443" s="1" t="s">
        <v>25</v>
      </c>
      <c r="R443" s="1" t="s">
        <v>25</v>
      </c>
      <c r="S443" s="1">
        <v>29</v>
      </c>
      <c r="T443" s="1">
        <v>1</v>
      </c>
      <c r="U443" s="1">
        <v>1</v>
      </c>
      <c r="V443">
        <f t="shared" si="6"/>
        <v>167</v>
      </c>
    </row>
    <row r="444" spans="1:22" ht="13" x14ac:dyDescent="0.15">
      <c r="A444" s="4">
        <v>44775</v>
      </c>
      <c r="B444" s="5">
        <v>0.49481481481481482</v>
      </c>
      <c r="C444" s="1">
        <v>1451</v>
      </c>
      <c r="D444" s="1">
        <v>13002581</v>
      </c>
      <c r="E444" s="1">
        <v>13</v>
      </c>
      <c r="F444" s="1">
        <v>22589</v>
      </c>
      <c r="G444" s="1" t="s">
        <v>21</v>
      </c>
      <c r="H444" s="1">
        <v>18</v>
      </c>
      <c r="I444" s="1">
        <v>90385</v>
      </c>
      <c r="J444" s="1" t="s">
        <v>549</v>
      </c>
      <c r="K444" s="1" t="s">
        <v>51</v>
      </c>
      <c r="L444" s="1" t="s">
        <v>368</v>
      </c>
      <c r="M444" s="1">
        <v>1</v>
      </c>
      <c r="N444" s="2">
        <v>35.049999999999997</v>
      </c>
      <c r="O444" s="3">
        <v>57</v>
      </c>
      <c r="P444" s="1">
        <v>0</v>
      </c>
      <c r="Q444" s="1" t="s">
        <v>25</v>
      </c>
      <c r="R444" s="1" t="s">
        <v>25</v>
      </c>
      <c r="S444" s="1">
        <v>29</v>
      </c>
      <c r="T444" s="1">
        <v>1</v>
      </c>
      <c r="U444" s="1">
        <v>2</v>
      </c>
      <c r="V444">
        <f t="shared" si="6"/>
        <v>57</v>
      </c>
    </row>
    <row r="445" spans="1:22" ht="13" x14ac:dyDescent="0.15">
      <c r="A445" s="4">
        <v>44775</v>
      </c>
      <c r="B445" s="5">
        <v>0.49568287037037034</v>
      </c>
      <c r="C445" s="1">
        <v>1452</v>
      </c>
      <c r="D445" s="1">
        <v>13002581</v>
      </c>
      <c r="E445" s="1">
        <v>13</v>
      </c>
      <c r="F445" s="1">
        <v>22589</v>
      </c>
      <c r="G445" s="1" t="s">
        <v>21</v>
      </c>
      <c r="H445" s="1">
        <v>15</v>
      </c>
      <c r="I445" s="1">
        <v>345542</v>
      </c>
      <c r="J445" s="1" t="s">
        <v>384</v>
      </c>
      <c r="K445" s="1" t="s">
        <v>51</v>
      </c>
      <c r="L445" s="1" t="s">
        <v>76</v>
      </c>
      <c r="M445" s="1">
        <v>1</v>
      </c>
      <c r="N445" s="2">
        <v>15.18</v>
      </c>
      <c r="O445" s="3">
        <v>19</v>
      </c>
      <c r="P445" s="1">
        <v>0</v>
      </c>
      <c r="Q445" s="1" t="s">
        <v>25</v>
      </c>
      <c r="R445" s="1" t="s">
        <v>25</v>
      </c>
      <c r="S445" s="1">
        <v>29</v>
      </c>
      <c r="T445" s="1">
        <v>1</v>
      </c>
      <c r="U445" s="1">
        <v>1</v>
      </c>
      <c r="V445">
        <f t="shared" si="6"/>
        <v>19</v>
      </c>
    </row>
    <row r="446" spans="1:22" ht="13" x14ac:dyDescent="0.15">
      <c r="A446" s="4">
        <v>44775</v>
      </c>
      <c r="B446" s="5">
        <v>0.49568287037037034</v>
      </c>
      <c r="C446" s="1">
        <v>1452</v>
      </c>
      <c r="D446" s="1">
        <v>13002581</v>
      </c>
      <c r="E446" s="1">
        <v>13</v>
      </c>
      <c r="F446" s="1">
        <v>22589</v>
      </c>
      <c r="G446" s="1" t="s">
        <v>21</v>
      </c>
      <c r="H446" s="1">
        <v>15</v>
      </c>
      <c r="I446" s="1">
        <v>9937</v>
      </c>
      <c r="J446" s="1" t="s">
        <v>550</v>
      </c>
      <c r="K446" s="1" t="s">
        <v>117</v>
      </c>
      <c r="L446" s="1" t="s">
        <v>80</v>
      </c>
      <c r="M446" s="1">
        <v>1</v>
      </c>
      <c r="N446" s="2">
        <v>31.28</v>
      </c>
      <c r="O446" s="3">
        <v>54</v>
      </c>
      <c r="P446" s="1">
        <v>0</v>
      </c>
      <c r="Q446" s="1" t="s">
        <v>25</v>
      </c>
      <c r="R446" s="1" t="s">
        <v>25</v>
      </c>
      <c r="S446" s="1">
        <v>29</v>
      </c>
      <c r="T446" s="1">
        <v>1</v>
      </c>
      <c r="U446" s="1">
        <v>2</v>
      </c>
      <c r="V446">
        <f t="shared" si="6"/>
        <v>54</v>
      </c>
    </row>
    <row r="447" spans="1:22" ht="13" x14ac:dyDescent="0.15">
      <c r="A447" s="4">
        <v>44775</v>
      </c>
      <c r="B447" s="5">
        <v>0.49611111111111111</v>
      </c>
      <c r="C447" s="1">
        <v>1453</v>
      </c>
      <c r="D447" s="1">
        <v>13002581</v>
      </c>
      <c r="E447" s="1">
        <v>13</v>
      </c>
      <c r="F447" s="1">
        <v>22589</v>
      </c>
      <c r="G447" s="1" t="s">
        <v>21</v>
      </c>
      <c r="H447" s="1">
        <v>18</v>
      </c>
      <c r="I447" s="1">
        <v>105480</v>
      </c>
      <c r="J447" s="1" t="s">
        <v>551</v>
      </c>
      <c r="K447" s="1" t="s">
        <v>141</v>
      </c>
      <c r="L447" s="1" t="s">
        <v>552</v>
      </c>
      <c r="M447" s="1">
        <v>1</v>
      </c>
      <c r="N447" s="2">
        <v>809</v>
      </c>
      <c r="O447" s="3">
        <v>902</v>
      </c>
      <c r="P447" s="1">
        <v>0</v>
      </c>
      <c r="Q447" s="1" t="s">
        <v>25</v>
      </c>
      <c r="R447" s="1" t="s">
        <v>25</v>
      </c>
      <c r="S447" s="1">
        <v>29</v>
      </c>
      <c r="T447" s="1">
        <v>1</v>
      </c>
      <c r="U447" s="1">
        <v>1</v>
      </c>
      <c r="V447">
        <f t="shared" si="6"/>
        <v>902</v>
      </c>
    </row>
    <row r="448" spans="1:22" ht="13" x14ac:dyDescent="0.15">
      <c r="A448" s="4">
        <v>44775</v>
      </c>
      <c r="B448" s="5">
        <v>0.49800925925925926</v>
      </c>
      <c r="C448" s="1">
        <v>1454</v>
      </c>
      <c r="D448" s="1">
        <v>13002581</v>
      </c>
      <c r="E448" s="1">
        <v>13</v>
      </c>
      <c r="F448" s="1">
        <v>22589</v>
      </c>
      <c r="G448" s="1" t="s">
        <v>21</v>
      </c>
      <c r="H448" s="1">
        <v>15</v>
      </c>
      <c r="I448" s="1">
        <v>459</v>
      </c>
      <c r="J448" s="1" t="s">
        <v>553</v>
      </c>
      <c r="K448" s="1" t="s">
        <v>34</v>
      </c>
      <c r="L448" s="1" t="s">
        <v>554</v>
      </c>
      <c r="M448" s="1">
        <v>1</v>
      </c>
      <c r="N448" s="2">
        <v>316.54000000000002</v>
      </c>
      <c r="O448" s="3">
        <v>418</v>
      </c>
      <c r="P448" s="1">
        <v>29</v>
      </c>
      <c r="Q448" s="1">
        <v>9</v>
      </c>
      <c r="R448" s="1">
        <v>200010000733</v>
      </c>
      <c r="S448" s="1">
        <v>29</v>
      </c>
      <c r="T448" s="1">
        <v>1</v>
      </c>
      <c r="U448" s="1">
        <v>2</v>
      </c>
      <c r="V448">
        <f t="shared" si="6"/>
        <v>418</v>
      </c>
    </row>
    <row r="449" spans="1:22" ht="13" x14ac:dyDescent="0.15">
      <c r="A449" s="4">
        <v>44775</v>
      </c>
      <c r="B449" s="5">
        <v>0.49800925925925926</v>
      </c>
      <c r="C449" s="1">
        <v>1454</v>
      </c>
      <c r="D449" s="1">
        <v>13002581</v>
      </c>
      <c r="E449" s="1">
        <v>13</v>
      </c>
      <c r="F449" s="1">
        <v>22589</v>
      </c>
      <c r="G449" s="1" t="s">
        <v>21</v>
      </c>
      <c r="H449" s="1">
        <v>15</v>
      </c>
      <c r="I449" s="1">
        <v>354089</v>
      </c>
      <c r="J449" s="1" t="s">
        <v>369</v>
      </c>
      <c r="K449" s="1" t="s">
        <v>23</v>
      </c>
      <c r="L449" s="1" t="s">
        <v>76</v>
      </c>
      <c r="M449" s="1">
        <v>1</v>
      </c>
      <c r="N449" s="2">
        <v>39.47</v>
      </c>
      <c r="O449" s="3">
        <v>60</v>
      </c>
      <c r="P449" s="1">
        <v>4</v>
      </c>
      <c r="Q449" s="1">
        <v>9</v>
      </c>
      <c r="R449" s="1">
        <v>200010000733</v>
      </c>
      <c r="S449" s="1">
        <v>29</v>
      </c>
      <c r="T449" s="1">
        <v>1</v>
      </c>
      <c r="U449" s="1">
        <v>4</v>
      </c>
      <c r="V449">
        <f t="shared" si="6"/>
        <v>60</v>
      </c>
    </row>
    <row r="450" spans="1:22" ht="13" x14ac:dyDescent="0.15">
      <c r="A450" s="4">
        <v>44775</v>
      </c>
      <c r="B450" s="5">
        <v>0.49800925925925926</v>
      </c>
      <c r="C450" s="1">
        <v>1454</v>
      </c>
      <c r="D450" s="1">
        <v>13002581</v>
      </c>
      <c r="E450" s="1">
        <v>13</v>
      </c>
      <c r="F450" s="1">
        <v>22589</v>
      </c>
      <c r="G450" s="1" t="s">
        <v>21</v>
      </c>
      <c r="H450" s="1">
        <v>15</v>
      </c>
      <c r="I450" s="1">
        <v>51599</v>
      </c>
      <c r="J450" s="1" t="s">
        <v>555</v>
      </c>
      <c r="K450" s="1" t="s">
        <v>34</v>
      </c>
      <c r="L450" s="1" t="s">
        <v>226</v>
      </c>
      <c r="M450" s="1">
        <v>2</v>
      </c>
      <c r="N450" s="2">
        <v>37.49</v>
      </c>
      <c r="O450" s="3">
        <v>61</v>
      </c>
      <c r="P450" s="1">
        <v>12</v>
      </c>
      <c r="Q450" s="1">
        <v>9</v>
      </c>
      <c r="R450" s="1">
        <v>200010000733</v>
      </c>
      <c r="S450" s="1">
        <v>29</v>
      </c>
      <c r="T450" s="1">
        <v>1</v>
      </c>
      <c r="U450" s="1">
        <v>3</v>
      </c>
      <c r="V450">
        <f t="shared" si="6"/>
        <v>122</v>
      </c>
    </row>
    <row r="451" spans="1:22" ht="13" x14ac:dyDescent="0.15">
      <c r="A451" s="4">
        <v>44775</v>
      </c>
      <c r="B451" s="5">
        <v>0.49800925925925926</v>
      </c>
      <c r="C451" s="1">
        <v>1454</v>
      </c>
      <c r="D451" s="1">
        <v>13002581</v>
      </c>
      <c r="E451" s="1">
        <v>13</v>
      </c>
      <c r="F451" s="1">
        <v>22589</v>
      </c>
      <c r="G451" s="1" t="s">
        <v>21</v>
      </c>
      <c r="H451" s="1">
        <v>15</v>
      </c>
      <c r="I451" s="1">
        <v>498715</v>
      </c>
      <c r="J451" s="1" t="s">
        <v>556</v>
      </c>
      <c r="K451" s="1" t="s">
        <v>23</v>
      </c>
      <c r="L451" s="1" t="s">
        <v>175</v>
      </c>
      <c r="M451" s="1">
        <v>1</v>
      </c>
      <c r="N451" s="2">
        <v>454.23</v>
      </c>
      <c r="O451" s="3">
        <v>668</v>
      </c>
      <c r="P451" s="1">
        <v>66</v>
      </c>
      <c r="Q451" s="1">
        <v>9</v>
      </c>
      <c r="R451" s="1">
        <v>200010000733</v>
      </c>
      <c r="S451" s="1">
        <v>29</v>
      </c>
      <c r="T451" s="1">
        <v>1</v>
      </c>
      <c r="U451" s="1">
        <v>1</v>
      </c>
      <c r="V451">
        <f t="shared" ref="V451:V514" si="7">O451*M451</f>
        <v>668</v>
      </c>
    </row>
    <row r="452" spans="1:22" ht="13" x14ac:dyDescent="0.15">
      <c r="A452" s="4">
        <v>44775</v>
      </c>
      <c r="B452" s="5">
        <v>0.49857638888888889</v>
      </c>
      <c r="C452" s="1">
        <v>1455</v>
      </c>
      <c r="D452" s="1">
        <v>13002581</v>
      </c>
      <c r="E452" s="1">
        <v>13</v>
      </c>
      <c r="F452" s="1">
        <v>22589</v>
      </c>
      <c r="G452" s="1" t="s">
        <v>21</v>
      </c>
      <c r="H452" s="1">
        <v>18</v>
      </c>
      <c r="I452" s="1">
        <v>58685</v>
      </c>
      <c r="J452" s="1" t="s">
        <v>557</v>
      </c>
      <c r="K452" s="1" t="s">
        <v>51</v>
      </c>
      <c r="L452" s="1" t="s">
        <v>197</v>
      </c>
      <c r="M452" s="1">
        <v>1</v>
      </c>
      <c r="N452" s="2">
        <v>155.87</v>
      </c>
      <c r="O452" s="3">
        <v>214</v>
      </c>
      <c r="P452" s="1">
        <v>0</v>
      </c>
      <c r="Q452" s="1" t="s">
        <v>25</v>
      </c>
      <c r="R452" s="1" t="s">
        <v>25</v>
      </c>
      <c r="S452" s="1">
        <v>29</v>
      </c>
      <c r="T452" s="1">
        <v>1</v>
      </c>
      <c r="U452" s="1">
        <v>1</v>
      </c>
      <c r="V452">
        <f t="shared" si="7"/>
        <v>214</v>
      </c>
    </row>
    <row r="453" spans="1:22" ht="13" x14ac:dyDescent="0.15">
      <c r="A453" s="4">
        <v>44775</v>
      </c>
      <c r="B453" s="5">
        <v>0.5007638888888889</v>
      </c>
      <c r="C453" s="1">
        <v>1456</v>
      </c>
      <c r="D453" s="1">
        <v>13002581</v>
      </c>
      <c r="E453" s="1">
        <v>13</v>
      </c>
      <c r="F453" s="1">
        <v>22589</v>
      </c>
      <c r="G453" s="1" t="s">
        <v>21</v>
      </c>
      <c r="H453" s="1">
        <v>15</v>
      </c>
      <c r="I453" s="1">
        <v>11811</v>
      </c>
      <c r="J453" s="1" t="s">
        <v>558</v>
      </c>
      <c r="K453" s="1" t="s">
        <v>117</v>
      </c>
      <c r="L453" s="1" t="s">
        <v>559</v>
      </c>
      <c r="M453" s="1">
        <v>1</v>
      </c>
      <c r="N453" s="2">
        <v>357.61</v>
      </c>
      <c r="O453" s="3">
        <v>473</v>
      </c>
      <c r="P453" s="1">
        <v>33</v>
      </c>
      <c r="Q453" s="1">
        <v>9</v>
      </c>
      <c r="R453" s="1">
        <v>200010020256</v>
      </c>
      <c r="S453" s="1">
        <v>29</v>
      </c>
      <c r="T453" s="1">
        <v>1</v>
      </c>
      <c r="U453" s="1">
        <v>2</v>
      </c>
      <c r="V453">
        <f t="shared" si="7"/>
        <v>473</v>
      </c>
    </row>
    <row r="454" spans="1:22" ht="13" x14ac:dyDescent="0.15">
      <c r="A454" s="4">
        <v>44775</v>
      </c>
      <c r="B454" s="5">
        <v>0.5007638888888889</v>
      </c>
      <c r="C454" s="1">
        <v>1456</v>
      </c>
      <c r="D454" s="1">
        <v>13002581</v>
      </c>
      <c r="E454" s="1">
        <v>13</v>
      </c>
      <c r="F454" s="1">
        <v>22589</v>
      </c>
      <c r="G454" s="1" t="s">
        <v>21</v>
      </c>
      <c r="H454" s="1">
        <v>15</v>
      </c>
      <c r="I454" s="1">
        <v>149574</v>
      </c>
      <c r="J454" s="1" t="s">
        <v>560</v>
      </c>
      <c r="K454" s="1" t="s">
        <v>23</v>
      </c>
      <c r="L454" s="1" t="s">
        <v>159</v>
      </c>
      <c r="M454" s="1">
        <v>1</v>
      </c>
      <c r="N454" s="2">
        <v>81.400000000000006</v>
      </c>
      <c r="O454" s="3">
        <v>100</v>
      </c>
      <c r="P454" s="1">
        <v>5</v>
      </c>
      <c r="Q454" s="1">
        <v>9</v>
      </c>
      <c r="R454" s="1">
        <v>200010020256</v>
      </c>
      <c r="S454" s="1">
        <v>29</v>
      </c>
      <c r="T454" s="1">
        <v>1</v>
      </c>
      <c r="U454" s="1">
        <v>1</v>
      </c>
      <c r="V454">
        <f t="shared" si="7"/>
        <v>100</v>
      </c>
    </row>
    <row r="455" spans="1:22" ht="13" x14ac:dyDescent="0.15">
      <c r="A455" s="4">
        <v>44775</v>
      </c>
      <c r="B455" s="5">
        <v>0.50753472222222218</v>
      </c>
      <c r="C455" s="1">
        <v>1457</v>
      </c>
      <c r="D455" s="1">
        <v>13002581</v>
      </c>
      <c r="E455" s="1">
        <v>13</v>
      </c>
      <c r="F455" s="1">
        <v>22589</v>
      </c>
      <c r="G455" s="1" t="s">
        <v>21</v>
      </c>
      <c r="H455" s="1">
        <v>15</v>
      </c>
      <c r="I455" s="1">
        <v>276370</v>
      </c>
      <c r="J455" s="1" t="s">
        <v>31</v>
      </c>
      <c r="K455" s="1" t="s">
        <v>23</v>
      </c>
      <c r="L455" s="1" t="s">
        <v>32</v>
      </c>
      <c r="M455" s="1">
        <v>1</v>
      </c>
      <c r="N455" s="2">
        <v>443.5</v>
      </c>
      <c r="O455" s="3">
        <v>539</v>
      </c>
      <c r="P455" s="1">
        <v>53</v>
      </c>
      <c r="Q455" s="1">
        <v>30</v>
      </c>
      <c r="R455" s="1">
        <v>200000000024</v>
      </c>
      <c r="S455" s="1">
        <v>29</v>
      </c>
      <c r="T455" s="1">
        <v>1</v>
      </c>
      <c r="U455" s="1">
        <v>1</v>
      </c>
      <c r="V455">
        <f t="shared" si="7"/>
        <v>539</v>
      </c>
    </row>
    <row r="456" spans="1:22" ht="13" x14ac:dyDescent="0.15">
      <c r="A456" s="4">
        <v>44775</v>
      </c>
      <c r="B456" s="5">
        <v>0.50753472222222218</v>
      </c>
      <c r="C456" s="1">
        <v>1457</v>
      </c>
      <c r="D456" s="1">
        <v>13002581</v>
      </c>
      <c r="E456" s="1">
        <v>13</v>
      </c>
      <c r="F456" s="1">
        <v>22589</v>
      </c>
      <c r="G456" s="1" t="s">
        <v>21</v>
      </c>
      <c r="H456" s="1">
        <v>15</v>
      </c>
      <c r="I456" s="1">
        <v>276370</v>
      </c>
      <c r="J456" s="1" t="s">
        <v>31</v>
      </c>
      <c r="K456" s="1" t="s">
        <v>23</v>
      </c>
      <c r="L456" s="1" t="s">
        <v>32</v>
      </c>
      <c r="M456" s="1">
        <v>1</v>
      </c>
      <c r="N456" s="2">
        <v>443.5</v>
      </c>
      <c r="O456" s="3">
        <v>539</v>
      </c>
      <c r="P456" s="1">
        <v>53</v>
      </c>
      <c r="Q456" s="1">
        <v>30</v>
      </c>
      <c r="R456" s="1">
        <v>200000000024</v>
      </c>
      <c r="S456" s="1">
        <v>29</v>
      </c>
      <c r="T456" s="1">
        <v>1</v>
      </c>
      <c r="U456" s="1">
        <v>2</v>
      </c>
      <c r="V456">
        <f t="shared" si="7"/>
        <v>539</v>
      </c>
    </row>
    <row r="457" spans="1:22" ht="13" x14ac:dyDescent="0.15">
      <c r="A457" s="4">
        <v>44775</v>
      </c>
      <c r="B457" s="5">
        <v>0.50753472222222218</v>
      </c>
      <c r="C457" s="1">
        <v>1457</v>
      </c>
      <c r="D457" s="1">
        <v>13002581</v>
      </c>
      <c r="E457" s="1">
        <v>13</v>
      </c>
      <c r="F457" s="1">
        <v>22589</v>
      </c>
      <c r="G457" s="1" t="s">
        <v>21</v>
      </c>
      <c r="H457" s="1">
        <v>15</v>
      </c>
      <c r="I457" s="1">
        <v>475</v>
      </c>
      <c r="J457" s="1" t="s">
        <v>241</v>
      </c>
      <c r="K457" s="1" t="s">
        <v>117</v>
      </c>
      <c r="L457" s="1" t="s">
        <v>35</v>
      </c>
      <c r="M457" s="1">
        <v>1</v>
      </c>
      <c r="N457" s="2">
        <v>130.46</v>
      </c>
      <c r="O457" s="3">
        <v>179</v>
      </c>
      <c r="P457" s="1">
        <v>0</v>
      </c>
      <c r="Q457" s="1" t="s">
        <v>25</v>
      </c>
      <c r="R457" s="1" t="s">
        <v>25</v>
      </c>
      <c r="S457" s="1">
        <v>29</v>
      </c>
      <c r="T457" s="1">
        <v>1</v>
      </c>
      <c r="U457" s="1">
        <v>3</v>
      </c>
      <c r="V457">
        <f t="shared" si="7"/>
        <v>179</v>
      </c>
    </row>
    <row r="458" spans="1:22" ht="13" x14ac:dyDescent="0.15">
      <c r="A458" s="4">
        <v>44775</v>
      </c>
      <c r="B458" s="5">
        <v>0.50753472222222218</v>
      </c>
      <c r="C458" s="1">
        <v>1457</v>
      </c>
      <c r="D458" s="1">
        <v>13002581</v>
      </c>
      <c r="E458" s="1">
        <v>13</v>
      </c>
      <c r="F458" s="1">
        <v>22589</v>
      </c>
      <c r="G458" s="1" t="s">
        <v>21</v>
      </c>
      <c r="H458" s="1">
        <v>15</v>
      </c>
      <c r="I458" s="1">
        <v>2230</v>
      </c>
      <c r="J458" s="1" t="s">
        <v>561</v>
      </c>
      <c r="K458" s="1" t="s">
        <v>34</v>
      </c>
      <c r="L458" s="1" t="s">
        <v>192</v>
      </c>
      <c r="M458" s="1">
        <v>1</v>
      </c>
      <c r="N458" s="2">
        <v>225.28</v>
      </c>
      <c r="O458" s="3">
        <v>282</v>
      </c>
      <c r="P458" s="1">
        <v>0</v>
      </c>
      <c r="Q458" s="1" t="s">
        <v>25</v>
      </c>
      <c r="R458" s="1" t="s">
        <v>25</v>
      </c>
      <c r="S458" s="1">
        <v>29</v>
      </c>
      <c r="T458" s="1">
        <v>1</v>
      </c>
      <c r="U458" s="1">
        <v>5</v>
      </c>
      <c r="V458">
        <f t="shared" si="7"/>
        <v>282</v>
      </c>
    </row>
    <row r="459" spans="1:22" ht="13" x14ac:dyDescent="0.15">
      <c r="A459" s="4">
        <v>44775</v>
      </c>
      <c r="B459" s="5">
        <v>0.50753472222222218</v>
      </c>
      <c r="C459" s="1">
        <v>1457</v>
      </c>
      <c r="D459" s="1">
        <v>13002581</v>
      </c>
      <c r="E459" s="1">
        <v>13</v>
      </c>
      <c r="F459" s="1">
        <v>22589</v>
      </c>
      <c r="G459" s="1" t="s">
        <v>21</v>
      </c>
      <c r="H459" s="1">
        <v>15</v>
      </c>
      <c r="I459" s="1">
        <v>292820</v>
      </c>
      <c r="J459" s="1" t="s">
        <v>140</v>
      </c>
      <c r="K459" s="1" t="s">
        <v>141</v>
      </c>
      <c r="L459" s="1" t="s">
        <v>142</v>
      </c>
      <c r="M459" s="1">
        <v>1</v>
      </c>
      <c r="N459" s="2">
        <v>23.04</v>
      </c>
      <c r="O459" s="3">
        <v>38</v>
      </c>
      <c r="P459" s="1">
        <v>0</v>
      </c>
      <c r="Q459" s="1" t="s">
        <v>25</v>
      </c>
      <c r="R459" s="1" t="s">
        <v>25</v>
      </c>
      <c r="S459" s="1">
        <v>29</v>
      </c>
      <c r="T459" s="1">
        <v>1</v>
      </c>
      <c r="U459" s="1">
        <v>4</v>
      </c>
      <c r="V459">
        <f t="shared" si="7"/>
        <v>38</v>
      </c>
    </row>
    <row r="460" spans="1:22" ht="13" x14ac:dyDescent="0.15">
      <c r="A460" s="4">
        <v>44775</v>
      </c>
      <c r="B460" s="5">
        <v>0.50859953703703709</v>
      </c>
      <c r="C460" s="1">
        <v>1458</v>
      </c>
      <c r="D460" s="1">
        <v>13002581</v>
      </c>
      <c r="E460" s="1">
        <v>13</v>
      </c>
      <c r="F460" s="1">
        <v>22589</v>
      </c>
      <c r="G460" s="1" t="s">
        <v>21</v>
      </c>
      <c r="H460" s="1">
        <v>15</v>
      </c>
      <c r="I460" s="1">
        <v>18016</v>
      </c>
      <c r="J460" s="1" t="s">
        <v>562</v>
      </c>
      <c r="K460" s="1" t="s">
        <v>45</v>
      </c>
      <c r="L460" s="1" t="s">
        <v>563</v>
      </c>
      <c r="M460" s="1">
        <v>1</v>
      </c>
      <c r="N460" s="2">
        <v>145.37</v>
      </c>
      <c r="O460" s="3">
        <v>226</v>
      </c>
      <c r="P460" s="1">
        <v>22</v>
      </c>
      <c r="Q460" s="1">
        <v>30</v>
      </c>
      <c r="R460" s="1">
        <v>200000000024</v>
      </c>
      <c r="S460" s="1">
        <v>29</v>
      </c>
      <c r="T460" s="1">
        <v>1</v>
      </c>
      <c r="U460" s="1">
        <v>1</v>
      </c>
      <c r="V460">
        <f t="shared" si="7"/>
        <v>226</v>
      </c>
    </row>
    <row r="461" spans="1:22" ht="13" x14ac:dyDescent="0.15">
      <c r="A461" s="4">
        <v>44775</v>
      </c>
      <c r="B461" s="5">
        <v>0.51202546296296292</v>
      </c>
      <c r="C461" s="1">
        <v>1459</v>
      </c>
      <c r="D461" s="1">
        <v>13002581</v>
      </c>
      <c r="E461" s="1">
        <v>13</v>
      </c>
      <c r="F461" s="1">
        <v>22589</v>
      </c>
      <c r="G461" s="1" t="s">
        <v>21</v>
      </c>
      <c r="H461" s="1">
        <v>15</v>
      </c>
      <c r="I461" s="1">
        <v>5155</v>
      </c>
      <c r="J461" s="1" t="s">
        <v>293</v>
      </c>
      <c r="K461" s="1" t="s">
        <v>29</v>
      </c>
      <c r="L461" s="1" t="s">
        <v>220</v>
      </c>
      <c r="M461" s="1">
        <v>1</v>
      </c>
      <c r="N461" s="2">
        <v>72.02</v>
      </c>
      <c r="O461" s="3">
        <v>90</v>
      </c>
      <c r="P461" s="1">
        <v>4</v>
      </c>
      <c r="Q461" s="1">
        <v>9</v>
      </c>
      <c r="R461" s="1">
        <v>200010002982</v>
      </c>
      <c r="S461" s="1">
        <v>29</v>
      </c>
      <c r="T461" s="1">
        <v>1</v>
      </c>
      <c r="U461" s="1">
        <v>2</v>
      </c>
      <c r="V461">
        <f t="shared" si="7"/>
        <v>90</v>
      </c>
    </row>
    <row r="462" spans="1:22" ht="13" x14ac:dyDescent="0.15">
      <c r="A462" s="4">
        <v>44775</v>
      </c>
      <c r="B462" s="5">
        <v>0.51202546296296292</v>
      </c>
      <c r="C462" s="1">
        <v>1459</v>
      </c>
      <c r="D462" s="1">
        <v>13002581</v>
      </c>
      <c r="E462" s="1">
        <v>13</v>
      </c>
      <c r="F462" s="1">
        <v>22589</v>
      </c>
      <c r="G462" s="1" t="s">
        <v>21</v>
      </c>
      <c r="H462" s="1">
        <v>15</v>
      </c>
      <c r="I462" s="1">
        <v>75946</v>
      </c>
      <c r="J462" s="1" t="s">
        <v>564</v>
      </c>
      <c r="K462" s="1" t="s">
        <v>51</v>
      </c>
      <c r="L462" s="1" t="s">
        <v>216</v>
      </c>
      <c r="M462" s="1">
        <v>1</v>
      </c>
      <c r="N462" s="2">
        <v>89.82</v>
      </c>
      <c r="O462" s="3">
        <v>106</v>
      </c>
      <c r="P462" s="1">
        <v>5</v>
      </c>
      <c r="Q462" s="1">
        <v>9</v>
      </c>
      <c r="R462" s="1">
        <v>200010002982</v>
      </c>
      <c r="S462" s="1">
        <v>29</v>
      </c>
      <c r="T462" s="1">
        <v>1</v>
      </c>
      <c r="U462" s="1">
        <v>3</v>
      </c>
      <c r="V462">
        <f t="shared" si="7"/>
        <v>106</v>
      </c>
    </row>
    <row r="463" spans="1:22" ht="13" x14ac:dyDescent="0.15">
      <c r="A463" s="4">
        <v>44775</v>
      </c>
      <c r="B463" s="5">
        <v>0.51202546296296292</v>
      </c>
      <c r="C463" s="1">
        <v>1459</v>
      </c>
      <c r="D463" s="1">
        <v>13002581</v>
      </c>
      <c r="E463" s="1">
        <v>13</v>
      </c>
      <c r="F463" s="1">
        <v>22589</v>
      </c>
      <c r="G463" s="1" t="s">
        <v>21</v>
      </c>
      <c r="H463" s="1">
        <v>15</v>
      </c>
      <c r="I463" s="1">
        <v>338492</v>
      </c>
      <c r="J463" s="1" t="s">
        <v>40</v>
      </c>
      <c r="K463" s="1" t="s">
        <v>23</v>
      </c>
      <c r="L463" s="1" t="s">
        <v>37</v>
      </c>
      <c r="M463" s="1">
        <v>1</v>
      </c>
      <c r="N463" s="2">
        <v>328.53</v>
      </c>
      <c r="O463" s="3">
        <v>413</v>
      </c>
      <c r="P463" s="1">
        <v>20</v>
      </c>
      <c r="Q463" s="1">
        <v>9</v>
      </c>
      <c r="R463" s="1">
        <v>200010002982</v>
      </c>
      <c r="S463" s="1">
        <v>29</v>
      </c>
      <c r="T463" s="1">
        <v>1</v>
      </c>
      <c r="U463" s="1">
        <v>1</v>
      </c>
      <c r="V463">
        <f t="shared" si="7"/>
        <v>413</v>
      </c>
    </row>
    <row r="464" spans="1:22" ht="13" x14ac:dyDescent="0.15">
      <c r="A464" s="4">
        <v>44775</v>
      </c>
      <c r="B464" s="5">
        <v>0.51202546296296292</v>
      </c>
      <c r="C464" s="1">
        <v>1459</v>
      </c>
      <c r="D464" s="1">
        <v>13002581</v>
      </c>
      <c r="E464" s="1">
        <v>13</v>
      </c>
      <c r="F464" s="1">
        <v>22589</v>
      </c>
      <c r="G464" s="1" t="s">
        <v>21</v>
      </c>
      <c r="H464" s="1">
        <v>15</v>
      </c>
      <c r="I464" s="1">
        <v>190635</v>
      </c>
      <c r="J464" s="1" t="s">
        <v>28</v>
      </c>
      <c r="K464" s="1" t="s">
        <v>29</v>
      </c>
      <c r="L464" s="1" t="s">
        <v>30</v>
      </c>
      <c r="M464" s="1">
        <v>1</v>
      </c>
      <c r="N464" s="2">
        <v>2320.9899999999998</v>
      </c>
      <c r="O464" s="3">
        <v>2563</v>
      </c>
      <c r="P464" s="1">
        <v>76</v>
      </c>
      <c r="Q464" s="1">
        <v>9</v>
      </c>
      <c r="R464" s="1">
        <v>200010002982</v>
      </c>
      <c r="S464" s="1">
        <v>29</v>
      </c>
      <c r="T464" s="1">
        <v>1</v>
      </c>
      <c r="U464" s="1">
        <v>4</v>
      </c>
      <c r="V464">
        <f t="shared" si="7"/>
        <v>2563</v>
      </c>
    </row>
    <row r="465" spans="1:22" ht="13" x14ac:dyDescent="0.15">
      <c r="A465" s="4">
        <v>44775</v>
      </c>
      <c r="B465" s="5">
        <v>0.51302083333333337</v>
      </c>
      <c r="C465" s="1">
        <v>1460</v>
      </c>
      <c r="D465" s="1">
        <v>13002581</v>
      </c>
      <c r="E465" s="1">
        <v>13</v>
      </c>
      <c r="F465" s="1">
        <v>22589</v>
      </c>
      <c r="G465" s="1" t="s">
        <v>21</v>
      </c>
      <c r="H465" s="1">
        <v>15</v>
      </c>
      <c r="I465" s="1">
        <v>23788</v>
      </c>
      <c r="J465" s="1" t="s">
        <v>565</v>
      </c>
      <c r="K465" s="1" t="s">
        <v>34</v>
      </c>
      <c r="L465" s="1" t="s">
        <v>566</v>
      </c>
      <c r="M465" s="1">
        <v>1</v>
      </c>
      <c r="N465" s="2">
        <v>299.61</v>
      </c>
      <c r="O465" s="3">
        <v>368</v>
      </c>
      <c r="P465" s="1">
        <v>18</v>
      </c>
      <c r="Q465" s="1">
        <v>9</v>
      </c>
      <c r="R465" s="1">
        <v>200010020276</v>
      </c>
      <c r="S465" s="1">
        <v>29</v>
      </c>
      <c r="T465" s="1">
        <v>1</v>
      </c>
      <c r="U465" s="1">
        <v>1</v>
      </c>
      <c r="V465">
        <f t="shared" si="7"/>
        <v>368</v>
      </c>
    </row>
    <row r="466" spans="1:22" ht="13" x14ac:dyDescent="0.15">
      <c r="A466" s="4">
        <v>44775</v>
      </c>
      <c r="B466" s="5">
        <v>0.51391203703703703</v>
      </c>
      <c r="C466" s="1">
        <v>1461</v>
      </c>
      <c r="D466" s="1">
        <v>13002581</v>
      </c>
      <c r="E466" s="1">
        <v>13</v>
      </c>
      <c r="F466" s="1">
        <v>22589</v>
      </c>
      <c r="G466" s="1" t="s">
        <v>21</v>
      </c>
      <c r="H466" s="1">
        <v>15</v>
      </c>
      <c r="I466" s="1">
        <v>310896</v>
      </c>
      <c r="J466" s="1" t="s">
        <v>567</v>
      </c>
      <c r="K466" s="1" t="s">
        <v>23</v>
      </c>
      <c r="L466" s="1" t="s">
        <v>37</v>
      </c>
      <c r="M466" s="1">
        <v>1</v>
      </c>
      <c r="N466" s="2">
        <v>201.88</v>
      </c>
      <c r="O466" s="3">
        <v>273</v>
      </c>
      <c r="P466" s="1">
        <v>19</v>
      </c>
      <c r="Q466" s="1">
        <v>9</v>
      </c>
      <c r="R466" s="1">
        <v>200010002982</v>
      </c>
      <c r="S466" s="1">
        <v>29</v>
      </c>
      <c r="T466" s="1">
        <v>1</v>
      </c>
      <c r="U466" s="1">
        <v>1</v>
      </c>
      <c r="V466">
        <f t="shared" si="7"/>
        <v>273</v>
      </c>
    </row>
    <row r="467" spans="1:22" ht="13" x14ac:dyDescent="0.15">
      <c r="A467" s="4">
        <v>44775</v>
      </c>
      <c r="B467" s="5">
        <v>0.52030092592592592</v>
      </c>
      <c r="C467" s="1">
        <v>1462</v>
      </c>
      <c r="D467" s="1">
        <v>13002581</v>
      </c>
      <c r="E467" s="1">
        <v>13</v>
      </c>
      <c r="F467" s="1">
        <v>22589</v>
      </c>
      <c r="G467" s="1" t="s">
        <v>21</v>
      </c>
      <c r="H467" s="1">
        <v>15</v>
      </c>
      <c r="I467" s="1">
        <v>262924</v>
      </c>
      <c r="J467" s="1" t="s">
        <v>568</v>
      </c>
      <c r="K467" s="1" t="s">
        <v>29</v>
      </c>
      <c r="L467" s="1" t="s">
        <v>220</v>
      </c>
      <c r="M467" s="1">
        <v>1</v>
      </c>
      <c r="N467" s="2">
        <v>158.59</v>
      </c>
      <c r="O467" s="3">
        <v>188</v>
      </c>
      <c r="P467" s="1">
        <v>9</v>
      </c>
      <c r="Q467" s="1">
        <v>9</v>
      </c>
      <c r="R467" s="1">
        <v>200010009449</v>
      </c>
      <c r="S467" s="1">
        <v>29</v>
      </c>
      <c r="T467" s="1">
        <v>1</v>
      </c>
      <c r="U467" s="1">
        <v>4</v>
      </c>
      <c r="V467">
        <f t="shared" si="7"/>
        <v>188</v>
      </c>
    </row>
    <row r="468" spans="1:22" ht="13" x14ac:dyDescent="0.15">
      <c r="A468" s="4">
        <v>44775</v>
      </c>
      <c r="B468" s="5">
        <v>0.52030092592592592</v>
      </c>
      <c r="C468" s="1">
        <v>1462</v>
      </c>
      <c r="D468" s="1">
        <v>13002581</v>
      </c>
      <c r="E468" s="1">
        <v>13</v>
      </c>
      <c r="F468" s="1">
        <v>22589</v>
      </c>
      <c r="G468" s="1" t="s">
        <v>21</v>
      </c>
      <c r="H468" s="1">
        <v>15</v>
      </c>
      <c r="I468" s="1">
        <v>262924</v>
      </c>
      <c r="J468" s="1" t="s">
        <v>568</v>
      </c>
      <c r="K468" s="1" t="s">
        <v>29</v>
      </c>
      <c r="L468" s="1" t="s">
        <v>220</v>
      </c>
      <c r="M468" s="1">
        <v>1</v>
      </c>
      <c r="N468" s="2">
        <v>158.59</v>
      </c>
      <c r="O468" s="3">
        <v>188</v>
      </c>
      <c r="P468" s="1">
        <v>9</v>
      </c>
      <c r="Q468" s="1">
        <v>9</v>
      </c>
      <c r="R468" s="1">
        <v>200010009449</v>
      </c>
      <c r="S468" s="1">
        <v>29</v>
      </c>
      <c r="T468" s="1">
        <v>1</v>
      </c>
      <c r="U468" s="1">
        <v>5</v>
      </c>
      <c r="V468">
        <f t="shared" si="7"/>
        <v>188</v>
      </c>
    </row>
    <row r="469" spans="1:22" ht="13" x14ac:dyDescent="0.15">
      <c r="A469" s="4">
        <v>44775</v>
      </c>
      <c r="B469" s="5">
        <v>0.52030092592592592</v>
      </c>
      <c r="C469" s="1">
        <v>1462</v>
      </c>
      <c r="D469" s="1">
        <v>13002581</v>
      </c>
      <c r="E469" s="1">
        <v>13</v>
      </c>
      <c r="F469" s="1">
        <v>22589</v>
      </c>
      <c r="G469" s="1" t="s">
        <v>21</v>
      </c>
      <c r="H469" s="1">
        <v>15</v>
      </c>
      <c r="I469" s="1">
        <v>406428</v>
      </c>
      <c r="J469" s="1" t="s">
        <v>569</v>
      </c>
      <c r="K469" s="1" t="s">
        <v>51</v>
      </c>
      <c r="L469" s="1" t="s">
        <v>76</v>
      </c>
      <c r="M469" s="1">
        <v>1</v>
      </c>
      <c r="N469" s="2">
        <v>42.56</v>
      </c>
      <c r="O469" s="3">
        <v>65</v>
      </c>
      <c r="P469" s="1">
        <v>4</v>
      </c>
      <c r="Q469" s="1">
        <v>9</v>
      </c>
      <c r="R469" s="1">
        <v>200010009449</v>
      </c>
      <c r="S469" s="1">
        <v>29</v>
      </c>
      <c r="T469" s="1">
        <v>1</v>
      </c>
      <c r="U469" s="1">
        <v>1</v>
      </c>
      <c r="V469">
        <f t="shared" si="7"/>
        <v>65</v>
      </c>
    </row>
    <row r="470" spans="1:22" ht="13" x14ac:dyDescent="0.15">
      <c r="A470" s="4">
        <v>44775</v>
      </c>
      <c r="B470" s="5">
        <v>0.52030092592592592</v>
      </c>
      <c r="C470" s="1">
        <v>1462</v>
      </c>
      <c r="D470" s="1">
        <v>13002581</v>
      </c>
      <c r="E470" s="1">
        <v>13</v>
      </c>
      <c r="F470" s="1">
        <v>22589</v>
      </c>
      <c r="G470" s="1" t="s">
        <v>21</v>
      </c>
      <c r="H470" s="1">
        <v>15</v>
      </c>
      <c r="I470" s="1">
        <v>406428</v>
      </c>
      <c r="J470" s="1" t="s">
        <v>569</v>
      </c>
      <c r="K470" s="1" t="s">
        <v>51</v>
      </c>
      <c r="L470" s="1" t="s">
        <v>76</v>
      </c>
      <c r="M470" s="1">
        <v>1</v>
      </c>
      <c r="N470" s="2">
        <v>42.56</v>
      </c>
      <c r="O470" s="3">
        <v>65</v>
      </c>
      <c r="P470" s="1">
        <v>4</v>
      </c>
      <c r="Q470" s="1">
        <v>9</v>
      </c>
      <c r="R470" s="1">
        <v>200010009449</v>
      </c>
      <c r="S470" s="1">
        <v>29</v>
      </c>
      <c r="T470" s="1">
        <v>1</v>
      </c>
      <c r="U470" s="1">
        <v>2</v>
      </c>
      <c r="V470">
        <f t="shared" si="7"/>
        <v>65</v>
      </c>
    </row>
    <row r="471" spans="1:22" ht="13" x14ac:dyDescent="0.15">
      <c r="A471" s="4">
        <v>44775</v>
      </c>
      <c r="B471" s="5">
        <v>0.52030092592592592</v>
      </c>
      <c r="C471" s="1">
        <v>1462</v>
      </c>
      <c r="D471" s="1">
        <v>13002581</v>
      </c>
      <c r="E471" s="1">
        <v>13</v>
      </c>
      <c r="F471" s="1">
        <v>22589</v>
      </c>
      <c r="G471" s="1" t="s">
        <v>21</v>
      </c>
      <c r="H471" s="1">
        <v>15</v>
      </c>
      <c r="I471" s="1">
        <v>29611</v>
      </c>
      <c r="J471" s="1" t="s">
        <v>570</v>
      </c>
      <c r="K471" s="1" t="s">
        <v>51</v>
      </c>
      <c r="L471" s="1" t="s">
        <v>563</v>
      </c>
      <c r="M471" s="1">
        <v>1</v>
      </c>
      <c r="N471" s="2">
        <v>152.06</v>
      </c>
      <c r="O471" s="3">
        <v>236</v>
      </c>
      <c r="P471" s="1">
        <v>23</v>
      </c>
      <c r="Q471" s="1">
        <v>9</v>
      </c>
      <c r="R471" s="1">
        <v>200010009449</v>
      </c>
      <c r="S471" s="1">
        <v>29</v>
      </c>
      <c r="T471" s="1">
        <v>1</v>
      </c>
      <c r="U471" s="1">
        <v>3</v>
      </c>
      <c r="V471">
        <f t="shared" si="7"/>
        <v>236</v>
      </c>
    </row>
    <row r="472" spans="1:22" ht="13" x14ac:dyDescent="0.15">
      <c r="A472" s="4">
        <v>44775</v>
      </c>
      <c r="B472" s="5">
        <v>0.52342592592592596</v>
      </c>
      <c r="C472" s="1">
        <v>1463</v>
      </c>
      <c r="D472" s="1">
        <v>13002581</v>
      </c>
      <c r="E472" s="1">
        <v>13</v>
      </c>
      <c r="F472" s="1">
        <v>22589</v>
      </c>
      <c r="G472" s="1" t="s">
        <v>21</v>
      </c>
      <c r="H472" s="1">
        <v>18</v>
      </c>
      <c r="I472" s="1">
        <v>106412</v>
      </c>
      <c r="J472" s="1" t="s">
        <v>571</v>
      </c>
      <c r="K472" s="1" t="s">
        <v>45</v>
      </c>
      <c r="L472" s="1" t="s">
        <v>572</v>
      </c>
      <c r="M472" s="1">
        <v>1</v>
      </c>
      <c r="N472" s="2">
        <v>401.19</v>
      </c>
      <c r="O472" s="3">
        <v>530</v>
      </c>
      <c r="P472" s="1">
        <v>37</v>
      </c>
      <c r="Q472" s="1">
        <v>9</v>
      </c>
      <c r="R472" s="1">
        <v>200010000964</v>
      </c>
      <c r="S472" s="1">
        <v>29</v>
      </c>
      <c r="T472" s="1">
        <v>1</v>
      </c>
      <c r="U472" s="1">
        <v>2</v>
      </c>
      <c r="V472">
        <f t="shared" si="7"/>
        <v>530</v>
      </c>
    </row>
    <row r="473" spans="1:22" ht="13" x14ac:dyDescent="0.15">
      <c r="A473" s="4">
        <v>44775</v>
      </c>
      <c r="B473" s="5">
        <v>0.52342592592592596</v>
      </c>
      <c r="C473" s="1">
        <v>1463</v>
      </c>
      <c r="D473" s="1">
        <v>13002581</v>
      </c>
      <c r="E473" s="1">
        <v>13</v>
      </c>
      <c r="F473" s="1">
        <v>22589</v>
      </c>
      <c r="G473" s="1" t="s">
        <v>21</v>
      </c>
      <c r="H473" s="1">
        <v>18</v>
      </c>
      <c r="I473" s="1">
        <v>301669</v>
      </c>
      <c r="J473" s="1" t="s">
        <v>573</v>
      </c>
      <c r="K473" s="1" t="s">
        <v>51</v>
      </c>
      <c r="L473" s="1" t="s">
        <v>192</v>
      </c>
      <c r="M473" s="1">
        <v>1</v>
      </c>
      <c r="N473" s="2">
        <v>239.36</v>
      </c>
      <c r="O473" s="3">
        <v>286</v>
      </c>
      <c r="P473" s="1">
        <v>14</v>
      </c>
      <c r="Q473" s="1">
        <v>9</v>
      </c>
      <c r="R473" s="1">
        <v>200010000964</v>
      </c>
      <c r="S473" s="1">
        <v>29</v>
      </c>
      <c r="T473" s="1">
        <v>1</v>
      </c>
      <c r="U473" s="1">
        <v>1</v>
      </c>
      <c r="V473">
        <f t="shared" si="7"/>
        <v>286</v>
      </c>
    </row>
    <row r="474" spans="1:22" ht="13" x14ac:dyDescent="0.15">
      <c r="A474" s="4">
        <v>44775</v>
      </c>
      <c r="B474" s="5">
        <v>0.52342592592592596</v>
      </c>
      <c r="C474" s="1">
        <v>1463</v>
      </c>
      <c r="D474" s="1">
        <v>13002581</v>
      </c>
      <c r="E474" s="1">
        <v>13</v>
      </c>
      <c r="F474" s="1">
        <v>22589</v>
      </c>
      <c r="G474" s="1" t="s">
        <v>21</v>
      </c>
      <c r="H474" s="1">
        <v>18</v>
      </c>
      <c r="I474" s="1">
        <v>9594</v>
      </c>
      <c r="J474" s="1" t="s">
        <v>302</v>
      </c>
      <c r="K474" s="1" t="s">
        <v>23</v>
      </c>
      <c r="L474" s="1" t="s">
        <v>303</v>
      </c>
      <c r="M474" s="1">
        <v>1</v>
      </c>
      <c r="N474" s="2">
        <v>61.61</v>
      </c>
      <c r="O474" s="3">
        <v>74</v>
      </c>
      <c r="P474" s="1">
        <v>5</v>
      </c>
      <c r="Q474" s="1">
        <v>9</v>
      </c>
      <c r="R474" s="1">
        <v>200010000964</v>
      </c>
      <c r="S474" s="1">
        <v>29</v>
      </c>
      <c r="T474" s="1">
        <v>1</v>
      </c>
      <c r="U474" s="1">
        <v>3</v>
      </c>
      <c r="V474">
        <f t="shared" si="7"/>
        <v>74</v>
      </c>
    </row>
    <row r="475" spans="1:22" ht="13" x14ac:dyDescent="0.15">
      <c r="A475" s="4">
        <v>44775</v>
      </c>
      <c r="B475" s="5">
        <v>0.52342592592592596</v>
      </c>
      <c r="C475" s="1">
        <v>1463</v>
      </c>
      <c r="D475" s="1">
        <v>13002581</v>
      </c>
      <c r="E475" s="1">
        <v>13</v>
      </c>
      <c r="F475" s="1">
        <v>22589</v>
      </c>
      <c r="G475" s="1" t="s">
        <v>21</v>
      </c>
      <c r="H475" s="1">
        <v>18</v>
      </c>
      <c r="I475" s="1">
        <v>9594</v>
      </c>
      <c r="J475" s="1" t="s">
        <v>302</v>
      </c>
      <c r="K475" s="1" t="s">
        <v>23</v>
      </c>
      <c r="L475" s="1" t="s">
        <v>303</v>
      </c>
      <c r="M475" s="1">
        <v>1</v>
      </c>
      <c r="N475" s="2">
        <v>61.61</v>
      </c>
      <c r="O475" s="3">
        <v>74</v>
      </c>
      <c r="P475" s="1">
        <v>5</v>
      </c>
      <c r="Q475" s="1">
        <v>9</v>
      </c>
      <c r="R475" s="1">
        <v>200010000964</v>
      </c>
      <c r="S475" s="1">
        <v>29</v>
      </c>
      <c r="T475" s="1">
        <v>1</v>
      </c>
      <c r="U475" s="1">
        <v>4</v>
      </c>
      <c r="V475">
        <f t="shared" si="7"/>
        <v>74</v>
      </c>
    </row>
    <row r="476" spans="1:22" ht="13" x14ac:dyDescent="0.15">
      <c r="A476" s="4">
        <v>44775</v>
      </c>
      <c r="B476" s="5">
        <v>0.5242013888888889</v>
      </c>
      <c r="C476" s="1">
        <v>1464</v>
      </c>
      <c r="D476" s="1">
        <v>13002581</v>
      </c>
      <c r="E476" s="1">
        <v>13</v>
      </c>
      <c r="F476" s="1">
        <v>22589</v>
      </c>
      <c r="G476" s="1" t="s">
        <v>21</v>
      </c>
      <c r="H476" s="1">
        <v>15</v>
      </c>
      <c r="I476" s="1">
        <v>46244</v>
      </c>
      <c r="J476" s="1" t="s">
        <v>574</v>
      </c>
      <c r="K476" s="1" t="s">
        <v>252</v>
      </c>
      <c r="L476" s="1" t="s">
        <v>575</v>
      </c>
      <c r="M476" s="1">
        <v>1</v>
      </c>
      <c r="N476" s="2">
        <v>35.53</v>
      </c>
      <c r="O476" s="3">
        <v>58</v>
      </c>
      <c r="P476" s="1">
        <v>5</v>
      </c>
      <c r="Q476" s="1">
        <v>9</v>
      </c>
      <c r="R476" s="1">
        <v>200010009449</v>
      </c>
      <c r="S476" s="1">
        <v>29</v>
      </c>
      <c r="T476" s="1">
        <v>1</v>
      </c>
      <c r="U476" s="1">
        <v>2</v>
      </c>
      <c r="V476">
        <f t="shared" si="7"/>
        <v>58</v>
      </c>
    </row>
    <row r="477" spans="1:22" ht="13" x14ac:dyDescent="0.15">
      <c r="A477" s="4">
        <v>44775</v>
      </c>
      <c r="B477" s="5">
        <v>0.52755787037037039</v>
      </c>
      <c r="C477" s="1">
        <v>1465</v>
      </c>
      <c r="D477" s="1">
        <v>13002581</v>
      </c>
      <c r="E477" s="1">
        <v>13</v>
      </c>
      <c r="F477" s="1">
        <v>22589</v>
      </c>
      <c r="G477" s="1" t="s">
        <v>21</v>
      </c>
      <c r="H477" s="1">
        <v>15</v>
      </c>
      <c r="I477" s="1">
        <v>297417</v>
      </c>
      <c r="J477" s="1" t="s">
        <v>576</v>
      </c>
      <c r="K477" s="1" t="s">
        <v>51</v>
      </c>
      <c r="L477" s="1" t="s">
        <v>577</v>
      </c>
      <c r="M477" s="1">
        <v>1</v>
      </c>
      <c r="N477" s="2">
        <v>69.44</v>
      </c>
      <c r="O477" s="3">
        <v>99</v>
      </c>
      <c r="P477" s="1">
        <v>0</v>
      </c>
      <c r="Q477" s="1" t="s">
        <v>25</v>
      </c>
      <c r="R477" s="1" t="s">
        <v>25</v>
      </c>
      <c r="S477" s="1">
        <v>29</v>
      </c>
      <c r="T477" s="1">
        <v>1</v>
      </c>
      <c r="U477" s="1">
        <v>1</v>
      </c>
      <c r="V477">
        <f t="shared" si="7"/>
        <v>99</v>
      </c>
    </row>
    <row r="478" spans="1:22" ht="13" x14ac:dyDescent="0.15">
      <c r="A478" s="4">
        <v>44775</v>
      </c>
      <c r="B478" s="5">
        <v>0.52812499999999996</v>
      </c>
      <c r="C478" s="1">
        <v>1466</v>
      </c>
      <c r="D478" s="1">
        <v>13002581</v>
      </c>
      <c r="E478" s="1">
        <v>13</v>
      </c>
      <c r="F478" s="1">
        <v>22589</v>
      </c>
      <c r="G478" s="1" t="s">
        <v>21</v>
      </c>
      <c r="H478" s="1">
        <v>15</v>
      </c>
      <c r="I478" s="1">
        <v>45613</v>
      </c>
      <c r="J478" s="1" t="s">
        <v>578</v>
      </c>
      <c r="K478" s="1" t="s">
        <v>51</v>
      </c>
      <c r="L478" s="1" t="s">
        <v>391</v>
      </c>
      <c r="M478" s="1">
        <v>1</v>
      </c>
      <c r="N478" s="2">
        <v>79.42</v>
      </c>
      <c r="O478" s="3">
        <v>102</v>
      </c>
      <c r="P478" s="1">
        <v>5</v>
      </c>
      <c r="Q478" s="1">
        <v>9</v>
      </c>
      <c r="R478" s="1">
        <v>200010000719</v>
      </c>
      <c r="S478" s="1">
        <v>29</v>
      </c>
      <c r="T478" s="1">
        <v>1</v>
      </c>
      <c r="U478" s="1">
        <v>1</v>
      </c>
      <c r="V478">
        <f t="shared" si="7"/>
        <v>102</v>
      </c>
    </row>
    <row r="479" spans="1:22" ht="13" x14ac:dyDescent="0.15">
      <c r="A479" s="4">
        <v>44775</v>
      </c>
      <c r="B479" s="5">
        <v>0.52878472222222217</v>
      </c>
      <c r="C479" s="1">
        <v>1467</v>
      </c>
      <c r="D479" s="1">
        <v>13002581</v>
      </c>
      <c r="E479" s="1">
        <v>13</v>
      </c>
      <c r="F479" s="1">
        <v>22589</v>
      </c>
      <c r="G479" s="1" t="s">
        <v>21</v>
      </c>
      <c r="H479" s="1">
        <v>18</v>
      </c>
      <c r="I479" s="1">
        <v>9659</v>
      </c>
      <c r="J479" s="1" t="s">
        <v>579</v>
      </c>
      <c r="K479" s="1" t="s">
        <v>51</v>
      </c>
      <c r="L479" s="1" t="s">
        <v>580</v>
      </c>
      <c r="M479" s="1">
        <v>1</v>
      </c>
      <c r="N479" s="2">
        <v>432.5</v>
      </c>
      <c r="O479" s="3">
        <v>571</v>
      </c>
      <c r="P479" s="1">
        <v>39</v>
      </c>
      <c r="Q479" s="1">
        <v>9</v>
      </c>
      <c r="R479" s="1">
        <v>200010026823</v>
      </c>
      <c r="S479" s="1">
        <v>29</v>
      </c>
      <c r="T479" s="1">
        <v>1</v>
      </c>
      <c r="U479" s="1">
        <v>1</v>
      </c>
      <c r="V479">
        <f t="shared" si="7"/>
        <v>571</v>
      </c>
    </row>
    <row r="480" spans="1:22" ht="13" x14ac:dyDescent="0.15">
      <c r="A480" s="4">
        <v>44775</v>
      </c>
      <c r="B480" s="5">
        <v>0.53541666666666665</v>
      </c>
      <c r="C480" s="1">
        <v>1468</v>
      </c>
      <c r="D480" s="1">
        <v>13002581</v>
      </c>
      <c r="E480" s="1">
        <v>13</v>
      </c>
      <c r="F480" s="1">
        <v>22589</v>
      </c>
      <c r="G480" s="1" t="s">
        <v>21</v>
      </c>
      <c r="H480" s="1">
        <v>18</v>
      </c>
      <c r="I480" s="1">
        <v>417513</v>
      </c>
      <c r="J480" s="1" t="s">
        <v>581</v>
      </c>
      <c r="K480" s="1" t="s">
        <v>117</v>
      </c>
      <c r="L480" s="1" t="s">
        <v>582</v>
      </c>
      <c r="M480" s="1">
        <v>1</v>
      </c>
      <c r="N480" s="2">
        <v>140.38</v>
      </c>
      <c r="O480" s="3">
        <v>218</v>
      </c>
      <c r="P480" s="1">
        <v>0</v>
      </c>
      <c r="Q480" s="1" t="s">
        <v>25</v>
      </c>
      <c r="R480" s="1" t="s">
        <v>25</v>
      </c>
      <c r="S480" s="1">
        <v>29</v>
      </c>
      <c r="T480" s="1">
        <v>1</v>
      </c>
      <c r="U480" s="1">
        <v>1</v>
      </c>
      <c r="V480">
        <f t="shared" si="7"/>
        <v>218</v>
      </c>
    </row>
    <row r="481" spans="1:22" ht="13" x14ac:dyDescent="0.15">
      <c r="A481" s="4">
        <v>44775</v>
      </c>
      <c r="B481" s="5">
        <v>0.53684027777777776</v>
      </c>
      <c r="C481" s="1">
        <v>1469</v>
      </c>
      <c r="D481" s="1">
        <v>13002581</v>
      </c>
      <c r="E481" s="1">
        <v>13</v>
      </c>
      <c r="F481" s="1">
        <v>22589</v>
      </c>
      <c r="G481" s="1" t="s">
        <v>21</v>
      </c>
      <c r="H481" s="1">
        <v>15</v>
      </c>
      <c r="I481" s="1">
        <v>30258</v>
      </c>
      <c r="J481" s="1" t="s">
        <v>583</v>
      </c>
      <c r="K481" s="1" t="s">
        <v>34</v>
      </c>
      <c r="L481" s="1" t="s">
        <v>415</v>
      </c>
      <c r="M481" s="1">
        <v>1</v>
      </c>
      <c r="N481" s="2">
        <v>36.97</v>
      </c>
      <c r="O481" s="3">
        <v>57</v>
      </c>
      <c r="P481" s="1">
        <v>9.76</v>
      </c>
      <c r="Q481" s="1">
        <v>925</v>
      </c>
      <c r="R481" s="1">
        <v>200000000492</v>
      </c>
      <c r="S481" s="1">
        <v>29</v>
      </c>
      <c r="T481" s="1">
        <v>1</v>
      </c>
      <c r="U481" s="1">
        <v>1</v>
      </c>
      <c r="V481">
        <f t="shared" si="7"/>
        <v>57</v>
      </c>
    </row>
    <row r="482" spans="1:22" ht="13" x14ac:dyDescent="0.15">
      <c r="A482" s="4">
        <v>44775</v>
      </c>
      <c r="B482" s="5">
        <v>0.54039351851851847</v>
      </c>
      <c r="C482" s="1">
        <v>1470</v>
      </c>
      <c r="D482" s="1">
        <v>13002581</v>
      </c>
      <c r="E482" s="1">
        <v>13</v>
      </c>
      <c r="F482" s="1">
        <v>22589</v>
      </c>
      <c r="G482" s="1" t="s">
        <v>21</v>
      </c>
      <c r="H482" s="1">
        <v>18</v>
      </c>
      <c r="I482" s="1">
        <v>291205</v>
      </c>
      <c r="J482" s="1" t="s">
        <v>584</v>
      </c>
      <c r="K482" s="1" t="s">
        <v>51</v>
      </c>
      <c r="L482" s="1" t="s">
        <v>585</v>
      </c>
      <c r="M482" s="1">
        <v>1</v>
      </c>
      <c r="N482" s="2">
        <v>34.26</v>
      </c>
      <c r="O482" s="3">
        <v>56</v>
      </c>
      <c r="P482" s="1">
        <v>5</v>
      </c>
      <c r="Q482" s="1">
        <v>9</v>
      </c>
      <c r="R482" s="1">
        <v>200010017048</v>
      </c>
      <c r="S482" s="1">
        <v>29</v>
      </c>
      <c r="T482" s="1">
        <v>1</v>
      </c>
      <c r="U482" s="1">
        <v>1</v>
      </c>
      <c r="V482">
        <f t="shared" si="7"/>
        <v>56</v>
      </c>
    </row>
    <row r="483" spans="1:22" ht="13" x14ac:dyDescent="0.15">
      <c r="A483" s="4">
        <v>44775</v>
      </c>
      <c r="B483" s="5">
        <v>0.54039351851851847</v>
      </c>
      <c r="C483" s="1">
        <v>1470</v>
      </c>
      <c r="D483" s="1">
        <v>13002581</v>
      </c>
      <c r="E483" s="1">
        <v>13</v>
      </c>
      <c r="F483" s="1">
        <v>22589</v>
      </c>
      <c r="G483" s="1" t="s">
        <v>21</v>
      </c>
      <c r="H483" s="1">
        <v>18</v>
      </c>
      <c r="I483" s="1">
        <v>314970</v>
      </c>
      <c r="J483" s="1" t="s">
        <v>586</v>
      </c>
      <c r="K483" s="1" t="s">
        <v>61</v>
      </c>
      <c r="L483" s="1" t="s">
        <v>587</v>
      </c>
      <c r="M483" s="1">
        <v>2</v>
      </c>
      <c r="N483" s="2">
        <v>8.58</v>
      </c>
      <c r="O483" s="3">
        <v>14</v>
      </c>
      <c r="P483" s="1">
        <v>2</v>
      </c>
      <c r="Q483" s="1">
        <v>9</v>
      </c>
      <c r="R483" s="1">
        <v>200010017048</v>
      </c>
      <c r="S483" s="1">
        <v>29</v>
      </c>
      <c r="T483" s="1">
        <v>1</v>
      </c>
      <c r="U483" s="1">
        <v>2</v>
      </c>
      <c r="V483">
        <f t="shared" si="7"/>
        <v>28</v>
      </c>
    </row>
    <row r="484" spans="1:22" ht="13" x14ac:dyDescent="0.15">
      <c r="A484" s="4">
        <v>44775</v>
      </c>
      <c r="B484" s="5">
        <v>0.71498842592592593</v>
      </c>
      <c r="C484" s="1">
        <v>1502</v>
      </c>
      <c r="D484" s="1">
        <v>13002581</v>
      </c>
      <c r="E484" s="1">
        <v>13</v>
      </c>
      <c r="F484" s="1">
        <v>22589</v>
      </c>
      <c r="G484" s="1" t="s">
        <v>21</v>
      </c>
      <c r="H484" s="1">
        <v>18</v>
      </c>
      <c r="I484" s="1">
        <v>314970</v>
      </c>
      <c r="J484" s="1" t="s">
        <v>586</v>
      </c>
      <c r="K484" s="1" t="s">
        <v>61</v>
      </c>
      <c r="L484" s="1" t="s">
        <v>587</v>
      </c>
      <c r="M484" s="1">
        <v>20</v>
      </c>
      <c r="N484" s="2">
        <v>8.58</v>
      </c>
      <c r="O484" s="3">
        <v>14</v>
      </c>
      <c r="P484" s="1">
        <v>28</v>
      </c>
      <c r="Q484" s="1">
        <v>9</v>
      </c>
      <c r="R484" s="1">
        <v>200010016761</v>
      </c>
      <c r="S484" s="1">
        <v>29</v>
      </c>
      <c r="T484" s="1">
        <v>1</v>
      </c>
      <c r="U484" s="1">
        <v>1</v>
      </c>
      <c r="V484">
        <f t="shared" si="7"/>
        <v>280</v>
      </c>
    </row>
    <row r="485" spans="1:22" ht="13" x14ac:dyDescent="0.15">
      <c r="A485" s="4">
        <v>44775</v>
      </c>
      <c r="B485" s="5">
        <v>0.54039351851851847</v>
      </c>
      <c r="C485" s="1">
        <v>1470</v>
      </c>
      <c r="D485" s="1">
        <v>13002581</v>
      </c>
      <c r="E485" s="1">
        <v>13</v>
      </c>
      <c r="F485" s="1">
        <v>22589</v>
      </c>
      <c r="G485" s="1" t="s">
        <v>21</v>
      </c>
      <c r="H485" s="1">
        <v>18</v>
      </c>
      <c r="I485" s="1">
        <v>3101</v>
      </c>
      <c r="J485" s="1" t="s">
        <v>588</v>
      </c>
      <c r="K485" s="1" t="s">
        <v>51</v>
      </c>
      <c r="L485" s="1" t="s">
        <v>589</v>
      </c>
      <c r="M485" s="1">
        <v>1</v>
      </c>
      <c r="N485" s="2">
        <v>566.32000000000005</v>
      </c>
      <c r="O485" s="3">
        <v>731</v>
      </c>
      <c r="P485" s="1">
        <v>51</v>
      </c>
      <c r="Q485" s="1">
        <v>9</v>
      </c>
      <c r="R485" s="1">
        <v>200010017048</v>
      </c>
      <c r="S485" s="1">
        <v>29</v>
      </c>
      <c r="T485" s="1">
        <v>1</v>
      </c>
      <c r="U485" s="1">
        <v>3</v>
      </c>
      <c r="V485">
        <f t="shared" si="7"/>
        <v>731</v>
      </c>
    </row>
    <row r="486" spans="1:22" ht="13" x14ac:dyDescent="0.15">
      <c r="A486" s="4">
        <v>44775</v>
      </c>
      <c r="B486" s="5">
        <v>0.54645833333333338</v>
      </c>
      <c r="C486" s="1">
        <v>1471</v>
      </c>
      <c r="D486" s="1">
        <v>13002581</v>
      </c>
      <c r="E486" s="1">
        <v>13</v>
      </c>
      <c r="F486" s="1">
        <v>22589</v>
      </c>
      <c r="G486" s="1" t="s">
        <v>21</v>
      </c>
      <c r="H486" s="1">
        <v>15</v>
      </c>
      <c r="I486" s="1">
        <v>532019</v>
      </c>
      <c r="J486" s="1" t="s">
        <v>590</v>
      </c>
      <c r="K486" s="1" t="s">
        <v>23</v>
      </c>
      <c r="L486" s="1" t="s">
        <v>591</v>
      </c>
      <c r="M486" s="1">
        <v>1</v>
      </c>
      <c r="N486" s="2">
        <v>25.63</v>
      </c>
      <c r="O486" s="3">
        <v>31</v>
      </c>
      <c r="P486" s="1">
        <v>0</v>
      </c>
      <c r="Q486" s="1" t="s">
        <v>25</v>
      </c>
      <c r="R486" s="1" t="s">
        <v>25</v>
      </c>
      <c r="S486" s="1">
        <v>29</v>
      </c>
      <c r="T486" s="1">
        <v>1</v>
      </c>
      <c r="U486" s="1">
        <v>1</v>
      </c>
      <c r="V486">
        <f t="shared" si="7"/>
        <v>31</v>
      </c>
    </row>
    <row r="487" spans="1:22" ht="13" x14ac:dyDescent="0.15">
      <c r="A487" s="4">
        <v>44775</v>
      </c>
      <c r="B487" s="5">
        <v>0.54645833333333338</v>
      </c>
      <c r="C487" s="1">
        <v>1471</v>
      </c>
      <c r="D487" s="1">
        <v>13002581</v>
      </c>
      <c r="E487" s="1">
        <v>13</v>
      </c>
      <c r="F487" s="1">
        <v>22589</v>
      </c>
      <c r="G487" s="1" t="s">
        <v>21</v>
      </c>
      <c r="H487" s="1">
        <v>15</v>
      </c>
      <c r="I487" s="1">
        <v>532019</v>
      </c>
      <c r="J487" s="1" t="s">
        <v>590</v>
      </c>
      <c r="K487" s="1" t="s">
        <v>23</v>
      </c>
      <c r="L487" s="1" t="s">
        <v>591</v>
      </c>
      <c r="M487" s="1">
        <v>1</v>
      </c>
      <c r="N487" s="2">
        <v>25.63</v>
      </c>
      <c r="O487" s="3">
        <v>31</v>
      </c>
      <c r="P487" s="1">
        <v>0</v>
      </c>
      <c r="Q487" s="1" t="s">
        <v>25</v>
      </c>
      <c r="R487" s="1" t="s">
        <v>25</v>
      </c>
      <c r="S487" s="1">
        <v>29</v>
      </c>
      <c r="T487" s="1">
        <v>1</v>
      </c>
      <c r="U487" s="1">
        <v>2</v>
      </c>
      <c r="V487">
        <f t="shared" si="7"/>
        <v>31</v>
      </c>
    </row>
    <row r="488" spans="1:22" ht="13" x14ac:dyDescent="0.15">
      <c r="A488" s="4">
        <v>44775</v>
      </c>
      <c r="B488" s="5">
        <v>0.54645833333333338</v>
      </c>
      <c r="C488" s="1">
        <v>1471</v>
      </c>
      <c r="D488" s="1">
        <v>13002581</v>
      </c>
      <c r="E488" s="1">
        <v>13</v>
      </c>
      <c r="F488" s="1">
        <v>22589</v>
      </c>
      <c r="G488" s="1" t="s">
        <v>21</v>
      </c>
      <c r="H488" s="1">
        <v>15</v>
      </c>
      <c r="I488" s="1">
        <v>532019</v>
      </c>
      <c r="J488" s="1" t="s">
        <v>590</v>
      </c>
      <c r="K488" s="1" t="s">
        <v>23</v>
      </c>
      <c r="L488" s="1" t="s">
        <v>591</v>
      </c>
      <c r="M488" s="1">
        <v>1</v>
      </c>
      <c r="N488" s="2">
        <v>25.63</v>
      </c>
      <c r="O488" s="3">
        <v>31</v>
      </c>
      <c r="P488" s="1">
        <v>0</v>
      </c>
      <c r="Q488" s="1" t="s">
        <v>25</v>
      </c>
      <c r="R488" s="1" t="s">
        <v>25</v>
      </c>
      <c r="S488" s="1">
        <v>29</v>
      </c>
      <c r="T488" s="1">
        <v>1</v>
      </c>
      <c r="U488" s="1">
        <v>3</v>
      </c>
      <c r="V488">
        <f t="shared" si="7"/>
        <v>31</v>
      </c>
    </row>
    <row r="489" spans="1:22" ht="13" x14ac:dyDescent="0.15">
      <c r="A489" s="4">
        <v>44775</v>
      </c>
      <c r="B489" s="5">
        <v>0.54811342592592593</v>
      </c>
      <c r="C489" s="1">
        <v>1472</v>
      </c>
      <c r="D489" s="1">
        <v>13002581</v>
      </c>
      <c r="E489" s="1">
        <v>13</v>
      </c>
      <c r="F489" s="1">
        <v>22589</v>
      </c>
      <c r="G489" s="1" t="s">
        <v>21</v>
      </c>
      <c r="H489" s="1">
        <v>18</v>
      </c>
      <c r="I489" s="1">
        <v>461654</v>
      </c>
      <c r="J489" s="1" t="s">
        <v>66</v>
      </c>
      <c r="K489" s="1" t="s">
        <v>23</v>
      </c>
      <c r="L489" s="1" t="s">
        <v>67</v>
      </c>
      <c r="M489" s="1">
        <v>1</v>
      </c>
      <c r="N489" s="2">
        <v>687.83</v>
      </c>
      <c r="O489" s="3">
        <v>791</v>
      </c>
      <c r="P489" s="1">
        <v>55</v>
      </c>
      <c r="Q489" s="1">
        <v>9</v>
      </c>
      <c r="R489" s="1">
        <v>200010020914</v>
      </c>
      <c r="S489" s="1">
        <v>29</v>
      </c>
      <c r="T489" s="1">
        <v>1</v>
      </c>
      <c r="U489" s="1">
        <v>1</v>
      </c>
      <c r="V489">
        <f t="shared" si="7"/>
        <v>791</v>
      </c>
    </row>
    <row r="490" spans="1:22" ht="13" x14ac:dyDescent="0.15">
      <c r="A490" s="4">
        <v>44775</v>
      </c>
      <c r="B490" s="5">
        <v>0.55350694444444448</v>
      </c>
      <c r="C490" s="1">
        <v>1473</v>
      </c>
      <c r="D490" s="1">
        <v>13002581</v>
      </c>
      <c r="E490" s="1">
        <v>13</v>
      </c>
      <c r="F490" s="1">
        <v>22589</v>
      </c>
      <c r="G490" s="1" t="s">
        <v>21</v>
      </c>
      <c r="H490" s="1">
        <v>15</v>
      </c>
      <c r="I490" s="1">
        <v>340852</v>
      </c>
      <c r="J490" s="1" t="s">
        <v>479</v>
      </c>
      <c r="K490" s="1" t="s">
        <v>29</v>
      </c>
      <c r="L490" s="1" t="s">
        <v>436</v>
      </c>
      <c r="M490" s="1">
        <v>1</v>
      </c>
      <c r="N490" s="2">
        <v>712.51</v>
      </c>
      <c r="O490" s="3">
        <v>920</v>
      </c>
      <c r="P490" s="1">
        <v>64</v>
      </c>
      <c r="Q490" s="1">
        <v>9</v>
      </c>
      <c r="R490" s="1">
        <v>200010026827</v>
      </c>
      <c r="S490" s="1">
        <v>29</v>
      </c>
      <c r="T490" s="1">
        <v>1</v>
      </c>
      <c r="U490" s="1">
        <v>2</v>
      </c>
      <c r="V490">
        <f t="shared" si="7"/>
        <v>920</v>
      </c>
    </row>
    <row r="491" spans="1:22" ht="13" x14ac:dyDescent="0.15">
      <c r="A491" s="4">
        <v>44775</v>
      </c>
      <c r="B491" s="5">
        <v>0.55350694444444448</v>
      </c>
      <c r="C491" s="1">
        <v>1473</v>
      </c>
      <c r="D491" s="1">
        <v>13002581</v>
      </c>
      <c r="E491" s="1">
        <v>13</v>
      </c>
      <c r="F491" s="1">
        <v>22589</v>
      </c>
      <c r="G491" s="1" t="s">
        <v>21</v>
      </c>
      <c r="H491" s="1">
        <v>15</v>
      </c>
      <c r="I491" s="1">
        <v>47735</v>
      </c>
      <c r="J491" s="1" t="s">
        <v>592</v>
      </c>
      <c r="K491" s="1" t="s">
        <v>23</v>
      </c>
      <c r="L491" s="1" t="s">
        <v>175</v>
      </c>
      <c r="M491" s="1">
        <v>1</v>
      </c>
      <c r="N491" s="2">
        <v>97.32</v>
      </c>
      <c r="O491" s="3">
        <v>139</v>
      </c>
      <c r="P491" s="1">
        <v>9</v>
      </c>
      <c r="Q491" s="1">
        <v>9</v>
      </c>
      <c r="R491" s="1">
        <v>200010026827</v>
      </c>
      <c r="S491" s="1">
        <v>29</v>
      </c>
      <c r="T491" s="1">
        <v>1</v>
      </c>
      <c r="U491" s="1">
        <v>1</v>
      </c>
      <c r="V491">
        <f t="shared" si="7"/>
        <v>139</v>
      </c>
    </row>
    <row r="492" spans="1:22" ht="13" x14ac:dyDescent="0.15">
      <c r="A492" s="4">
        <v>44775</v>
      </c>
      <c r="B492" s="5">
        <v>0.55350694444444448</v>
      </c>
      <c r="C492" s="1">
        <v>1473</v>
      </c>
      <c r="D492" s="1">
        <v>13002581</v>
      </c>
      <c r="E492" s="1">
        <v>13</v>
      </c>
      <c r="F492" s="1">
        <v>22589</v>
      </c>
      <c r="G492" s="1" t="s">
        <v>21</v>
      </c>
      <c r="H492" s="1">
        <v>15</v>
      </c>
      <c r="I492" s="1">
        <v>347235</v>
      </c>
      <c r="J492" s="1" t="s">
        <v>593</v>
      </c>
      <c r="K492" s="1" t="s">
        <v>34</v>
      </c>
      <c r="L492" s="1" t="s">
        <v>383</v>
      </c>
      <c r="M492" s="1">
        <v>1</v>
      </c>
      <c r="N492" s="2">
        <v>11.55</v>
      </c>
      <c r="O492" s="3">
        <v>14</v>
      </c>
      <c r="P492" s="1">
        <v>0</v>
      </c>
      <c r="Q492" s="1" t="s">
        <v>25</v>
      </c>
      <c r="R492" s="1" t="s">
        <v>25</v>
      </c>
      <c r="S492" s="1">
        <v>29</v>
      </c>
      <c r="T492" s="1">
        <v>1</v>
      </c>
      <c r="U492" s="1">
        <v>3</v>
      </c>
      <c r="V492">
        <f t="shared" si="7"/>
        <v>14</v>
      </c>
    </row>
    <row r="493" spans="1:22" ht="13" x14ac:dyDescent="0.15">
      <c r="A493" s="4">
        <v>44775</v>
      </c>
      <c r="B493" s="5">
        <v>0.55423611111111115</v>
      </c>
      <c r="C493" s="1">
        <v>1474</v>
      </c>
      <c r="D493" s="1">
        <v>13002581</v>
      </c>
      <c r="E493" s="1">
        <v>13</v>
      </c>
      <c r="F493" s="1">
        <v>22589</v>
      </c>
      <c r="G493" s="1" t="s">
        <v>21</v>
      </c>
      <c r="H493" s="1">
        <v>18</v>
      </c>
      <c r="I493" s="1">
        <v>346727</v>
      </c>
      <c r="J493" s="1" t="s">
        <v>389</v>
      </c>
      <c r="K493" s="1" t="s">
        <v>51</v>
      </c>
      <c r="L493" s="1" t="s">
        <v>274</v>
      </c>
      <c r="M493" s="1">
        <v>1</v>
      </c>
      <c r="N493" s="2">
        <v>30.64</v>
      </c>
      <c r="O493" s="3">
        <v>37</v>
      </c>
      <c r="P493" s="1">
        <v>1</v>
      </c>
      <c r="Q493" s="1">
        <v>9</v>
      </c>
      <c r="R493" s="1">
        <v>200010019532</v>
      </c>
      <c r="S493" s="1">
        <v>29</v>
      </c>
      <c r="T493" s="1">
        <v>1</v>
      </c>
      <c r="U493" s="1">
        <v>1</v>
      </c>
      <c r="V493">
        <f t="shared" si="7"/>
        <v>37</v>
      </c>
    </row>
    <row r="494" spans="1:22" ht="13" x14ac:dyDescent="0.15">
      <c r="A494" s="4">
        <v>44775</v>
      </c>
      <c r="B494" s="5">
        <v>0.55945601851851856</v>
      </c>
      <c r="C494" s="1">
        <v>1475</v>
      </c>
      <c r="D494" s="1">
        <v>13002581</v>
      </c>
      <c r="E494" s="1">
        <v>13</v>
      </c>
      <c r="F494" s="1">
        <v>22589</v>
      </c>
      <c r="G494" s="1" t="s">
        <v>21</v>
      </c>
      <c r="H494" s="1">
        <v>15</v>
      </c>
      <c r="I494" s="1">
        <v>338502</v>
      </c>
      <c r="J494" s="1" t="s">
        <v>264</v>
      </c>
      <c r="K494" s="1" t="s">
        <v>51</v>
      </c>
      <c r="L494" s="1" t="s">
        <v>37</v>
      </c>
      <c r="M494" s="1">
        <v>1</v>
      </c>
      <c r="N494" s="2">
        <v>182.82</v>
      </c>
      <c r="O494" s="3">
        <v>234</v>
      </c>
      <c r="P494" s="1">
        <v>11</v>
      </c>
      <c r="Q494" s="1">
        <v>9</v>
      </c>
      <c r="R494" s="1">
        <v>200010011850</v>
      </c>
      <c r="S494" s="1">
        <v>29</v>
      </c>
      <c r="T494" s="1">
        <v>1</v>
      </c>
      <c r="U494" s="1">
        <v>1</v>
      </c>
      <c r="V494">
        <f t="shared" si="7"/>
        <v>234</v>
      </c>
    </row>
    <row r="495" spans="1:22" ht="13" x14ac:dyDescent="0.15">
      <c r="A495" s="4">
        <v>44775</v>
      </c>
      <c r="B495" s="5">
        <v>0.5696296296296296</v>
      </c>
      <c r="C495" s="1">
        <v>1476</v>
      </c>
      <c r="D495" s="1">
        <v>13002581</v>
      </c>
      <c r="E495" s="1">
        <v>13</v>
      </c>
      <c r="F495" s="1">
        <v>22589</v>
      </c>
      <c r="G495" s="1" t="s">
        <v>21</v>
      </c>
      <c r="H495" s="1">
        <v>18</v>
      </c>
      <c r="I495" s="1">
        <v>117949</v>
      </c>
      <c r="J495" s="1" t="s">
        <v>594</v>
      </c>
      <c r="K495" s="1" t="s">
        <v>141</v>
      </c>
      <c r="L495" s="1" t="s">
        <v>97</v>
      </c>
      <c r="M495" s="1">
        <v>5</v>
      </c>
      <c r="N495" s="2">
        <v>10.02</v>
      </c>
      <c r="O495" s="3">
        <v>17</v>
      </c>
      <c r="P495" s="1">
        <v>8</v>
      </c>
      <c r="Q495" s="1">
        <v>9</v>
      </c>
      <c r="R495" s="1">
        <v>200010022389</v>
      </c>
      <c r="S495" s="1">
        <v>29</v>
      </c>
      <c r="T495" s="1">
        <v>1</v>
      </c>
      <c r="U495" s="1">
        <v>2</v>
      </c>
      <c r="V495">
        <f t="shared" si="7"/>
        <v>85</v>
      </c>
    </row>
    <row r="496" spans="1:22" ht="13" x14ac:dyDescent="0.15">
      <c r="A496" s="4">
        <v>44775</v>
      </c>
      <c r="B496" s="5">
        <v>0.5696296296296296</v>
      </c>
      <c r="C496" s="1">
        <v>1476</v>
      </c>
      <c r="D496" s="1">
        <v>13002581</v>
      </c>
      <c r="E496" s="1">
        <v>13</v>
      </c>
      <c r="F496" s="1">
        <v>22589</v>
      </c>
      <c r="G496" s="1" t="s">
        <v>21</v>
      </c>
      <c r="H496" s="1">
        <v>18</v>
      </c>
      <c r="I496" s="1">
        <v>420703</v>
      </c>
      <c r="J496" s="1" t="s">
        <v>595</v>
      </c>
      <c r="K496" s="1" t="s">
        <v>51</v>
      </c>
      <c r="L496" s="1" t="s">
        <v>397</v>
      </c>
      <c r="M496" s="1">
        <v>1</v>
      </c>
      <c r="N496" s="2">
        <v>19.989999999999998</v>
      </c>
      <c r="O496" s="3">
        <v>24</v>
      </c>
      <c r="P496" s="1">
        <v>1</v>
      </c>
      <c r="Q496" s="1">
        <v>9</v>
      </c>
      <c r="R496" s="1">
        <v>200010022389</v>
      </c>
      <c r="S496" s="1">
        <v>29</v>
      </c>
      <c r="T496" s="1">
        <v>1</v>
      </c>
      <c r="U496" s="1">
        <v>3</v>
      </c>
      <c r="V496">
        <f t="shared" si="7"/>
        <v>24</v>
      </c>
    </row>
    <row r="497" spans="1:22" ht="13" x14ac:dyDescent="0.15">
      <c r="A497" s="4">
        <v>44775</v>
      </c>
      <c r="B497" s="5">
        <v>0.5696296296296296</v>
      </c>
      <c r="C497" s="1">
        <v>1476</v>
      </c>
      <c r="D497" s="1">
        <v>13002581</v>
      </c>
      <c r="E497" s="1">
        <v>13</v>
      </c>
      <c r="F497" s="1">
        <v>22589</v>
      </c>
      <c r="G497" s="1" t="s">
        <v>21</v>
      </c>
      <c r="H497" s="1">
        <v>18</v>
      </c>
      <c r="I497" s="1">
        <v>420703</v>
      </c>
      <c r="J497" s="1" t="s">
        <v>595</v>
      </c>
      <c r="K497" s="1" t="s">
        <v>51</v>
      </c>
      <c r="L497" s="1" t="s">
        <v>397</v>
      </c>
      <c r="M497" s="1">
        <v>1</v>
      </c>
      <c r="N497" s="2">
        <v>19.989999999999998</v>
      </c>
      <c r="O497" s="3">
        <v>24</v>
      </c>
      <c r="P497" s="1">
        <v>1</v>
      </c>
      <c r="Q497" s="1">
        <v>9</v>
      </c>
      <c r="R497" s="1">
        <v>200010022389</v>
      </c>
      <c r="S497" s="1">
        <v>29</v>
      </c>
      <c r="T497" s="1">
        <v>1</v>
      </c>
      <c r="U497" s="1">
        <v>4</v>
      </c>
      <c r="V497">
        <f t="shared" si="7"/>
        <v>24</v>
      </c>
    </row>
    <row r="498" spans="1:22" ht="13" x14ac:dyDescent="0.15">
      <c r="A498" s="4">
        <v>44775</v>
      </c>
      <c r="B498" s="5">
        <v>0.5696296296296296</v>
      </c>
      <c r="C498" s="1">
        <v>1476</v>
      </c>
      <c r="D498" s="1">
        <v>13002581</v>
      </c>
      <c r="E498" s="1">
        <v>13</v>
      </c>
      <c r="F498" s="1">
        <v>22589</v>
      </c>
      <c r="G498" s="1" t="s">
        <v>21</v>
      </c>
      <c r="H498" s="1">
        <v>18</v>
      </c>
      <c r="I498" s="1">
        <v>420703</v>
      </c>
      <c r="J498" s="1" t="s">
        <v>595</v>
      </c>
      <c r="K498" s="1" t="s">
        <v>51</v>
      </c>
      <c r="L498" s="1" t="s">
        <v>397</v>
      </c>
      <c r="M498" s="1">
        <v>1</v>
      </c>
      <c r="N498" s="2">
        <v>19.989999999999998</v>
      </c>
      <c r="O498" s="3">
        <v>24</v>
      </c>
      <c r="P498" s="1">
        <v>1</v>
      </c>
      <c r="Q498" s="1">
        <v>9</v>
      </c>
      <c r="R498" s="1">
        <v>200010022389</v>
      </c>
      <c r="S498" s="1">
        <v>29</v>
      </c>
      <c r="T498" s="1">
        <v>1</v>
      </c>
      <c r="U498" s="1">
        <v>5</v>
      </c>
      <c r="V498">
        <f t="shared" si="7"/>
        <v>24</v>
      </c>
    </row>
    <row r="499" spans="1:22" ht="13" x14ac:dyDescent="0.15">
      <c r="A499" s="4">
        <v>44775</v>
      </c>
      <c r="B499" s="5">
        <v>0.5696296296296296</v>
      </c>
      <c r="C499" s="1">
        <v>1476</v>
      </c>
      <c r="D499" s="1">
        <v>13002581</v>
      </c>
      <c r="E499" s="1">
        <v>13</v>
      </c>
      <c r="F499" s="1">
        <v>22589</v>
      </c>
      <c r="G499" s="1" t="s">
        <v>21</v>
      </c>
      <c r="H499" s="1">
        <v>18</v>
      </c>
      <c r="I499" s="1">
        <v>420703</v>
      </c>
      <c r="J499" s="1" t="s">
        <v>595</v>
      </c>
      <c r="K499" s="1" t="s">
        <v>51</v>
      </c>
      <c r="L499" s="1" t="s">
        <v>397</v>
      </c>
      <c r="M499" s="1">
        <v>1</v>
      </c>
      <c r="N499" s="2">
        <v>19.989999999999998</v>
      </c>
      <c r="O499" s="3">
        <v>24</v>
      </c>
      <c r="P499" s="1">
        <v>1</v>
      </c>
      <c r="Q499" s="1">
        <v>9</v>
      </c>
      <c r="R499" s="1">
        <v>200010022389</v>
      </c>
      <c r="S499" s="1">
        <v>29</v>
      </c>
      <c r="T499" s="1">
        <v>1</v>
      </c>
      <c r="U499" s="1">
        <v>6</v>
      </c>
      <c r="V499">
        <f t="shared" si="7"/>
        <v>24</v>
      </c>
    </row>
    <row r="500" spans="1:22" ht="13" x14ac:dyDescent="0.15">
      <c r="A500" s="4">
        <v>44775</v>
      </c>
      <c r="B500" s="5">
        <v>0.5696296296296296</v>
      </c>
      <c r="C500" s="1">
        <v>1476</v>
      </c>
      <c r="D500" s="1">
        <v>13002581</v>
      </c>
      <c r="E500" s="1">
        <v>13</v>
      </c>
      <c r="F500" s="1">
        <v>22589</v>
      </c>
      <c r="G500" s="1" t="s">
        <v>21</v>
      </c>
      <c r="H500" s="1">
        <v>18</v>
      </c>
      <c r="I500" s="1">
        <v>420703</v>
      </c>
      <c r="J500" s="1" t="s">
        <v>595</v>
      </c>
      <c r="K500" s="1" t="s">
        <v>51</v>
      </c>
      <c r="L500" s="1" t="s">
        <v>397</v>
      </c>
      <c r="M500" s="1">
        <v>1</v>
      </c>
      <c r="N500" s="2">
        <v>19.989999999999998</v>
      </c>
      <c r="O500" s="3">
        <v>24</v>
      </c>
      <c r="P500" s="1">
        <v>1</v>
      </c>
      <c r="Q500" s="1">
        <v>9</v>
      </c>
      <c r="R500" s="1">
        <v>200010022389</v>
      </c>
      <c r="S500" s="1">
        <v>29</v>
      </c>
      <c r="T500" s="1">
        <v>1</v>
      </c>
      <c r="U500" s="1">
        <v>7</v>
      </c>
      <c r="V500">
        <f t="shared" si="7"/>
        <v>24</v>
      </c>
    </row>
    <row r="501" spans="1:22" ht="13" x14ac:dyDescent="0.15">
      <c r="A501" s="4">
        <v>44775</v>
      </c>
      <c r="B501" s="5">
        <v>0.5696296296296296</v>
      </c>
      <c r="C501" s="1">
        <v>1476</v>
      </c>
      <c r="D501" s="1">
        <v>13002581</v>
      </c>
      <c r="E501" s="1">
        <v>13</v>
      </c>
      <c r="F501" s="1">
        <v>22589</v>
      </c>
      <c r="G501" s="1" t="s">
        <v>21</v>
      </c>
      <c r="H501" s="1">
        <v>18</v>
      </c>
      <c r="I501" s="1">
        <v>66792</v>
      </c>
      <c r="J501" s="1" t="s">
        <v>596</v>
      </c>
      <c r="K501" s="1" t="s">
        <v>51</v>
      </c>
      <c r="L501" s="1" t="s">
        <v>597</v>
      </c>
      <c r="M501" s="1">
        <v>1</v>
      </c>
      <c r="N501" s="2">
        <v>432.5</v>
      </c>
      <c r="O501" s="3">
        <v>636</v>
      </c>
      <c r="P501" s="1">
        <v>63</v>
      </c>
      <c r="Q501" s="1">
        <v>9</v>
      </c>
      <c r="R501" s="1">
        <v>200010022389</v>
      </c>
      <c r="S501" s="1">
        <v>29</v>
      </c>
      <c r="T501" s="1">
        <v>1</v>
      </c>
      <c r="U501" s="1">
        <v>1</v>
      </c>
      <c r="V501">
        <f t="shared" si="7"/>
        <v>636</v>
      </c>
    </row>
    <row r="502" spans="1:22" ht="13" x14ac:dyDescent="0.15">
      <c r="A502" s="4">
        <v>44775</v>
      </c>
      <c r="B502" s="5">
        <v>0.5696296296296296</v>
      </c>
      <c r="C502" s="1">
        <v>1476</v>
      </c>
      <c r="D502" s="1">
        <v>13002581</v>
      </c>
      <c r="E502" s="1">
        <v>13</v>
      </c>
      <c r="F502" s="1">
        <v>22589</v>
      </c>
      <c r="G502" s="1" t="s">
        <v>21</v>
      </c>
      <c r="H502" s="1">
        <v>18</v>
      </c>
      <c r="I502" s="1">
        <v>133150</v>
      </c>
      <c r="J502" s="1" t="s">
        <v>598</v>
      </c>
      <c r="K502" s="1" t="s">
        <v>51</v>
      </c>
      <c r="L502" s="1" t="s">
        <v>547</v>
      </c>
      <c r="M502" s="1">
        <v>1</v>
      </c>
      <c r="N502" s="2">
        <v>201.02</v>
      </c>
      <c r="O502" s="3">
        <v>306</v>
      </c>
      <c r="P502" s="1">
        <v>30</v>
      </c>
      <c r="Q502" s="1">
        <v>9</v>
      </c>
      <c r="R502" s="1">
        <v>200010022389</v>
      </c>
      <c r="S502" s="1">
        <v>29</v>
      </c>
      <c r="T502" s="1">
        <v>1</v>
      </c>
      <c r="U502" s="1">
        <v>8</v>
      </c>
      <c r="V502">
        <f t="shared" si="7"/>
        <v>306</v>
      </c>
    </row>
    <row r="503" spans="1:22" ht="13" x14ac:dyDescent="0.15">
      <c r="A503" s="4">
        <v>44775</v>
      </c>
      <c r="B503" s="5">
        <v>0.57376157407407402</v>
      </c>
      <c r="C503" s="1">
        <v>1477</v>
      </c>
      <c r="D503" s="1">
        <v>13002581</v>
      </c>
      <c r="E503" s="1">
        <v>13</v>
      </c>
      <c r="F503" s="1">
        <v>22589</v>
      </c>
      <c r="G503" s="1" t="s">
        <v>21</v>
      </c>
      <c r="H503" s="1">
        <v>18</v>
      </c>
      <c r="I503" s="1">
        <v>1504015</v>
      </c>
      <c r="J503" s="1" t="s">
        <v>94</v>
      </c>
      <c r="K503" s="1" t="s">
        <v>95</v>
      </c>
      <c r="L503" s="1" t="s">
        <v>547</v>
      </c>
      <c r="M503" s="1">
        <v>1</v>
      </c>
      <c r="N503" s="2">
        <v>1.1499999999999999</v>
      </c>
      <c r="O503" s="3">
        <v>2</v>
      </c>
      <c r="P503" s="1">
        <v>0</v>
      </c>
      <c r="Q503" s="1" t="s">
        <v>25</v>
      </c>
      <c r="R503" s="1" t="s">
        <v>25</v>
      </c>
      <c r="S503" s="1">
        <v>29</v>
      </c>
      <c r="T503" s="1">
        <v>1</v>
      </c>
      <c r="U503" s="1">
        <v>5</v>
      </c>
      <c r="V503">
        <f t="shared" si="7"/>
        <v>2</v>
      </c>
    </row>
    <row r="504" spans="1:22" ht="13" x14ac:dyDescent="0.15">
      <c r="A504" s="4">
        <v>44775</v>
      </c>
      <c r="B504" s="5">
        <v>0.67931712962962965</v>
      </c>
      <c r="C504" s="1">
        <v>1495</v>
      </c>
      <c r="D504" s="1">
        <v>13002581</v>
      </c>
      <c r="E504" s="1">
        <v>13</v>
      </c>
      <c r="F504" s="1">
        <v>22589</v>
      </c>
      <c r="G504" s="1" t="s">
        <v>21</v>
      </c>
      <c r="H504" s="1">
        <v>15</v>
      </c>
      <c r="I504" s="1">
        <v>1504015</v>
      </c>
      <c r="J504" s="1" t="s">
        <v>94</v>
      </c>
      <c r="K504" s="1" t="s">
        <v>95</v>
      </c>
      <c r="L504" s="1" t="s">
        <v>547</v>
      </c>
      <c r="M504" s="1">
        <v>1</v>
      </c>
      <c r="N504" s="2">
        <v>1.1499999999999999</v>
      </c>
      <c r="O504" s="3">
        <v>2</v>
      </c>
      <c r="P504" s="1">
        <v>0</v>
      </c>
      <c r="Q504" s="1" t="s">
        <v>25</v>
      </c>
      <c r="R504" s="1" t="s">
        <v>25</v>
      </c>
      <c r="S504" s="1">
        <v>29</v>
      </c>
      <c r="T504" s="1">
        <v>1</v>
      </c>
      <c r="U504" s="1">
        <v>1</v>
      </c>
      <c r="V504">
        <f t="shared" si="7"/>
        <v>2</v>
      </c>
    </row>
    <row r="505" spans="1:22" ht="13" x14ac:dyDescent="0.15">
      <c r="A505" s="4">
        <v>44775</v>
      </c>
      <c r="B505" s="5">
        <v>0.74380787037037033</v>
      </c>
      <c r="C505" s="1">
        <v>1517</v>
      </c>
      <c r="D505" s="1">
        <v>13002581</v>
      </c>
      <c r="E505" s="1">
        <v>13</v>
      </c>
      <c r="F505" s="1">
        <v>22589</v>
      </c>
      <c r="G505" s="1" t="s">
        <v>21</v>
      </c>
      <c r="H505" s="1">
        <v>18</v>
      </c>
      <c r="I505" s="1">
        <v>1504015</v>
      </c>
      <c r="J505" s="1" t="s">
        <v>94</v>
      </c>
      <c r="K505" s="1" t="s">
        <v>95</v>
      </c>
      <c r="L505" s="1" t="s">
        <v>547</v>
      </c>
      <c r="M505" s="1">
        <v>1</v>
      </c>
      <c r="N505" s="2">
        <v>1.1499999999999999</v>
      </c>
      <c r="O505" s="3">
        <v>2</v>
      </c>
      <c r="P505" s="1">
        <v>0</v>
      </c>
      <c r="Q505" s="1" t="s">
        <v>25</v>
      </c>
      <c r="R505" s="1" t="s">
        <v>25</v>
      </c>
      <c r="S505" s="1">
        <v>29</v>
      </c>
      <c r="T505" s="1">
        <v>1</v>
      </c>
      <c r="U505" s="1">
        <v>2</v>
      </c>
      <c r="V505">
        <f t="shared" si="7"/>
        <v>2</v>
      </c>
    </row>
    <row r="506" spans="1:22" ht="13" x14ac:dyDescent="0.15">
      <c r="A506" s="4">
        <v>44775</v>
      </c>
      <c r="B506" s="5">
        <v>0.57376157407407402</v>
      </c>
      <c r="C506" s="1">
        <v>1477</v>
      </c>
      <c r="D506" s="1">
        <v>13002581</v>
      </c>
      <c r="E506" s="1">
        <v>13</v>
      </c>
      <c r="F506" s="1">
        <v>22589</v>
      </c>
      <c r="G506" s="1" t="s">
        <v>21</v>
      </c>
      <c r="H506" s="1">
        <v>18</v>
      </c>
      <c r="I506" s="1">
        <v>53825</v>
      </c>
      <c r="J506" s="1" t="s">
        <v>599</v>
      </c>
      <c r="K506" s="1" t="s">
        <v>141</v>
      </c>
      <c r="L506" s="1" t="s">
        <v>600</v>
      </c>
      <c r="M506" s="1">
        <v>1</v>
      </c>
      <c r="N506" s="2">
        <v>230.23</v>
      </c>
      <c r="O506" s="3">
        <v>273</v>
      </c>
      <c r="P506" s="1">
        <v>0</v>
      </c>
      <c r="Q506" s="1" t="s">
        <v>25</v>
      </c>
      <c r="R506" s="1" t="s">
        <v>25</v>
      </c>
      <c r="S506" s="1">
        <v>29</v>
      </c>
      <c r="T506" s="1">
        <v>1</v>
      </c>
      <c r="U506" s="1">
        <v>1</v>
      </c>
      <c r="V506">
        <f t="shared" si="7"/>
        <v>273</v>
      </c>
    </row>
    <row r="507" spans="1:22" ht="13" x14ac:dyDescent="0.15">
      <c r="A507" s="4">
        <v>44775</v>
      </c>
      <c r="B507" s="5">
        <v>0.57376157407407402</v>
      </c>
      <c r="C507" s="1">
        <v>1477</v>
      </c>
      <c r="D507" s="1">
        <v>13002581</v>
      </c>
      <c r="E507" s="1">
        <v>13</v>
      </c>
      <c r="F507" s="1">
        <v>22589</v>
      </c>
      <c r="G507" s="1" t="s">
        <v>21</v>
      </c>
      <c r="H507" s="1">
        <v>18</v>
      </c>
      <c r="I507" s="1">
        <v>198198</v>
      </c>
      <c r="J507" s="1" t="s">
        <v>601</v>
      </c>
      <c r="K507" s="1" t="s">
        <v>29</v>
      </c>
      <c r="L507" s="1" t="s">
        <v>129</v>
      </c>
      <c r="M507" s="1">
        <v>1</v>
      </c>
      <c r="N507" s="2">
        <v>330.01</v>
      </c>
      <c r="O507" s="3">
        <v>436</v>
      </c>
      <c r="P507" s="1">
        <v>0</v>
      </c>
      <c r="Q507" s="1" t="s">
        <v>25</v>
      </c>
      <c r="R507" s="1" t="s">
        <v>25</v>
      </c>
      <c r="S507" s="1">
        <v>29</v>
      </c>
      <c r="T507" s="1">
        <v>1</v>
      </c>
      <c r="U507" s="1">
        <v>2</v>
      </c>
      <c r="V507">
        <f t="shared" si="7"/>
        <v>436</v>
      </c>
    </row>
    <row r="508" spans="1:22" ht="13" x14ac:dyDescent="0.15">
      <c r="A508" s="4">
        <v>44775</v>
      </c>
      <c r="B508" s="5">
        <v>0.57376157407407402</v>
      </c>
      <c r="C508" s="1">
        <v>1477</v>
      </c>
      <c r="D508" s="1">
        <v>13002581</v>
      </c>
      <c r="E508" s="1">
        <v>13</v>
      </c>
      <c r="F508" s="1">
        <v>22589</v>
      </c>
      <c r="G508" s="1" t="s">
        <v>21</v>
      </c>
      <c r="H508" s="1">
        <v>18</v>
      </c>
      <c r="I508" s="1">
        <v>424540</v>
      </c>
      <c r="J508" s="1" t="s">
        <v>602</v>
      </c>
      <c r="K508" s="1" t="s">
        <v>51</v>
      </c>
      <c r="L508" s="1" t="s">
        <v>76</v>
      </c>
      <c r="M508" s="1">
        <v>1</v>
      </c>
      <c r="N508" s="2">
        <v>185.89</v>
      </c>
      <c r="O508" s="3">
        <v>255</v>
      </c>
      <c r="P508" s="1">
        <v>0</v>
      </c>
      <c r="Q508" s="1" t="s">
        <v>25</v>
      </c>
      <c r="R508" s="1" t="s">
        <v>25</v>
      </c>
      <c r="S508" s="1">
        <v>29</v>
      </c>
      <c r="T508" s="1">
        <v>1</v>
      </c>
      <c r="U508" s="1">
        <v>7</v>
      </c>
      <c r="V508">
        <f t="shared" si="7"/>
        <v>255</v>
      </c>
    </row>
    <row r="509" spans="1:22" ht="13" x14ac:dyDescent="0.15">
      <c r="A509" s="4">
        <v>44775</v>
      </c>
      <c r="B509" s="5">
        <v>0.57376157407407402</v>
      </c>
      <c r="C509" s="1">
        <v>1477</v>
      </c>
      <c r="D509" s="1">
        <v>13002581</v>
      </c>
      <c r="E509" s="1">
        <v>13</v>
      </c>
      <c r="F509" s="1">
        <v>22589</v>
      </c>
      <c r="G509" s="1" t="s">
        <v>21</v>
      </c>
      <c r="H509" s="1">
        <v>18</v>
      </c>
      <c r="I509" s="1">
        <v>254242</v>
      </c>
      <c r="J509" s="1" t="s">
        <v>603</v>
      </c>
      <c r="K509" s="1" t="s">
        <v>61</v>
      </c>
      <c r="L509" s="1" t="s">
        <v>604</v>
      </c>
      <c r="M509" s="1">
        <v>1</v>
      </c>
      <c r="N509" s="2">
        <v>513.24</v>
      </c>
      <c r="O509" s="3">
        <v>719</v>
      </c>
      <c r="P509" s="1">
        <v>0</v>
      </c>
      <c r="Q509" s="1" t="s">
        <v>25</v>
      </c>
      <c r="R509" s="1" t="s">
        <v>25</v>
      </c>
      <c r="S509" s="1">
        <v>29</v>
      </c>
      <c r="T509" s="1">
        <v>1</v>
      </c>
      <c r="U509" s="1">
        <v>4</v>
      </c>
      <c r="V509">
        <f t="shared" si="7"/>
        <v>719</v>
      </c>
    </row>
    <row r="510" spans="1:22" ht="13" x14ac:dyDescent="0.15">
      <c r="A510" s="4">
        <v>44775</v>
      </c>
      <c r="B510" s="5">
        <v>0.57376157407407402</v>
      </c>
      <c r="C510" s="1">
        <v>1477</v>
      </c>
      <c r="D510" s="1">
        <v>13002581</v>
      </c>
      <c r="E510" s="1">
        <v>13</v>
      </c>
      <c r="F510" s="1">
        <v>22589</v>
      </c>
      <c r="G510" s="1" t="s">
        <v>21</v>
      </c>
      <c r="H510" s="1">
        <v>18</v>
      </c>
      <c r="I510" s="1">
        <v>27580</v>
      </c>
      <c r="J510" s="1" t="s">
        <v>605</v>
      </c>
      <c r="K510" s="1" t="s">
        <v>29</v>
      </c>
      <c r="L510" s="1" t="s">
        <v>394</v>
      </c>
      <c r="M510" s="1">
        <v>0.25</v>
      </c>
      <c r="N510" s="2">
        <v>597.80999999999995</v>
      </c>
      <c r="O510" s="3">
        <v>656</v>
      </c>
      <c r="P510" s="1">
        <v>0</v>
      </c>
      <c r="Q510" s="1" t="s">
        <v>25</v>
      </c>
      <c r="R510" s="1" t="s">
        <v>25</v>
      </c>
      <c r="S510" s="1">
        <v>29</v>
      </c>
      <c r="T510" s="1">
        <v>1</v>
      </c>
      <c r="U510" s="1">
        <v>8</v>
      </c>
      <c r="V510">
        <f t="shared" si="7"/>
        <v>164</v>
      </c>
    </row>
    <row r="511" spans="1:22" ht="13" x14ac:dyDescent="0.15">
      <c r="A511" s="4">
        <v>44775</v>
      </c>
      <c r="B511" s="5">
        <v>0.57376157407407402</v>
      </c>
      <c r="C511" s="1">
        <v>1477</v>
      </c>
      <c r="D511" s="1">
        <v>13002581</v>
      </c>
      <c r="E511" s="1">
        <v>13</v>
      </c>
      <c r="F511" s="1">
        <v>22589</v>
      </c>
      <c r="G511" s="1" t="s">
        <v>21</v>
      </c>
      <c r="H511" s="1">
        <v>18</v>
      </c>
      <c r="I511" s="1">
        <v>142036</v>
      </c>
      <c r="J511" s="1" t="s">
        <v>101</v>
      </c>
      <c r="K511" s="1" t="s">
        <v>23</v>
      </c>
      <c r="L511" s="1" t="s">
        <v>76</v>
      </c>
      <c r="M511" s="1">
        <v>1</v>
      </c>
      <c r="N511" s="2">
        <v>187.36</v>
      </c>
      <c r="O511" s="3">
        <v>220</v>
      </c>
      <c r="P511" s="1">
        <v>0</v>
      </c>
      <c r="Q511" s="1" t="s">
        <v>25</v>
      </c>
      <c r="R511" s="1" t="s">
        <v>25</v>
      </c>
      <c r="S511" s="1">
        <v>29</v>
      </c>
      <c r="T511" s="1">
        <v>1</v>
      </c>
      <c r="U511" s="1">
        <v>6</v>
      </c>
      <c r="V511">
        <f t="shared" si="7"/>
        <v>220</v>
      </c>
    </row>
    <row r="512" spans="1:22" ht="13" x14ac:dyDescent="0.15">
      <c r="A512" s="4">
        <v>44775</v>
      </c>
      <c r="B512" s="5">
        <v>0.57376157407407402</v>
      </c>
      <c r="C512" s="1">
        <v>1477</v>
      </c>
      <c r="D512" s="1">
        <v>13002581</v>
      </c>
      <c r="E512" s="1">
        <v>13</v>
      </c>
      <c r="F512" s="1">
        <v>22589</v>
      </c>
      <c r="G512" s="1" t="s">
        <v>21</v>
      </c>
      <c r="H512" s="1">
        <v>18</v>
      </c>
      <c r="I512" s="1">
        <v>404534</v>
      </c>
      <c r="J512" s="1" t="s">
        <v>606</v>
      </c>
      <c r="K512" s="1" t="s">
        <v>51</v>
      </c>
      <c r="L512" s="1" t="s">
        <v>449</v>
      </c>
      <c r="M512" s="1">
        <v>1</v>
      </c>
      <c r="N512" s="2">
        <v>647.25</v>
      </c>
      <c r="O512" s="3">
        <v>835</v>
      </c>
      <c r="P512" s="1">
        <v>0</v>
      </c>
      <c r="Q512" s="1" t="s">
        <v>25</v>
      </c>
      <c r="R512" s="1" t="s">
        <v>25</v>
      </c>
      <c r="S512" s="1">
        <v>29</v>
      </c>
      <c r="T512" s="1">
        <v>1</v>
      </c>
      <c r="U512" s="1">
        <v>3</v>
      </c>
      <c r="V512">
        <f t="shared" si="7"/>
        <v>835</v>
      </c>
    </row>
    <row r="513" spans="1:22" ht="13" x14ac:dyDescent="0.15">
      <c r="A513" s="4">
        <v>44775</v>
      </c>
      <c r="B513" s="5">
        <v>0.58020833333333333</v>
      </c>
      <c r="C513" s="1">
        <v>1478</v>
      </c>
      <c r="D513" s="1">
        <v>13002581</v>
      </c>
      <c r="E513" s="1">
        <v>13</v>
      </c>
      <c r="F513" s="1">
        <v>22589</v>
      </c>
      <c r="G513" s="1" t="s">
        <v>21</v>
      </c>
      <c r="H513" s="1">
        <v>15</v>
      </c>
      <c r="I513" s="1">
        <v>7308</v>
      </c>
      <c r="J513" s="1" t="s">
        <v>607</v>
      </c>
      <c r="K513" s="1" t="s">
        <v>48</v>
      </c>
      <c r="L513" s="1" t="s">
        <v>32</v>
      </c>
      <c r="M513" s="1">
        <v>1</v>
      </c>
      <c r="N513" s="2">
        <v>546.04</v>
      </c>
      <c r="O513" s="3">
        <v>611</v>
      </c>
      <c r="P513" s="1">
        <v>18</v>
      </c>
      <c r="Q513" s="1">
        <v>9</v>
      </c>
      <c r="R513" s="1">
        <v>200010017757</v>
      </c>
      <c r="S513" s="1">
        <v>29</v>
      </c>
      <c r="T513" s="1">
        <v>1</v>
      </c>
      <c r="U513" s="1">
        <v>1</v>
      </c>
      <c r="V513">
        <f t="shared" si="7"/>
        <v>611</v>
      </c>
    </row>
    <row r="514" spans="1:22" ht="13" x14ac:dyDescent="0.15">
      <c r="A514" s="4">
        <v>44775</v>
      </c>
      <c r="B514" s="5">
        <v>0.58020833333333333</v>
      </c>
      <c r="C514" s="1">
        <v>1478</v>
      </c>
      <c r="D514" s="1">
        <v>13002581</v>
      </c>
      <c r="E514" s="1">
        <v>13</v>
      </c>
      <c r="F514" s="1">
        <v>22589</v>
      </c>
      <c r="G514" s="1" t="s">
        <v>21</v>
      </c>
      <c r="H514" s="1">
        <v>15</v>
      </c>
      <c r="I514" s="1">
        <v>103081</v>
      </c>
      <c r="J514" s="1" t="s">
        <v>608</v>
      </c>
      <c r="K514" s="1" t="s">
        <v>61</v>
      </c>
      <c r="L514" s="1" t="s">
        <v>609</v>
      </c>
      <c r="M514" s="1">
        <v>1</v>
      </c>
      <c r="N514" s="2">
        <v>308.99</v>
      </c>
      <c r="O514" s="3">
        <v>408</v>
      </c>
      <c r="P514" s="1">
        <v>28</v>
      </c>
      <c r="Q514" s="1">
        <v>9</v>
      </c>
      <c r="R514" s="1">
        <v>200010017757</v>
      </c>
      <c r="S514" s="1">
        <v>29</v>
      </c>
      <c r="T514" s="1">
        <v>1</v>
      </c>
      <c r="U514" s="1">
        <v>3</v>
      </c>
      <c r="V514">
        <f t="shared" si="7"/>
        <v>408</v>
      </c>
    </row>
    <row r="515" spans="1:22" ht="13" x14ac:dyDescent="0.15">
      <c r="A515" s="4">
        <v>44775</v>
      </c>
      <c r="B515" s="5">
        <v>0.58020833333333333</v>
      </c>
      <c r="C515" s="1">
        <v>1478</v>
      </c>
      <c r="D515" s="1">
        <v>13002581</v>
      </c>
      <c r="E515" s="1">
        <v>13</v>
      </c>
      <c r="F515" s="1">
        <v>22589</v>
      </c>
      <c r="G515" s="1" t="s">
        <v>21</v>
      </c>
      <c r="H515" s="1">
        <v>15</v>
      </c>
      <c r="I515" s="1">
        <v>82396</v>
      </c>
      <c r="J515" s="1" t="s">
        <v>610</v>
      </c>
      <c r="K515" s="1" t="s">
        <v>51</v>
      </c>
      <c r="L515" s="1" t="s">
        <v>216</v>
      </c>
      <c r="M515" s="1">
        <v>1</v>
      </c>
      <c r="N515" s="2">
        <v>80.650000000000006</v>
      </c>
      <c r="O515" s="3">
        <v>101</v>
      </c>
      <c r="P515" s="1">
        <v>5</v>
      </c>
      <c r="Q515" s="1">
        <v>9</v>
      </c>
      <c r="R515" s="1">
        <v>200010017757</v>
      </c>
      <c r="S515" s="1">
        <v>29</v>
      </c>
      <c r="T515" s="1">
        <v>1</v>
      </c>
      <c r="U515" s="1">
        <v>2</v>
      </c>
      <c r="V515">
        <f t="shared" ref="V515:V578" si="8">O515*M515</f>
        <v>101</v>
      </c>
    </row>
    <row r="516" spans="1:22" ht="13" x14ac:dyDescent="0.15">
      <c r="A516" s="4">
        <v>44775</v>
      </c>
      <c r="B516" s="5">
        <v>0.58399305555555558</v>
      </c>
      <c r="C516" s="1">
        <v>1479</v>
      </c>
      <c r="D516" s="1">
        <v>13002581</v>
      </c>
      <c r="E516" s="1">
        <v>13</v>
      </c>
      <c r="F516" s="1">
        <v>22589</v>
      </c>
      <c r="G516" s="1" t="s">
        <v>21</v>
      </c>
      <c r="H516" s="1">
        <v>18</v>
      </c>
      <c r="I516" s="1">
        <v>192223</v>
      </c>
      <c r="J516" s="1" t="s">
        <v>611</v>
      </c>
      <c r="K516" s="1" t="s">
        <v>51</v>
      </c>
      <c r="L516" s="1" t="s">
        <v>612</v>
      </c>
      <c r="M516" s="1">
        <v>1</v>
      </c>
      <c r="N516" s="2">
        <v>214.43</v>
      </c>
      <c r="O516" s="3">
        <v>269</v>
      </c>
      <c r="P516" s="1">
        <v>0</v>
      </c>
      <c r="Q516" s="1" t="s">
        <v>25</v>
      </c>
      <c r="R516" s="1" t="s">
        <v>25</v>
      </c>
      <c r="S516" s="1">
        <v>29</v>
      </c>
      <c r="T516" s="1">
        <v>1</v>
      </c>
      <c r="U516" s="1">
        <v>1</v>
      </c>
      <c r="V516">
        <f t="shared" si="8"/>
        <v>269</v>
      </c>
    </row>
    <row r="517" spans="1:22" ht="13" x14ac:dyDescent="0.15">
      <c r="A517" s="4">
        <v>44775</v>
      </c>
      <c r="B517" s="5">
        <v>0.58399305555555558</v>
      </c>
      <c r="C517" s="1">
        <v>1479</v>
      </c>
      <c r="D517" s="1">
        <v>13002581</v>
      </c>
      <c r="E517" s="1">
        <v>13</v>
      </c>
      <c r="F517" s="1">
        <v>22589</v>
      </c>
      <c r="G517" s="1" t="s">
        <v>21</v>
      </c>
      <c r="H517" s="1">
        <v>18</v>
      </c>
      <c r="I517" s="1">
        <v>11237</v>
      </c>
      <c r="J517" s="1" t="s">
        <v>613</v>
      </c>
      <c r="K517" s="1" t="s">
        <v>51</v>
      </c>
      <c r="L517" s="1" t="s">
        <v>614</v>
      </c>
      <c r="M517" s="1">
        <v>1</v>
      </c>
      <c r="N517" s="2">
        <v>89.29</v>
      </c>
      <c r="O517" s="3">
        <v>141</v>
      </c>
      <c r="P517" s="1">
        <v>0</v>
      </c>
      <c r="Q517" s="1" t="s">
        <v>25</v>
      </c>
      <c r="R517" s="1" t="s">
        <v>25</v>
      </c>
      <c r="S517" s="1">
        <v>29</v>
      </c>
      <c r="T517" s="1">
        <v>1</v>
      </c>
      <c r="U517" s="1">
        <v>2</v>
      </c>
      <c r="V517">
        <f t="shared" si="8"/>
        <v>141</v>
      </c>
    </row>
    <row r="518" spans="1:22" ht="13" x14ac:dyDescent="0.15">
      <c r="A518" s="4">
        <v>44775</v>
      </c>
      <c r="B518" s="5">
        <v>0.58399305555555558</v>
      </c>
      <c r="C518" s="1">
        <v>1479</v>
      </c>
      <c r="D518" s="1">
        <v>13002581</v>
      </c>
      <c r="E518" s="1">
        <v>13</v>
      </c>
      <c r="F518" s="1">
        <v>22589</v>
      </c>
      <c r="G518" s="1" t="s">
        <v>21</v>
      </c>
      <c r="H518" s="1">
        <v>18</v>
      </c>
      <c r="I518" s="1">
        <v>354089</v>
      </c>
      <c r="J518" s="1" t="s">
        <v>369</v>
      </c>
      <c r="K518" s="1" t="s">
        <v>23</v>
      </c>
      <c r="L518" s="1" t="s">
        <v>76</v>
      </c>
      <c r="M518" s="1">
        <v>1</v>
      </c>
      <c r="N518" s="2">
        <v>39.47</v>
      </c>
      <c r="O518" s="3">
        <v>60</v>
      </c>
      <c r="P518" s="1">
        <v>0</v>
      </c>
      <c r="Q518" s="1" t="s">
        <v>25</v>
      </c>
      <c r="R518" s="1" t="s">
        <v>25</v>
      </c>
      <c r="S518" s="1">
        <v>29</v>
      </c>
      <c r="T518" s="1">
        <v>1</v>
      </c>
      <c r="U518" s="1">
        <v>3</v>
      </c>
      <c r="V518">
        <f t="shared" si="8"/>
        <v>60</v>
      </c>
    </row>
    <row r="519" spans="1:22" ht="13" x14ac:dyDescent="0.15">
      <c r="A519" s="4">
        <v>44775</v>
      </c>
      <c r="B519" s="5">
        <v>0.58399305555555558</v>
      </c>
      <c r="C519" s="1">
        <v>1479</v>
      </c>
      <c r="D519" s="1">
        <v>13002581</v>
      </c>
      <c r="E519" s="1">
        <v>13</v>
      </c>
      <c r="F519" s="1">
        <v>22589</v>
      </c>
      <c r="G519" s="1" t="s">
        <v>21</v>
      </c>
      <c r="H519" s="1">
        <v>18</v>
      </c>
      <c r="I519" s="1">
        <v>6402</v>
      </c>
      <c r="J519" s="1" t="s">
        <v>468</v>
      </c>
      <c r="K519" s="1" t="s">
        <v>45</v>
      </c>
      <c r="L519" s="1" t="s">
        <v>76</v>
      </c>
      <c r="M519" s="1">
        <v>1</v>
      </c>
      <c r="N519" s="2">
        <v>18.18</v>
      </c>
      <c r="O519" s="3">
        <v>30</v>
      </c>
      <c r="P519" s="1">
        <v>0</v>
      </c>
      <c r="Q519" s="1" t="s">
        <v>25</v>
      </c>
      <c r="R519" s="1" t="s">
        <v>25</v>
      </c>
      <c r="S519" s="1">
        <v>29</v>
      </c>
      <c r="T519" s="1">
        <v>1</v>
      </c>
      <c r="U519" s="1">
        <v>4</v>
      </c>
      <c r="V519">
        <f t="shared" si="8"/>
        <v>30</v>
      </c>
    </row>
    <row r="520" spans="1:22" ht="13" x14ac:dyDescent="0.15">
      <c r="A520" s="4">
        <v>44775</v>
      </c>
      <c r="B520" s="5">
        <v>0.6083912037037037</v>
      </c>
      <c r="C520" s="1">
        <v>1481</v>
      </c>
      <c r="D520" s="1">
        <v>13002581</v>
      </c>
      <c r="E520" s="1">
        <v>13</v>
      </c>
      <c r="F520" s="1">
        <v>22589</v>
      </c>
      <c r="G520" s="1" t="s">
        <v>21</v>
      </c>
      <c r="H520" s="1">
        <v>15</v>
      </c>
      <c r="I520" s="1">
        <v>339753</v>
      </c>
      <c r="J520" s="1" t="s">
        <v>615</v>
      </c>
      <c r="K520" s="1" t="s">
        <v>51</v>
      </c>
      <c r="L520" s="1" t="s">
        <v>218</v>
      </c>
      <c r="M520" s="1">
        <v>1</v>
      </c>
      <c r="N520" s="2">
        <v>25.77</v>
      </c>
      <c r="O520" s="3">
        <v>32</v>
      </c>
      <c r="P520" s="1">
        <v>0</v>
      </c>
      <c r="Q520" s="1" t="s">
        <v>25</v>
      </c>
      <c r="R520" s="1" t="s">
        <v>25</v>
      </c>
      <c r="S520" s="1">
        <v>29</v>
      </c>
      <c r="T520" s="1">
        <v>1</v>
      </c>
      <c r="U520" s="1">
        <v>6</v>
      </c>
      <c r="V520">
        <f t="shared" si="8"/>
        <v>32</v>
      </c>
    </row>
    <row r="521" spans="1:22" ht="13" x14ac:dyDescent="0.15">
      <c r="A521" s="4">
        <v>44775</v>
      </c>
      <c r="B521" s="5">
        <v>0.6083912037037037</v>
      </c>
      <c r="C521" s="1">
        <v>1481</v>
      </c>
      <c r="D521" s="1">
        <v>13002581</v>
      </c>
      <c r="E521" s="1">
        <v>13</v>
      </c>
      <c r="F521" s="1">
        <v>22589</v>
      </c>
      <c r="G521" s="1" t="s">
        <v>21</v>
      </c>
      <c r="H521" s="1">
        <v>15</v>
      </c>
      <c r="I521" s="1">
        <v>339753</v>
      </c>
      <c r="J521" s="1" t="s">
        <v>615</v>
      </c>
      <c r="K521" s="1" t="s">
        <v>51</v>
      </c>
      <c r="L521" s="1" t="s">
        <v>218</v>
      </c>
      <c r="M521" s="1">
        <v>1</v>
      </c>
      <c r="N521" s="2">
        <v>25.77</v>
      </c>
      <c r="O521" s="3">
        <v>32</v>
      </c>
      <c r="P521" s="1">
        <v>0</v>
      </c>
      <c r="Q521" s="1" t="s">
        <v>25</v>
      </c>
      <c r="R521" s="1" t="s">
        <v>25</v>
      </c>
      <c r="S521" s="1">
        <v>29</v>
      </c>
      <c r="T521" s="1">
        <v>1</v>
      </c>
      <c r="U521" s="1">
        <v>7</v>
      </c>
      <c r="V521">
        <f t="shared" si="8"/>
        <v>32</v>
      </c>
    </row>
    <row r="522" spans="1:22" ht="13" x14ac:dyDescent="0.15">
      <c r="A522" s="4">
        <v>44775</v>
      </c>
      <c r="B522" s="5">
        <v>0.6083912037037037</v>
      </c>
      <c r="C522" s="1">
        <v>1481</v>
      </c>
      <c r="D522" s="1">
        <v>13002581</v>
      </c>
      <c r="E522" s="1">
        <v>13</v>
      </c>
      <c r="F522" s="1">
        <v>22589</v>
      </c>
      <c r="G522" s="1" t="s">
        <v>21</v>
      </c>
      <c r="H522" s="1">
        <v>15</v>
      </c>
      <c r="I522" s="1">
        <v>446021</v>
      </c>
      <c r="J522" s="1" t="s">
        <v>239</v>
      </c>
      <c r="K522" s="1" t="s">
        <v>23</v>
      </c>
      <c r="L522" s="1" t="s">
        <v>97</v>
      </c>
      <c r="M522" s="1">
        <v>1</v>
      </c>
      <c r="N522" s="2">
        <v>23.38</v>
      </c>
      <c r="O522" s="3">
        <v>36</v>
      </c>
      <c r="P522" s="1">
        <v>0</v>
      </c>
      <c r="Q522" s="1" t="s">
        <v>25</v>
      </c>
      <c r="R522" s="1" t="s">
        <v>25</v>
      </c>
      <c r="S522" s="1">
        <v>29</v>
      </c>
      <c r="T522" s="1">
        <v>1</v>
      </c>
      <c r="U522" s="1">
        <v>2</v>
      </c>
      <c r="V522">
        <f t="shared" si="8"/>
        <v>36</v>
      </c>
    </row>
    <row r="523" spans="1:22" ht="13" x14ac:dyDescent="0.15">
      <c r="A523" s="4">
        <v>44775</v>
      </c>
      <c r="B523" s="5">
        <v>0.6083912037037037</v>
      </c>
      <c r="C523" s="1">
        <v>1481</v>
      </c>
      <c r="D523" s="1">
        <v>13002581</v>
      </c>
      <c r="E523" s="1">
        <v>13</v>
      </c>
      <c r="F523" s="1">
        <v>22589</v>
      </c>
      <c r="G523" s="1" t="s">
        <v>21</v>
      </c>
      <c r="H523" s="1">
        <v>15</v>
      </c>
      <c r="I523" s="1">
        <v>446021</v>
      </c>
      <c r="J523" s="1" t="s">
        <v>239</v>
      </c>
      <c r="K523" s="1" t="s">
        <v>23</v>
      </c>
      <c r="L523" s="1" t="s">
        <v>97</v>
      </c>
      <c r="M523" s="1">
        <v>1</v>
      </c>
      <c r="N523" s="2">
        <v>23.38</v>
      </c>
      <c r="O523" s="3">
        <v>36</v>
      </c>
      <c r="P523" s="1">
        <v>0</v>
      </c>
      <c r="Q523" s="1" t="s">
        <v>25</v>
      </c>
      <c r="R523" s="1" t="s">
        <v>25</v>
      </c>
      <c r="S523" s="1">
        <v>29</v>
      </c>
      <c r="T523" s="1">
        <v>1</v>
      </c>
      <c r="U523" s="1">
        <v>3</v>
      </c>
      <c r="V523">
        <f t="shared" si="8"/>
        <v>36</v>
      </c>
    </row>
    <row r="524" spans="1:22" ht="13" x14ac:dyDescent="0.15">
      <c r="A524" s="4">
        <v>44775</v>
      </c>
      <c r="B524" s="5">
        <v>0.6083912037037037</v>
      </c>
      <c r="C524" s="1">
        <v>1481</v>
      </c>
      <c r="D524" s="1">
        <v>13002581</v>
      </c>
      <c r="E524" s="1">
        <v>13</v>
      </c>
      <c r="F524" s="1">
        <v>22589</v>
      </c>
      <c r="G524" s="1" t="s">
        <v>21</v>
      </c>
      <c r="H524" s="1">
        <v>15</v>
      </c>
      <c r="I524" s="1">
        <v>446021</v>
      </c>
      <c r="J524" s="1" t="s">
        <v>239</v>
      </c>
      <c r="K524" s="1" t="s">
        <v>23</v>
      </c>
      <c r="L524" s="1" t="s">
        <v>97</v>
      </c>
      <c r="M524" s="1">
        <v>1</v>
      </c>
      <c r="N524" s="2">
        <v>23.38</v>
      </c>
      <c r="O524" s="3">
        <v>36</v>
      </c>
      <c r="P524" s="1">
        <v>0</v>
      </c>
      <c r="Q524" s="1" t="s">
        <v>25</v>
      </c>
      <c r="R524" s="1" t="s">
        <v>25</v>
      </c>
      <c r="S524" s="1">
        <v>29</v>
      </c>
      <c r="T524" s="1">
        <v>1</v>
      </c>
      <c r="U524" s="1">
        <v>4</v>
      </c>
      <c r="V524">
        <f t="shared" si="8"/>
        <v>36</v>
      </c>
    </row>
    <row r="525" spans="1:22" ht="13" x14ac:dyDescent="0.15">
      <c r="A525" s="4">
        <v>44775</v>
      </c>
      <c r="B525" s="5">
        <v>0.6083912037037037</v>
      </c>
      <c r="C525" s="1">
        <v>1481</v>
      </c>
      <c r="D525" s="1">
        <v>13002581</v>
      </c>
      <c r="E525" s="1">
        <v>13</v>
      </c>
      <c r="F525" s="1">
        <v>22589</v>
      </c>
      <c r="G525" s="1" t="s">
        <v>21</v>
      </c>
      <c r="H525" s="1">
        <v>15</v>
      </c>
      <c r="I525" s="1">
        <v>446021</v>
      </c>
      <c r="J525" s="1" t="s">
        <v>239</v>
      </c>
      <c r="K525" s="1" t="s">
        <v>23</v>
      </c>
      <c r="L525" s="1" t="s">
        <v>97</v>
      </c>
      <c r="M525" s="1">
        <v>1</v>
      </c>
      <c r="N525" s="2">
        <v>23.38</v>
      </c>
      <c r="O525" s="3">
        <v>36</v>
      </c>
      <c r="P525" s="1">
        <v>0</v>
      </c>
      <c r="Q525" s="1" t="s">
        <v>25</v>
      </c>
      <c r="R525" s="1" t="s">
        <v>25</v>
      </c>
      <c r="S525" s="1">
        <v>29</v>
      </c>
      <c r="T525" s="1">
        <v>1</v>
      </c>
      <c r="U525" s="1">
        <v>5</v>
      </c>
      <c r="V525">
        <f t="shared" si="8"/>
        <v>36</v>
      </c>
    </row>
    <row r="526" spans="1:22" ht="13" x14ac:dyDescent="0.15">
      <c r="A526" s="4">
        <v>44775</v>
      </c>
      <c r="B526" s="5">
        <v>0.82254629629629628</v>
      </c>
      <c r="C526" s="1">
        <v>1534</v>
      </c>
      <c r="D526" s="1">
        <v>13002581</v>
      </c>
      <c r="E526" s="1">
        <v>13</v>
      </c>
      <c r="F526" s="1">
        <v>22589</v>
      </c>
      <c r="G526" s="1" t="s">
        <v>21</v>
      </c>
      <c r="H526" s="1">
        <v>18</v>
      </c>
      <c r="I526" s="1">
        <v>446021</v>
      </c>
      <c r="J526" s="1" t="s">
        <v>239</v>
      </c>
      <c r="K526" s="1" t="s">
        <v>23</v>
      </c>
      <c r="L526" s="1" t="s">
        <v>97</v>
      </c>
      <c r="M526" s="1">
        <v>1</v>
      </c>
      <c r="N526" s="2">
        <v>23.38</v>
      </c>
      <c r="O526" s="3">
        <v>36</v>
      </c>
      <c r="P526" s="1">
        <v>0</v>
      </c>
      <c r="Q526" s="1" t="s">
        <v>25</v>
      </c>
      <c r="R526" s="1" t="s">
        <v>25</v>
      </c>
      <c r="S526" s="1">
        <v>29</v>
      </c>
      <c r="T526" s="1">
        <v>1</v>
      </c>
      <c r="U526" s="1">
        <v>1</v>
      </c>
      <c r="V526">
        <f t="shared" si="8"/>
        <v>36</v>
      </c>
    </row>
    <row r="527" spans="1:22" ht="13" x14ac:dyDescent="0.15">
      <c r="A527" s="4">
        <v>44775</v>
      </c>
      <c r="B527" s="5">
        <v>0.82254629629629628</v>
      </c>
      <c r="C527" s="1">
        <v>1534</v>
      </c>
      <c r="D527" s="1">
        <v>13002581</v>
      </c>
      <c r="E527" s="1">
        <v>13</v>
      </c>
      <c r="F527" s="1">
        <v>22589</v>
      </c>
      <c r="G527" s="1" t="s">
        <v>21</v>
      </c>
      <c r="H527" s="1">
        <v>18</v>
      </c>
      <c r="I527" s="1">
        <v>446021</v>
      </c>
      <c r="J527" s="1" t="s">
        <v>239</v>
      </c>
      <c r="K527" s="1" t="s">
        <v>23</v>
      </c>
      <c r="L527" s="1" t="s">
        <v>97</v>
      </c>
      <c r="M527" s="1">
        <v>1</v>
      </c>
      <c r="N527" s="2">
        <v>23.38</v>
      </c>
      <c r="O527" s="3">
        <v>36</v>
      </c>
      <c r="P527" s="1">
        <v>0</v>
      </c>
      <c r="Q527" s="1" t="s">
        <v>25</v>
      </c>
      <c r="R527" s="1" t="s">
        <v>25</v>
      </c>
      <c r="S527" s="1">
        <v>29</v>
      </c>
      <c r="T527" s="1">
        <v>1</v>
      </c>
      <c r="U527" s="1">
        <v>2</v>
      </c>
      <c r="V527">
        <f t="shared" si="8"/>
        <v>36</v>
      </c>
    </row>
    <row r="528" spans="1:22" ht="13" x14ac:dyDescent="0.15">
      <c r="A528" s="4">
        <v>44775</v>
      </c>
      <c r="B528" s="5">
        <v>0.6083912037037037</v>
      </c>
      <c r="C528" s="1">
        <v>1481</v>
      </c>
      <c r="D528" s="1">
        <v>13002581</v>
      </c>
      <c r="E528" s="1">
        <v>13</v>
      </c>
      <c r="F528" s="1">
        <v>22589</v>
      </c>
      <c r="G528" s="1" t="s">
        <v>21</v>
      </c>
      <c r="H528" s="1">
        <v>15</v>
      </c>
      <c r="I528" s="1">
        <v>58220</v>
      </c>
      <c r="J528" s="1" t="s">
        <v>616</v>
      </c>
      <c r="K528" s="1" t="s">
        <v>51</v>
      </c>
      <c r="L528" s="1" t="s">
        <v>74</v>
      </c>
      <c r="M528" s="1">
        <v>1</v>
      </c>
      <c r="N528" s="2">
        <v>22.28</v>
      </c>
      <c r="O528" s="3">
        <v>37</v>
      </c>
      <c r="P528" s="1">
        <v>0</v>
      </c>
      <c r="Q528" s="1" t="s">
        <v>25</v>
      </c>
      <c r="R528" s="1" t="s">
        <v>25</v>
      </c>
      <c r="S528" s="1">
        <v>29</v>
      </c>
      <c r="T528" s="1">
        <v>1</v>
      </c>
      <c r="U528" s="1">
        <v>1</v>
      </c>
      <c r="V528">
        <f t="shared" si="8"/>
        <v>37</v>
      </c>
    </row>
    <row r="529" spans="1:22" ht="13" x14ac:dyDescent="0.15">
      <c r="A529" s="4">
        <v>44775</v>
      </c>
      <c r="B529" s="5">
        <v>0.6083912037037037</v>
      </c>
      <c r="C529" s="1">
        <v>1481</v>
      </c>
      <c r="D529" s="1">
        <v>13002581</v>
      </c>
      <c r="E529" s="1">
        <v>13</v>
      </c>
      <c r="F529" s="1">
        <v>22589</v>
      </c>
      <c r="G529" s="1" t="s">
        <v>21</v>
      </c>
      <c r="H529" s="1">
        <v>15</v>
      </c>
      <c r="I529" s="1">
        <v>57712</v>
      </c>
      <c r="J529" s="1" t="s">
        <v>617</v>
      </c>
      <c r="K529" s="1" t="s">
        <v>34</v>
      </c>
      <c r="L529" s="1" t="s">
        <v>415</v>
      </c>
      <c r="M529" s="1">
        <v>1</v>
      </c>
      <c r="N529" s="2">
        <v>20.23</v>
      </c>
      <c r="O529" s="3">
        <v>25</v>
      </c>
      <c r="P529" s="1">
        <v>0</v>
      </c>
      <c r="Q529" s="1" t="s">
        <v>25</v>
      </c>
      <c r="R529" s="1" t="s">
        <v>25</v>
      </c>
      <c r="S529" s="1">
        <v>29</v>
      </c>
      <c r="T529" s="1">
        <v>1</v>
      </c>
      <c r="U529" s="1">
        <v>8</v>
      </c>
      <c r="V529">
        <f t="shared" si="8"/>
        <v>25</v>
      </c>
    </row>
    <row r="530" spans="1:22" ht="13" x14ac:dyDescent="0.15">
      <c r="A530" s="4">
        <v>44775</v>
      </c>
      <c r="B530" s="5">
        <v>0.6083912037037037</v>
      </c>
      <c r="C530" s="1">
        <v>1481</v>
      </c>
      <c r="D530" s="1">
        <v>13002581</v>
      </c>
      <c r="E530" s="1">
        <v>13</v>
      </c>
      <c r="F530" s="1">
        <v>22589</v>
      </c>
      <c r="G530" s="1" t="s">
        <v>21</v>
      </c>
      <c r="H530" s="1">
        <v>15</v>
      </c>
      <c r="I530" s="1">
        <v>57712</v>
      </c>
      <c r="J530" s="1" t="s">
        <v>617</v>
      </c>
      <c r="K530" s="1" t="s">
        <v>34</v>
      </c>
      <c r="L530" s="1" t="s">
        <v>415</v>
      </c>
      <c r="M530" s="1">
        <v>1</v>
      </c>
      <c r="N530" s="2">
        <v>20.23</v>
      </c>
      <c r="O530" s="3">
        <v>25</v>
      </c>
      <c r="P530" s="1">
        <v>0</v>
      </c>
      <c r="Q530" s="1" t="s">
        <v>25</v>
      </c>
      <c r="R530" s="1" t="s">
        <v>25</v>
      </c>
      <c r="S530" s="1">
        <v>29</v>
      </c>
      <c r="T530" s="1">
        <v>1</v>
      </c>
      <c r="U530" s="1">
        <v>9</v>
      </c>
      <c r="V530">
        <f t="shared" si="8"/>
        <v>25</v>
      </c>
    </row>
    <row r="531" spans="1:22" ht="13" x14ac:dyDescent="0.15">
      <c r="A531" s="4">
        <v>44775</v>
      </c>
      <c r="B531" s="5">
        <v>0.60966435185185186</v>
      </c>
      <c r="C531" s="1">
        <v>1482</v>
      </c>
      <c r="D531" s="1">
        <v>13002581</v>
      </c>
      <c r="E531" s="1">
        <v>13</v>
      </c>
      <c r="F531" s="1">
        <v>22589</v>
      </c>
      <c r="G531" s="1" t="s">
        <v>21</v>
      </c>
      <c r="H531" s="1">
        <v>18</v>
      </c>
      <c r="I531" s="1">
        <v>8179</v>
      </c>
      <c r="J531" s="1" t="s">
        <v>618</v>
      </c>
      <c r="K531" s="1" t="s">
        <v>34</v>
      </c>
      <c r="L531" s="1" t="s">
        <v>175</v>
      </c>
      <c r="M531" s="1">
        <v>1</v>
      </c>
      <c r="N531" s="2">
        <v>35.22</v>
      </c>
      <c r="O531" s="3">
        <v>44</v>
      </c>
      <c r="P531" s="1">
        <v>2</v>
      </c>
      <c r="Q531" s="1">
        <v>9</v>
      </c>
      <c r="R531" s="1">
        <v>200010000717</v>
      </c>
      <c r="S531" s="1">
        <v>29</v>
      </c>
      <c r="T531" s="1">
        <v>1</v>
      </c>
      <c r="U531" s="1">
        <v>1</v>
      </c>
      <c r="V531">
        <f t="shared" si="8"/>
        <v>44</v>
      </c>
    </row>
    <row r="532" spans="1:22" ht="13" x14ac:dyDescent="0.15">
      <c r="A532" s="4">
        <v>44775</v>
      </c>
      <c r="B532" s="5">
        <v>0.60966435185185186</v>
      </c>
      <c r="C532" s="1">
        <v>1482</v>
      </c>
      <c r="D532" s="1">
        <v>13002581</v>
      </c>
      <c r="E532" s="1">
        <v>13</v>
      </c>
      <c r="F532" s="1">
        <v>22589</v>
      </c>
      <c r="G532" s="1" t="s">
        <v>21</v>
      </c>
      <c r="H532" s="1">
        <v>18</v>
      </c>
      <c r="I532" s="1">
        <v>8179</v>
      </c>
      <c r="J532" s="1" t="s">
        <v>618</v>
      </c>
      <c r="K532" s="1" t="s">
        <v>34</v>
      </c>
      <c r="L532" s="1" t="s">
        <v>175</v>
      </c>
      <c r="M532" s="1">
        <v>1</v>
      </c>
      <c r="N532" s="2">
        <v>35.22</v>
      </c>
      <c r="O532" s="3">
        <v>44</v>
      </c>
      <c r="P532" s="1">
        <v>2</v>
      </c>
      <c r="Q532" s="1">
        <v>9</v>
      </c>
      <c r="R532" s="1">
        <v>200010000717</v>
      </c>
      <c r="S532" s="1">
        <v>29</v>
      </c>
      <c r="T532" s="1">
        <v>1</v>
      </c>
      <c r="U532" s="1">
        <v>2</v>
      </c>
      <c r="V532">
        <f t="shared" si="8"/>
        <v>44</v>
      </c>
    </row>
    <row r="533" spans="1:22" ht="13" x14ac:dyDescent="0.15">
      <c r="A533" s="4">
        <v>44775</v>
      </c>
      <c r="B533" s="5">
        <v>0.60966435185185186</v>
      </c>
      <c r="C533" s="1">
        <v>1482</v>
      </c>
      <c r="D533" s="1">
        <v>13002581</v>
      </c>
      <c r="E533" s="1">
        <v>13</v>
      </c>
      <c r="F533" s="1">
        <v>22589</v>
      </c>
      <c r="G533" s="1" t="s">
        <v>21</v>
      </c>
      <c r="H533" s="1">
        <v>18</v>
      </c>
      <c r="I533" s="1">
        <v>8179</v>
      </c>
      <c r="J533" s="1" t="s">
        <v>618</v>
      </c>
      <c r="K533" s="1" t="s">
        <v>34</v>
      </c>
      <c r="L533" s="1" t="s">
        <v>175</v>
      </c>
      <c r="M533" s="1">
        <v>1</v>
      </c>
      <c r="N533" s="2">
        <v>35.22</v>
      </c>
      <c r="O533" s="3">
        <v>44</v>
      </c>
      <c r="P533" s="1">
        <v>2</v>
      </c>
      <c r="Q533" s="1">
        <v>9</v>
      </c>
      <c r="R533" s="1">
        <v>200010000717</v>
      </c>
      <c r="S533" s="1">
        <v>29</v>
      </c>
      <c r="T533" s="1">
        <v>1</v>
      </c>
      <c r="U533" s="1">
        <v>3</v>
      </c>
      <c r="V533">
        <f t="shared" si="8"/>
        <v>44</v>
      </c>
    </row>
    <row r="534" spans="1:22" ht="13" x14ac:dyDescent="0.15">
      <c r="A534" s="4">
        <v>44775</v>
      </c>
      <c r="B534" s="5">
        <v>0.60966435185185186</v>
      </c>
      <c r="C534" s="1">
        <v>1482</v>
      </c>
      <c r="D534" s="1">
        <v>13002581</v>
      </c>
      <c r="E534" s="1">
        <v>13</v>
      </c>
      <c r="F534" s="1">
        <v>22589</v>
      </c>
      <c r="G534" s="1" t="s">
        <v>21</v>
      </c>
      <c r="H534" s="1">
        <v>18</v>
      </c>
      <c r="I534" s="1">
        <v>105480</v>
      </c>
      <c r="J534" s="1" t="s">
        <v>551</v>
      </c>
      <c r="K534" s="1" t="s">
        <v>61</v>
      </c>
      <c r="L534" s="1" t="s">
        <v>269</v>
      </c>
      <c r="M534" s="1">
        <v>1</v>
      </c>
      <c r="N534" s="2">
        <v>815.21</v>
      </c>
      <c r="O534" s="3">
        <v>908</v>
      </c>
      <c r="P534" s="1">
        <v>27</v>
      </c>
      <c r="Q534" s="1">
        <v>9</v>
      </c>
      <c r="R534" s="1">
        <v>200010000717</v>
      </c>
      <c r="S534" s="1">
        <v>29</v>
      </c>
      <c r="T534" s="1">
        <v>1</v>
      </c>
      <c r="U534" s="1">
        <v>4</v>
      </c>
      <c r="V534">
        <f t="shared" si="8"/>
        <v>908</v>
      </c>
    </row>
    <row r="535" spans="1:22" ht="13" x14ac:dyDescent="0.15">
      <c r="A535" s="4">
        <v>44775</v>
      </c>
      <c r="B535" s="5">
        <v>0.61479166666666663</v>
      </c>
      <c r="C535" s="1">
        <v>1483</v>
      </c>
      <c r="D535" s="1">
        <v>13002581</v>
      </c>
      <c r="E535" s="1">
        <v>13</v>
      </c>
      <c r="F535" s="1">
        <v>22589</v>
      </c>
      <c r="G535" s="1" t="s">
        <v>21</v>
      </c>
      <c r="H535" s="1">
        <v>18</v>
      </c>
      <c r="I535" s="1">
        <v>116451</v>
      </c>
      <c r="J535" s="1" t="s">
        <v>619</v>
      </c>
      <c r="K535" s="1" t="s">
        <v>34</v>
      </c>
      <c r="L535" s="1" t="s">
        <v>620</v>
      </c>
      <c r="M535" s="1">
        <v>1</v>
      </c>
      <c r="N535" s="2">
        <v>1263.26</v>
      </c>
      <c r="O535" s="3">
        <v>1316</v>
      </c>
      <c r="P535" s="1">
        <v>0</v>
      </c>
      <c r="Q535" s="1" t="s">
        <v>25</v>
      </c>
      <c r="R535" s="1" t="s">
        <v>25</v>
      </c>
      <c r="S535" s="1">
        <v>29</v>
      </c>
      <c r="T535" s="1">
        <v>2</v>
      </c>
      <c r="U535" s="1">
        <v>1</v>
      </c>
      <c r="V535">
        <f t="shared" si="8"/>
        <v>1316</v>
      </c>
    </row>
    <row r="536" spans="1:22" ht="13" x14ac:dyDescent="0.15">
      <c r="A536" s="4">
        <v>44775</v>
      </c>
      <c r="B536" s="5">
        <v>0.62216435185185182</v>
      </c>
      <c r="C536" s="1">
        <v>1484</v>
      </c>
      <c r="D536" s="1">
        <v>13002581</v>
      </c>
      <c r="E536" s="1">
        <v>13</v>
      </c>
      <c r="F536" s="1">
        <v>22589</v>
      </c>
      <c r="G536" s="1" t="s">
        <v>21</v>
      </c>
      <c r="H536" s="1">
        <v>15</v>
      </c>
      <c r="I536" s="1">
        <v>143150</v>
      </c>
      <c r="J536" s="1" t="s">
        <v>86</v>
      </c>
      <c r="K536" s="1" t="s">
        <v>61</v>
      </c>
      <c r="L536" s="1" t="s">
        <v>87</v>
      </c>
      <c r="M536" s="1">
        <v>1</v>
      </c>
      <c r="N536" s="2">
        <v>1042.25</v>
      </c>
      <c r="O536" s="3">
        <v>1314</v>
      </c>
      <c r="P536" s="1">
        <v>91</v>
      </c>
      <c r="Q536" s="1">
        <v>9</v>
      </c>
      <c r="R536" s="1">
        <v>200010026887</v>
      </c>
      <c r="S536" s="1">
        <v>29</v>
      </c>
      <c r="T536" s="1">
        <v>1</v>
      </c>
      <c r="U536" s="1">
        <v>1</v>
      </c>
      <c r="V536">
        <f t="shared" si="8"/>
        <v>1314</v>
      </c>
    </row>
    <row r="537" spans="1:22" ht="13" x14ac:dyDescent="0.15">
      <c r="A537" s="4">
        <v>44775</v>
      </c>
      <c r="B537" s="5">
        <v>0.62216435185185182</v>
      </c>
      <c r="C537" s="1">
        <v>1484</v>
      </c>
      <c r="D537" s="1">
        <v>13002581</v>
      </c>
      <c r="E537" s="1">
        <v>13</v>
      </c>
      <c r="F537" s="1">
        <v>22589</v>
      </c>
      <c r="G537" s="1" t="s">
        <v>21</v>
      </c>
      <c r="H537" s="1">
        <v>15</v>
      </c>
      <c r="I537" s="1">
        <v>152071</v>
      </c>
      <c r="J537" s="1" t="s">
        <v>621</v>
      </c>
      <c r="K537" s="1" t="s">
        <v>51</v>
      </c>
      <c r="L537" s="1" t="s">
        <v>622</v>
      </c>
      <c r="M537" s="1">
        <v>1</v>
      </c>
      <c r="N537" s="2">
        <v>724.22</v>
      </c>
      <c r="O537" s="3">
        <v>935</v>
      </c>
      <c r="P537" s="1">
        <v>65</v>
      </c>
      <c r="Q537" s="1">
        <v>9</v>
      </c>
      <c r="R537" s="1">
        <v>200010026887</v>
      </c>
      <c r="S537" s="1">
        <v>29</v>
      </c>
      <c r="T537" s="1">
        <v>1</v>
      </c>
      <c r="U537" s="1">
        <v>2</v>
      </c>
      <c r="V537">
        <f t="shared" si="8"/>
        <v>935</v>
      </c>
    </row>
    <row r="538" spans="1:22" ht="13" x14ac:dyDescent="0.15">
      <c r="A538" s="4">
        <v>44775</v>
      </c>
      <c r="B538" s="5">
        <v>0.62817129629629631</v>
      </c>
      <c r="C538" s="1">
        <v>1485</v>
      </c>
      <c r="D538" s="1">
        <v>13002581</v>
      </c>
      <c r="E538" s="1">
        <v>13</v>
      </c>
      <c r="F538" s="1">
        <v>22589</v>
      </c>
      <c r="G538" s="1" t="s">
        <v>21</v>
      </c>
      <c r="H538" s="1">
        <v>18</v>
      </c>
      <c r="I538" s="1">
        <v>45399</v>
      </c>
      <c r="J538" s="1" t="s">
        <v>623</v>
      </c>
      <c r="K538" s="1" t="s">
        <v>23</v>
      </c>
      <c r="L538" s="1" t="s">
        <v>82</v>
      </c>
      <c r="M538" s="1">
        <v>1</v>
      </c>
      <c r="N538" s="2">
        <v>40.14</v>
      </c>
      <c r="O538" s="3">
        <v>50</v>
      </c>
      <c r="P538" s="1">
        <v>0</v>
      </c>
      <c r="Q538" s="1" t="s">
        <v>25</v>
      </c>
      <c r="R538" s="1" t="s">
        <v>25</v>
      </c>
      <c r="S538" s="1">
        <v>29</v>
      </c>
      <c r="T538" s="1">
        <v>1</v>
      </c>
      <c r="U538" s="1">
        <v>1</v>
      </c>
      <c r="V538">
        <f t="shared" si="8"/>
        <v>50</v>
      </c>
    </row>
    <row r="539" spans="1:22" ht="13" x14ac:dyDescent="0.15">
      <c r="A539" s="4">
        <v>44775</v>
      </c>
      <c r="B539" s="5">
        <v>0.62817129629629631</v>
      </c>
      <c r="C539" s="1">
        <v>1485</v>
      </c>
      <c r="D539" s="1">
        <v>13002581</v>
      </c>
      <c r="E539" s="1">
        <v>13</v>
      </c>
      <c r="F539" s="1">
        <v>22589</v>
      </c>
      <c r="G539" s="1" t="s">
        <v>21</v>
      </c>
      <c r="H539" s="1">
        <v>18</v>
      </c>
      <c r="I539" s="1">
        <v>434924</v>
      </c>
      <c r="J539" s="1" t="s">
        <v>624</v>
      </c>
      <c r="K539" s="1" t="s">
        <v>51</v>
      </c>
      <c r="L539" s="1" t="s">
        <v>230</v>
      </c>
      <c r="M539" s="1">
        <v>1</v>
      </c>
      <c r="N539" s="2">
        <v>58.12</v>
      </c>
      <c r="O539" s="3">
        <v>83</v>
      </c>
      <c r="P539" s="1">
        <v>0</v>
      </c>
      <c r="Q539" s="1" t="s">
        <v>25</v>
      </c>
      <c r="R539" s="1" t="s">
        <v>25</v>
      </c>
      <c r="S539" s="1">
        <v>29</v>
      </c>
      <c r="T539" s="1">
        <v>1</v>
      </c>
      <c r="U539" s="1">
        <v>2</v>
      </c>
      <c r="V539">
        <f t="shared" si="8"/>
        <v>83</v>
      </c>
    </row>
    <row r="540" spans="1:22" ht="13" x14ac:dyDescent="0.15">
      <c r="A540" s="4">
        <v>44775</v>
      </c>
      <c r="B540" s="5">
        <v>0.63192129629629634</v>
      </c>
      <c r="C540" s="1">
        <v>1486</v>
      </c>
      <c r="D540" s="1">
        <v>13002581</v>
      </c>
      <c r="E540" s="1">
        <v>13</v>
      </c>
      <c r="F540" s="1">
        <v>22589</v>
      </c>
      <c r="G540" s="1" t="s">
        <v>21</v>
      </c>
      <c r="H540" s="1">
        <v>18</v>
      </c>
      <c r="I540" s="1">
        <v>284138</v>
      </c>
      <c r="J540" s="1" t="s">
        <v>625</v>
      </c>
      <c r="K540" s="1" t="s">
        <v>34</v>
      </c>
      <c r="L540" s="1" t="s">
        <v>626</v>
      </c>
      <c r="M540" s="1">
        <v>2</v>
      </c>
      <c r="N540" s="2">
        <v>303.32</v>
      </c>
      <c r="O540" s="3">
        <v>327</v>
      </c>
      <c r="P540" s="1">
        <v>0</v>
      </c>
      <c r="Q540" s="1" t="s">
        <v>25</v>
      </c>
      <c r="R540" s="1" t="s">
        <v>25</v>
      </c>
      <c r="S540" s="1">
        <v>29</v>
      </c>
      <c r="T540" s="1">
        <v>2</v>
      </c>
      <c r="U540" s="1">
        <v>1</v>
      </c>
      <c r="V540">
        <f t="shared" si="8"/>
        <v>654</v>
      </c>
    </row>
    <row r="541" spans="1:22" ht="13" x14ac:dyDescent="0.15">
      <c r="A541" s="4">
        <v>44775</v>
      </c>
      <c r="B541" s="5">
        <v>0.6381944444444444</v>
      </c>
      <c r="C541" s="1">
        <v>1487</v>
      </c>
      <c r="D541" s="1">
        <v>13002581</v>
      </c>
      <c r="E541" s="1">
        <v>13</v>
      </c>
      <c r="F541" s="1">
        <v>22589</v>
      </c>
      <c r="G541" s="1" t="s">
        <v>21</v>
      </c>
      <c r="H541" s="1">
        <v>18</v>
      </c>
      <c r="I541" s="1">
        <v>440425</v>
      </c>
      <c r="J541" s="1" t="s">
        <v>627</v>
      </c>
      <c r="K541" s="1" t="s">
        <v>51</v>
      </c>
      <c r="L541" s="1" t="s">
        <v>49</v>
      </c>
      <c r="M541" s="1">
        <v>1</v>
      </c>
      <c r="N541" s="2">
        <v>28.73</v>
      </c>
      <c r="O541" s="3">
        <v>36</v>
      </c>
      <c r="P541" s="1">
        <v>2</v>
      </c>
      <c r="Q541" s="1">
        <v>9</v>
      </c>
      <c r="R541" s="1">
        <v>200010000401</v>
      </c>
      <c r="S541" s="1">
        <v>29</v>
      </c>
      <c r="T541" s="1">
        <v>1</v>
      </c>
      <c r="U541" s="1">
        <v>1</v>
      </c>
      <c r="V541">
        <f t="shared" si="8"/>
        <v>36</v>
      </c>
    </row>
    <row r="542" spans="1:22" ht="13" x14ac:dyDescent="0.15">
      <c r="A542" s="4">
        <v>44775</v>
      </c>
      <c r="B542" s="5">
        <v>0.6381944444444444</v>
      </c>
      <c r="C542" s="1">
        <v>1487</v>
      </c>
      <c r="D542" s="1">
        <v>13002581</v>
      </c>
      <c r="E542" s="1">
        <v>13</v>
      </c>
      <c r="F542" s="1">
        <v>22589</v>
      </c>
      <c r="G542" s="1" t="s">
        <v>21</v>
      </c>
      <c r="H542" s="1">
        <v>18</v>
      </c>
      <c r="I542" s="1">
        <v>440425</v>
      </c>
      <c r="J542" s="1" t="s">
        <v>627</v>
      </c>
      <c r="K542" s="1" t="s">
        <v>51</v>
      </c>
      <c r="L542" s="1" t="s">
        <v>49</v>
      </c>
      <c r="M542" s="1">
        <v>1</v>
      </c>
      <c r="N542" s="2">
        <v>28.73</v>
      </c>
      <c r="O542" s="3">
        <v>36</v>
      </c>
      <c r="P542" s="1">
        <v>2</v>
      </c>
      <c r="Q542" s="1">
        <v>9</v>
      </c>
      <c r="R542" s="1">
        <v>200010000401</v>
      </c>
      <c r="S542" s="1">
        <v>29</v>
      </c>
      <c r="T542" s="1">
        <v>1</v>
      </c>
      <c r="U542" s="1">
        <v>2</v>
      </c>
      <c r="V542">
        <f t="shared" si="8"/>
        <v>36</v>
      </c>
    </row>
    <row r="543" spans="1:22" ht="13" x14ac:dyDescent="0.15">
      <c r="A543" s="4">
        <v>44775</v>
      </c>
      <c r="B543" s="5">
        <v>0.64456018518518521</v>
      </c>
      <c r="C543" s="1">
        <v>1488</v>
      </c>
      <c r="D543" s="1">
        <v>13002581</v>
      </c>
      <c r="E543" s="1">
        <v>13</v>
      </c>
      <c r="F543" s="1">
        <v>22589</v>
      </c>
      <c r="G543" s="1" t="s">
        <v>21</v>
      </c>
      <c r="H543" s="1">
        <v>15</v>
      </c>
      <c r="I543" s="1">
        <v>142544</v>
      </c>
      <c r="J543" s="1" t="s">
        <v>628</v>
      </c>
      <c r="K543" s="1" t="s">
        <v>141</v>
      </c>
      <c r="L543" s="1" t="s">
        <v>629</v>
      </c>
      <c r="M543" s="1">
        <v>0.2</v>
      </c>
      <c r="N543" s="2">
        <v>545.82000000000005</v>
      </c>
      <c r="O543" s="3">
        <v>705</v>
      </c>
      <c r="P543" s="1">
        <v>0</v>
      </c>
      <c r="Q543" s="1" t="s">
        <v>25</v>
      </c>
      <c r="R543" s="1" t="s">
        <v>25</v>
      </c>
      <c r="S543" s="1">
        <v>29</v>
      </c>
      <c r="T543" s="1">
        <v>1</v>
      </c>
      <c r="U543" s="1">
        <v>1</v>
      </c>
      <c r="V543">
        <f t="shared" si="8"/>
        <v>141</v>
      </c>
    </row>
    <row r="544" spans="1:22" ht="13" x14ac:dyDescent="0.15">
      <c r="A544" s="4">
        <v>44775</v>
      </c>
      <c r="B544" s="5">
        <v>0.64693287037037039</v>
      </c>
      <c r="C544" s="1">
        <v>1489</v>
      </c>
      <c r="D544" s="1">
        <v>13002581</v>
      </c>
      <c r="E544" s="1">
        <v>13</v>
      </c>
      <c r="F544" s="1">
        <v>22589</v>
      </c>
      <c r="G544" s="1" t="s">
        <v>21</v>
      </c>
      <c r="H544" s="1">
        <v>18</v>
      </c>
      <c r="I544" s="1">
        <v>348186</v>
      </c>
      <c r="J544" s="1" t="s">
        <v>419</v>
      </c>
      <c r="K544" s="1" t="s">
        <v>141</v>
      </c>
      <c r="L544" s="1" t="s">
        <v>173</v>
      </c>
      <c r="M544" s="1">
        <v>10</v>
      </c>
      <c r="N544" s="2">
        <v>5.83</v>
      </c>
      <c r="O544" s="3">
        <v>8</v>
      </c>
      <c r="P544" s="1">
        <v>0</v>
      </c>
      <c r="Q544" s="1" t="s">
        <v>25</v>
      </c>
      <c r="R544" s="1" t="s">
        <v>25</v>
      </c>
      <c r="S544" s="1">
        <v>29</v>
      </c>
      <c r="T544" s="1">
        <v>1</v>
      </c>
      <c r="U544" s="1">
        <v>1</v>
      </c>
      <c r="V544">
        <f t="shared" si="8"/>
        <v>80</v>
      </c>
    </row>
    <row r="545" spans="1:22" ht="13" x14ac:dyDescent="0.15">
      <c r="A545" s="4">
        <v>44775</v>
      </c>
      <c r="B545" s="5">
        <v>0.64778935185185182</v>
      </c>
      <c r="C545" s="1">
        <v>1490</v>
      </c>
      <c r="D545" s="1">
        <v>13002581</v>
      </c>
      <c r="E545" s="1">
        <v>13</v>
      </c>
      <c r="F545" s="1">
        <v>22589</v>
      </c>
      <c r="G545" s="1" t="s">
        <v>21</v>
      </c>
      <c r="H545" s="1">
        <v>18</v>
      </c>
      <c r="I545" s="1">
        <v>20621</v>
      </c>
      <c r="J545" s="1" t="s">
        <v>630</v>
      </c>
      <c r="K545" s="1" t="s">
        <v>34</v>
      </c>
      <c r="L545" s="1" t="s">
        <v>631</v>
      </c>
      <c r="M545" s="1">
        <v>1</v>
      </c>
      <c r="N545" s="2">
        <v>337.84</v>
      </c>
      <c r="O545" s="3">
        <v>446</v>
      </c>
      <c r="P545" s="1">
        <v>25</v>
      </c>
      <c r="Q545" s="1">
        <v>925</v>
      </c>
      <c r="R545" s="1">
        <v>200000000492</v>
      </c>
      <c r="S545" s="1">
        <v>29</v>
      </c>
      <c r="T545" s="1">
        <v>1</v>
      </c>
      <c r="U545" s="1">
        <v>1</v>
      </c>
      <c r="V545">
        <f t="shared" si="8"/>
        <v>446</v>
      </c>
    </row>
    <row r="546" spans="1:22" ht="13" x14ac:dyDescent="0.15">
      <c r="A546" s="4">
        <v>44775</v>
      </c>
      <c r="B546" s="5">
        <v>0.66707175925925921</v>
      </c>
      <c r="C546" s="1">
        <v>1491</v>
      </c>
      <c r="D546" s="1">
        <v>13002581</v>
      </c>
      <c r="E546" s="1">
        <v>13</v>
      </c>
      <c r="F546" s="1">
        <v>22589</v>
      </c>
      <c r="G546" s="1" t="s">
        <v>21</v>
      </c>
      <c r="H546" s="1">
        <v>15</v>
      </c>
      <c r="I546" s="1">
        <v>22045</v>
      </c>
      <c r="J546" s="1" t="s">
        <v>632</v>
      </c>
      <c r="K546" s="1" t="s">
        <v>23</v>
      </c>
      <c r="L546" s="1" t="s">
        <v>633</v>
      </c>
      <c r="M546" s="1">
        <v>1</v>
      </c>
      <c r="N546" s="2">
        <v>383.15</v>
      </c>
      <c r="O546" s="3">
        <v>506</v>
      </c>
      <c r="P546" s="1">
        <v>35</v>
      </c>
      <c r="Q546" s="1">
        <v>9</v>
      </c>
      <c r="R546" s="1">
        <v>200010013439</v>
      </c>
      <c r="S546" s="1">
        <v>29</v>
      </c>
      <c r="T546" s="1">
        <v>1</v>
      </c>
      <c r="U546" s="1">
        <v>1</v>
      </c>
      <c r="V546">
        <f t="shared" si="8"/>
        <v>506</v>
      </c>
    </row>
    <row r="547" spans="1:22" ht="13" x14ac:dyDescent="0.15">
      <c r="A547" s="4">
        <v>44775</v>
      </c>
      <c r="B547" s="5">
        <v>0.67112268518518514</v>
      </c>
      <c r="C547" s="1">
        <v>1492</v>
      </c>
      <c r="D547" s="1">
        <v>13002581</v>
      </c>
      <c r="E547" s="1">
        <v>13</v>
      </c>
      <c r="F547" s="1">
        <v>22589</v>
      </c>
      <c r="G547" s="1" t="s">
        <v>21</v>
      </c>
      <c r="H547" s="1">
        <v>18</v>
      </c>
      <c r="I547" s="1">
        <v>15354</v>
      </c>
      <c r="J547" s="1" t="s">
        <v>634</v>
      </c>
      <c r="K547" s="1" t="s">
        <v>29</v>
      </c>
      <c r="L547" s="1" t="s">
        <v>612</v>
      </c>
      <c r="M547" s="1">
        <v>1</v>
      </c>
      <c r="N547" s="2">
        <v>147.79</v>
      </c>
      <c r="O547" s="3">
        <v>203</v>
      </c>
      <c r="P547" s="1">
        <v>14</v>
      </c>
      <c r="Q547" s="1">
        <v>9</v>
      </c>
      <c r="R547" s="1">
        <v>200010026807</v>
      </c>
      <c r="S547" s="1">
        <v>29</v>
      </c>
      <c r="T547" s="1">
        <v>1</v>
      </c>
      <c r="U547" s="1">
        <v>1</v>
      </c>
      <c r="V547">
        <f t="shared" si="8"/>
        <v>203</v>
      </c>
    </row>
    <row r="548" spans="1:22" ht="13" x14ac:dyDescent="0.15">
      <c r="A548" s="4">
        <v>44775</v>
      </c>
      <c r="B548" s="5">
        <v>0.67112268518518514</v>
      </c>
      <c r="C548" s="1">
        <v>1492</v>
      </c>
      <c r="D548" s="1">
        <v>13002581</v>
      </c>
      <c r="E548" s="1">
        <v>13</v>
      </c>
      <c r="F548" s="1">
        <v>22589</v>
      </c>
      <c r="G548" s="1" t="s">
        <v>21</v>
      </c>
      <c r="H548" s="1">
        <v>18</v>
      </c>
      <c r="I548" s="1">
        <v>261433</v>
      </c>
      <c r="J548" s="1" t="s">
        <v>635</v>
      </c>
      <c r="K548" s="1" t="s">
        <v>51</v>
      </c>
      <c r="L548" s="1" t="s">
        <v>65</v>
      </c>
      <c r="M548" s="1">
        <v>1</v>
      </c>
      <c r="N548" s="2">
        <v>70.22</v>
      </c>
      <c r="O548" s="3">
        <v>100</v>
      </c>
      <c r="P548" s="1">
        <v>7</v>
      </c>
      <c r="Q548" s="1">
        <v>9</v>
      </c>
      <c r="R548" s="1">
        <v>200010026807</v>
      </c>
      <c r="S548" s="1">
        <v>29</v>
      </c>
      <c r="T548" s="1">
        <v>1</v>
      </c>
      <c r="U548" s="1">
        <v>2</v>
      </c>
      <c r="V548">
        <f t="shared" si="8"/>
        <v>100</v>
      </c>
    </row>
    <row r="549" spans="1:22" ht="13" x14ac:dyDescent="0.15">
      <c r="A549" s="4">
        <v>44775</v>
      </c>
      <c r="B549" s="5">
        <v>0.67112268518518514</v>
      </c>
      <c r="C549" s="1">
        <v>1492</v>
      </c>
      <c r="D549" s="1">
        <v>13002581</v>
      </c>
      <c r="E549" s="1">
        <v>13</v>
      </c>
      <c r="F549" s="1">
        <v>22589</v>
      </c>
      <c r="G549" s="1" t="s">
        <v>21</v>
      </c>
      <c r="H549" s="1">
        <v>18</v>
      </c>
      <c r="I549" s="1">
        <v>455371</v>
      </c>
      <c r="J549" s="1" t="s">
        <v>636</v>
      </c>
      <c r="K549" s="1" t="s">
        <v>51</v>
      </c>
      <c r="L549" s="1" t="s">
        <v>397</v>
      </c>
      <c r="M549" s="1">
        <v>1</v>
      </c>
      <c r="N549" s="2">
        <v>23.14</v>
      </c>
      <c r="O549" s="3">
        <v>28</v>
      </c>
      <c r="P549" s="1">
        <v>1</v>
      </c>
      <c r="Q549" s="1">
        <v>9</v>
      </c>
      <c r="R549" s="1">
        <v>200010026807</v>
      </c>
      <c r="S549" s="1">
        <v>29</v>
      </c>
      <c r="T549" s="1">
        <v>1</v>
      </c>
      <c r="U549" s="1">
        <v>3</v>
      </c>
      <c r="V549">
        <f t="shared" si="8"/>
        <v>28</v>
      </c>
    </row>
    <row r="550" spans="1:22" ht="13" x14ac:dyDescent="0.15">
      <c r="A550" s="4">
        <v>44775</v>
      </c>
      <c r="B550" s="5">
        <v>0.67671296296296302</v>
      </c>
      <c r="C550" s="1">
        <v>1493</v>
      </c>
      <c r="D550" s="1">
        <v>13002581</v>
      </c>
      <c r="E550" s="1">
        <v>13</v>
      </c>
      <c r="F550" s="1">
        <v>22589</v>
      </c>
      <c r="G550" s="1" t="s">
        <v>21</v>
      </c>
      <c r="H550" s="1">
        <v>18</v>
      </c>
      <c r="I550" s="1">
        <v>189384</v>
      </c>
      <c r="J550" s="1" t="s">
        <v>637</v>
      </c>
      <c r="K550" s="1" t="s">
        <v>45</v>
      </c>
      <c r="L550" s="1" t="s">
        <v>638</v>
      </c>
      <c r="M550" s="1">
        <v>1</v>
      </c>
      <c r="N550" s="2">
        <v>5.94</v>
      </c>
      <c r="O550" s="3">
        <v>10</v>
      </c>
      <c r="P550" s="1">
        <v>0</v>
      </c>
      <c r="Q550" s="1" t="s">
        <v>25</v>
      </c>
      <c r="R550" s="1" t="s">
        <v>25</v>
      </c>
      <c r="S550" s="1">
        <v>29</v>
      </c>
      <c r="T550" s="1">
        <v>1</v>
      </c>
      <c r="U550" s="1">
        <v>1</v>
      </c>
      <c r="V550">
        <f t="shared" si="8"/>
        <v>10</v>
      </c>
    </row>
    <row r="551" spans="1:22" ht="13" x14ac:dyDescent="0.15">
      <c r="A551" s="4">
        <v>44775</v>
      </c>
      <c r="B551" s="5">
        <v>0.67783564814814812</v>
      </c>
      <c r="C551" s="1">
        <v>1494</v>
      </c>
      <c r="D551" s="1">
        <v>13002581</v>
      </c>
      <c r="E551" s="1">
        <v>13</v>
      </c>
      <c r="F551" s="1">
        <v>22589</v>
      </c>
      <c r="G551" s="1" t="s">
        <v>21</v>
      </c>
      <c r="H551" s="1">
        <v>15</v>
      </c>
      <c r="I551" s="1">
        <v>1338</v>
      </c>
      <c r="J551" s="1" t="s">
        <v>639</v>
      </c>
      <c r="K551" s="1" t="s">
        <v>64</v>
      </c>
      <c r="L551" s="1" t="s">
        <v>640</v>
      </c>
      <c r="M551" s="1">
        <v>1</v>
      </c>
      <c r="N551" s="2">
        <v>227.89</v>
      </c>
      <c r="O551" s="3">
        <v>308</v>
      </c>
      <c r="P551" s="1">
        <v>21</v>
      </c>
      <c r="Q551" s="1">
        <v>9</v>
      </c>
      <c r="R551" s="1">
        <v>200010003383</v>
      </c>
      <c r="S551" s="1">
        <v>29</v>
      </c>
      <c r="T551" s="1">
        <v>1</v>
      </c>
      <c r="U551" s="1">
        <v>2</v>
      </c>
      <c r="V551">
        <f t="shared" si="8"/>
        <v>308</v>
      </c>
    </row>
    <row r="552" spans="1:22" ht="13" x14ac:dyDescent="0.15">
      <c r="A552" s="4">
        <v>44775</v>
      </c>
      <c r="B552" s="5">
        <v>0.67783564814814812</v>
      </c>
      <c r="C552" s="1">
        <v>1494</v>
      </c>
      <c r="D552" s="1">
        <v>13002581</v>
      </c>
      <c r="E552" s="1">
        <v>13</v>
      </c>
      <c r="F552" s="1">
        <v>22589</v>
      </c>
      <c r="G552" s="1" t="s">
        <v>21</v>
      </c>
      <c r="H552" s="1">
        <v>15</v>
      </c>
      <c r="I552" s="1">
        <v>13574</v>
      </c>
      <c r="J552" s="1" t="s">
        <v>416</v>
      </c>
      <c r="K552" s="1" t="s">
        <v>48</v>
      </c>
      <c r="L552" s="1" t="s">
        <v>417</v>
      </c>
      <c r="M552" s="1">
        <v>0.1</v>
      </c>
      <c r="N552" s="2">
        <v>927.61</v>
      </c>
      <c r="O552" s="3">
        <v>1197</v>
      </c>
      <c r="P552" s="1">
        <v>7.7</v>
      </c>
      <c r="Q552" s="1">
        <v>9</v>
      </c>
      <c r="R552" s="1">
        <v>200010003383</v>
      </c>
      <c r="S552" s="1">
        <v>29</v>
      </c>
      <c r="T552" s="1">
        <v>1</v>
      </c>
      <c r="U552" s="1">
        <v>1</v>
      </c>
      <c r="V552">
        <f t="shared" si="8"/>
        <v>119.7</v>
      </c>
    </row>
    <row r="553" spans="1:22" ht="13" x14ac:dyDescent="0.15">
      <c r="A553" s="4">
        <v>44775</v>
      </c>
      <c r="B553" s="5">
        <v>0.67931712962962965</v>
      </c>
      <c r="C553" s="1">
        <v>1495</v>
      </c>
      <c r="D553" s="1">
        <v>13002581</v>
      </c>
      <c r="E553" s="1">
        <v>13</v>
      </c>
      <c r="F553" s="1">
        <v>22589</v>
      </c>
      <c r="G553" s="1" t="s">
        <v>21</v>
      </c>
      <c r="H553" s="1">
        <v>15</v>
      </c>
      <c r="I553" s="1">
        <v>37948</v>
      </c>
      <c r="J553" s="1" t="s">
        <v>641</v>
      </c>
      <c r="K553" s="1" t="s">
        <v>117</v>
      </c>
      <c r="L553" s="1" t="s">
        <v>266</v>
      </c>
      <c r="M553" s="1">
        <v>1</v>
      </c>
      <c r="N553" s="2">
        <v>37.270000000000003</v>
      </c>
      <c r="O553" s="3">
        <v>61</v>
      </c>
      <c r="P553" s="1">
        <v>0</v>
      </c>
      <c r="Q553" s="1" t="s">
        <v>25</v>
      </c>
      <c r="R553" s="1" t="s">
        <v>25</v>
      </c>
      <c r="S553" s="1">
        <v>29</v>
      </c>
      <c r="T553" s="1">
        <v>1</v>
      </c>
      <c r="U553" s="1">
        <v>2</v>
      </c>
      <c r="V553">
        <f t="shared" si="8"/>
        <v>61</v>
      </c>
    </row>
    <row r="554" spans="1:22" ht="13" x14ac:dyDescent="0.15">
      <c r="A554" s="4">
        <v>44775</v>
      </c>
      <c r="B554" s="5">
        <v>0.67931712962962965</v>
      </c>
      <c r="C554" s="1">
        <v>1495</v>
      </c>
      <c r="D554" s="1">
        <v>13002581</v>
      </c>
      <c r="E554" s="1">
        <v>13</v>
      </c>
      <c r="F554" s="1">
        <v>22589</v>
      </c>
      <c r="G554" s="1" t="s">
        <v>21</v>
      </c>
      <c r="H554" s="1">
        <v>15</v>
      </c>
      <c r="I554" s="1">
        <v>37948</v>
      </c>
      <c r="J554" s="1" t="s">
        <v>641</v>
      </c>
      <c r="K554" s="1" t="s">
        <v>45</v>
      </c>
      <c r="L554" s="1" t="s">
        <v>266</v>
      </c>
      <c r="M554" s="1">
        <v>2</v>
      </c>
      <c r="N554" s="2">
        <v>33.97</v>
      </c>
      <c r="O554" s="3">
        <v>56</v>
      </c>
      <c r="P554" s="1">
        <v>0</v>
      </c>
      <c r="Q554" s="1" t="s">
        <v>25</v>
      </c>
      <c r="R554" s="1" t="s">
        <v>25</v>
      </c>
      <c r="S554" s="1">
        <v>29</v>
      </c>
      <c r="T554" s="1">
        <v>1</v>
      </c>
      <c r="U554" s="1">
        <v>3</v>
      </c>
      <c r="V554">
        <f t="shared" si="8"/>
        <v>112</v>
      </c>
    </row>
    <row r="555" spans="1:22" ht="13" x14ac:dyDescent="0.15">
      <c r="A555" s="4">
        <v>44775</v>
      </c>
      <c r="B555" s="5">
        <v>0.67931712962962965</v>
      </c>
      <c r="C555" s="1">
        <v>1495</v>
      </c>
      <c r="D555" s="1">
        <v>13002581</v>
      </c>
      <c r="E555" s="1">
        <v>13</v>
      </c>
      <c r="F555" s="1">
        <v>22589</v>
      </c>
      <c r="G555" s="1" t="s">
        <v>21</v>
      </c>
      <c r="H555" s="1">
        <v>15</v>
      </c>
      <c r="I555" s="1">
        <v>354211</v>
      </c>
      <c r="J555" s="1" t="s">
        <v>408</v>
      </c>
      <c r="K555" s="1" t="s">
        <v>48</v>
      </c>
      <c r="L555" s="1" t="s">
        <v>99</v>
      </c>
      <c r="M555" s="1">
        <v>1</v>
      </c>
      <c r="N555" s="2">
        <v>14.4</v>
      </c>
      <c r="O555" s="3">
        <v>24</v>
      </c>
      <c r="P555" s="1">
        <v>0</v>
      </c>
      <c r="Q555" s="1" t="s">
        <v>25</v>
      </c>
      <c r="R555" s="1" t="s">
        <v>25</v>
      </c>
      <c r="S555" s="1">
        <v>29</v>
      </c>
      <c r="T555" s="1">
        <v>1</v>
      </c>
      <c r="U555" s="1">
        <v>4</v>
      </c>
      <c r="V555">
        <f t="shared" si="8"/>
        <v>24</v>
      </c>
    </row>
    <row r="556" spans="1:22" ht="13" x14ac:dyDescent="0.15">
      <c r="A556" s="4">
        <v>44775</v>
      </c>
      <c r="B556" s="5">
        <v>0.68612268518518515</v>
      </c>
      <c r="C556" s="1">
        <v>1496</v>
      </c>
      <c r="D556" s="1">
        <v>13002581</v>
      </c>
      <c r="E556" s="1">
        <v>13</v>
      </c>
      <c r="F556" s="1">
        <v>22589</v>
      </c>
      <c r="G556" s="1" t="s">
        <v>21</v>
      </c>
      <c r="H556" s="1">
        <v>15</v>
      </c>
      <c r="I556" s="1">
        <v>5312</v>
      </c>
      <c r="J556" s="1" t="s">
        <v>642</v>
      </c>
      <c r="K556" s="1" t="s">
        <v>64</v>
      </c>
      <c r="L556" s="1" t="s">
        <v>612</v>
      </c>
      <c r="M556" s="1">
        <v>1</v>
      </c>
      <c r="N556" s="2">
        <v>283.52</v>
      </c>
      <c r="O556" s="3">
        <v>383</v>
      </c>
      <c r="P556" s="1">
        <v>38</v>
      </c>
      <c r="Q556" s="1">
        <v>30</v>
      </c>
      <c r="R556" s="1">
        <v>200000000024</v>
      </c>
      <c r="S556" s="1">
        <v>29</v>
      </c>
      <c r="T556" s="1">
        <v>1</v>
      </c>
      <c r="U556" s="1">
        <v>1</v>
      </c>
      <c r="V556">
        <f t="shared" si="8"/>
        <v>383</v>
      </c>
    </row>
    <row r="557" spans="1:22" ht="13" x14ac:dyDescent="0.15">
      <c r="A557" s="4">
        <v>44775</v>
      </c>
      <c r="B557" s="5">
        <v>0.68785879629629632</v>
      </c>
      <c r="C557" s="1">
        <v>1497</v>
      </c>
      <c r="D557" s="1">
        <v>13002581</v>
      </c>
      <c r="E557" s="1">
        <v>13</v>
      </c>
      <c r="F557" s="1">
        <v>22589</v>
      </c>
      <c r="G557" s="1" t="s">
        <v>21</v>
      </c>
      <c r="H557" s="1">
        <v>15</v>
      </c>
      <c r="I557" s="1">
        <v>2302</v>
      </c>
      <c r="J557" s="1" t="s">
        <v>81</v>
      </c>
      <c r="K557" s="1" t="s">
        <v>61</v>
      </c>
      <c r="L557" s="1" t="s">
        <v>82</v>
      </c>
      <c r="M557" s="1">
        <v>1</v>
      </c>
      <c r="N557" s="2">
        <v>148.28</v>
      </c>
      <c r="O557" s="3">
        <v>174</v>
      </c>
      <c r="P557" s="1">
        <v>8</v>
      </c>
      <c r="Q557" s="1">
        <v>9</v>
      </c>
      <c r="R557" s="1">
        <v>200010014077</v>
      </c>
      <c r="S557" s="1">
        <v>29</v>
      </c>
      <c r="T557" s="1">
        <v>1</v>
      </c>
      <c r="U557" s="1">
        <v>1</v>
      </c>
      <c r="V557">
        <f t="shared" si="8"/>
        <v>174</v>
      </c>
    </row>
    <row r="558" spans="1:22" ht="13" x14ac:dyDescent="0.15">
      <c r="A558" s="4">
        <v>44775</v>
      </c>
      <c r="B558" s="5">
        <v>0.69490740740740742</v>
      </c>
      <c r="C558" s="1">
        <v>1498</v>
      </c>
      <c r="D558" s="1">
        <v>13002581</v>
      </c>
      <c r="E558" s="1">
        <v>13</v>
      </c>
      <c r="F558" s="1">
        <v>22589</v>
      </c>
      <c r="G558" s="1" t="s">
        <v>21</v>
      </c>
      <c r="H558" s="1">
        <v>18</v>
      </c>
      <c r="I558" s="1">
        <v>265690</v>
      </c>
      <c r="J558" s="1" t="s">
        <v>643</v>
      </c>
      <c r="K558" s="1" t="s">
        <v>117</v>
      </c>
      <c r="L558" s="1" t="s">
        <v>368</v>
      </c>
      <c r="M558" s="1">
        <v>1</v>
      </c>
      <c r="N558" s="2">
        <v>55.06</v>
      </c>
      <c r="O558" s="3">
        <v>87</v>
      </c>
      <c r="P558" s="1">
        <v>8</v>
      </c>
      <c r="Q558" s="1">
        <v>9</v>
      </c>
      <c r="R558" s="1">
        <v>200010012147</v>
      </c>
      <c r="S558" s="1">
        <v>29</v>
      </c>
      <c r="T558" s="1">
        <v>1</v>
      </c>
      <c r="U558" s="1">
        <v>3</v>
      </c>
      <c r="V558">
        <f t="shared" si="8"/>
        <v>87</v>
      </c>
    </row>
    <row r="559" spans="1:22" ht="13" x14ac:dyDescent="0.15">
      <c r="A559" s="4">
        <v>44775</v>
      </c>
      <c r="B559" s="5">
        <v>0.69490740740740742</v>
      </c>
      <c r="C559" s="1">
        <v>1498</v>
      </c>
      <c r="D559" s="1">
        <v>13002581</v>
      </c>
      <c r="E559" s="1">
        <v>13</v>
      </c>
      <c r="F559" s="1">
        <v>22589</v>
      </c>
      <c r="G559" s="1" t="s">
        <v>21</v>
      </c>
      <c r="H559" s="1">
        <v>18</v>
      </c>
      <c r="I559" s="1">
        <v>23336</v>
      </c>
      <c r="J559" s="1" t="s">
        <v>644</v>
      </c>
      <c r="K559" s="1" t="s">
        <v>141</v>
      </c>
      <c r="L559" s="1" t="s">
        <v>377</v>
      </c>
      <c r="M559" s="1">
        <v>1</v>
      </c>
      <c r="N559" s="2">
        <v>781.33</v>
      </c>
      <c r="O559" s="3">
        <v>899</v>
      </c>
      <c r="P559" s="1">
        <v>62</v>
      </c>
      <c r="Q559" s="1">
        <v>9</v>
      </c>
      <c r="R559" s="1">
        <v>200010012147</v>
      </c>
      <c r="S559" s="1">
        <v>29</v>
      </c>
      <c r="T559" s="1">
        <v>1</v>
      </c>
      <c r="U559" s="1">
        <v>2</v>
      </c>
      <c r="V559">
        <f t="shared" si="8"/>
        <v>899</v>
      </c>
    </row>
    <row r="560" spans="1:22" ht="13" x14ac:dyDescent="0.15">
      <c r="A560" s="4">
        <v>44775</v>
      </c>
      <c r="B560" s="5">
        <v>0.69490740740740742</v>
      </c>
      <c r="C560" s="1">
        <v>1498</v>
      </c>
      <c r="D560" s="1">
        <v>13002581</v>
      </c>
      <c r="E560" s="1">
        <v>13</v>
      </c>
      <c r="F560" s="1">
        <v>22589</v>
      </c>
      <c r="G560" s="1" t="s">
        <v>21</v>
      </c>
      <c r="H560" s="1">
        <v>18</v>
      </c>
      <c r="I560" s="1">
        <v>107419</v>
      </c>
      <c r="J560" s="1" t="s">
        <v>645</v>
      </c>
      <c r="K560" s="1" t="s">
        <v>51</v>
      </c>
      <c r="L560" s="1" t="s">
        <v>216</v>
      </c>
      <c r="M560" s="1">
        <v>1</v>
      </c>
      <c r="N560" s="2">
        <v>20.57</v>
      </c>
      <c r="O560" s="3">
        <v>25</v>
      </c>
      <c r="P560" s="1">
        <v>1</v>
      </c>
      <c r="Q560" s="1">
        <v>9</v>
      </c>
      <c r="R560" s="1">
        <v>200010012147</v>
      </c>
      <c r="S560" s="1">
        <v>29</v>
      </c>
      <c r="T560" s="1">
        <v>1</v>
      </c>
      <c r="U560" s="1">
        <v>1</v>
      </c>
      <c r="V560">
        <f t="shared" si="8"/>
        <v>25</v>
      </c>
    </row>
    <row r="561" spans="1:22" ht="13" x14ac:dyDescent="0.15">
      <c r="A561" s="4">
        <v>44775</v>
      </c>
      <c r="B561" s="5">
        <v>0.70005787037037037</v>
      </c>
      <c r="C561" s="1">
        <v>1499</v>
      </c>
      <c r="D561" s="1">
        <v>13002581</v>
      </c>
      <c r="E561" s="1">
        <v>13</v>
      </c>
      <c r="F561" s="1">
        <v>22589</v>
      </c>
      <c r="G561" s="1" t="s">
        <v>21</v>
      </c>
      <c r="H561" s="1">
        <v>18</v>
      </c>
      <c r="I561" s="1">
        <v>365627</v>
      </c>
      <c r="J561" s="1" t="s">
        <v>55</v>
      </c>
      <c r="K561" s="1" t="s">
        <v>29</v>
      </c>
      <c r="L561" s="1" t="s">
        <v>56</v>
      </c>
      <c r="M561" s="1">
        <v>1</v>
      </c>
      <c r="N561" s="2">
        <v>78.239999999999995</v>
      </c>
      <c r="O561" s="3">
        <v>96</v>
      </c>
      <c r="P561" s="1">
        <v>24.63</v>
      </c>
      <c r="Q561" s="1">
        <v>925</v>
      </c>
      <c r="R561" s="1">
        <v>200000000492</v>
      </c>
      <c r="S561" s="1">
        <v>29</v>
      </c>
      <c r="T561" s="1">
        <v>1</v>
      </c>
      <c r="U561" s="1">
        <v>2</v>
      </c>
      <c r="V561">
        <f t="shared" si="8"/>
        <v>96</v>
      </c>
    </row>
    <row r="562" spans="1:22" ht="13" x14ac:dyDescent="0.15">
      <c r="A562" s="4">
        <v>44775</v>
      </c>
      <c r="B562" s="5">
        <v>0.70005787037037037</v>
      </c>
      <c r="C562" s="1">
        <v>1499</v>
      </c>
      <c r="D562" s="1">
        <v>13002581</v>
      </c>
      <c r="E562" s="1">
        <v>13</v>
      </c>
      <c r="F562" s="1">
        <v>22589</v>
      </c>
      <c r="G562" s="1" t="s">
        <v>21</v>
      </c>
      <c r="H562" s="1">
        <v>18</v>
      </c>
      <c r="I562" s="1">
        <v>344597</v>
      </c>
      <c r="J562" s="1" t="s">
        <v>646</v>
      </c>
      <c r="K562" s="1" t="s">
        <v>51</v>
      </c>
      <c r="L562" s="1" t="s">
        <v>647</v>
      </c>
      <c r="M562" s="1">
        <v>1</v>
      </c>
      <c r="N562" s="2">
        <v>75.73</v>
      </c>
      <c r="O562" s="3">
        <v>95</v>
      </c>
      <c r="P562" s="1">
        <v>24.37</v>
      </c>
      <c r="Q562" s="1">
        <v>925</v>
      </c>
      <c r="R562" s="1">
        <v>200000000492</v>
      </c>
      <c r="S562" s="1">
        <v>29</v>
      </c>
      <c r="T562" s="1">
        <v>1</v>
      </c>
      <c r="U562" s="1">
        <v>1</v>
      </c>
      <c r="V562">
        <f t="shared" si="8"/>
        <v>95</v>
      </c>
    </row>
    <row r="563" spans="1:22" ht="13" x14ac:dyDescent="0.15">
      <c r="A563" s="4">
        <v>44775</v>
      </c>
      <c r="B563" s="5">
        <v>0.70472222222222225</v>
      </c>
      <c r="C563" s="1">
        <v>1500</v>
      </c>
      <c r="D563" s="1">
        <v>13002581</v>
      </c>
      <c r="E563" s="1">
        <v>13</v>
      </c>
      <c r="F563" s="1">
        <v>22589</v>
      </c>
      <c r="G563" s="1" t="s">
        <v>21</v>
      </c>
      <c r="H563" s="1">
        <v>15</v>
      </c>
      <c r="I563" s="1">
        <v>133317</v>
      </c>
      <c r="J563" s="1" t="s">
        <v>648</v>
      </c>
      <c r="K563" s="1" t="s">
        <v>23</v>
      </c>
      <c r="L563" s="1" t="s">
        <v>216</v>
      </c>
      <c r="M563" s="1">
        <v>1</v>
      </c>
      <c r="N563" s="2">
        <v>299.16000000000003</v>
      </c>
      <c r="O563" s="3">
        <v>404</v>
      </c>
      <c r="P563" s="1">
        <v>28</v>
      </c>
      <c r="Q563" s="1">
        <v>9</v>
      </c>
      <c r="R563" s="1">
        <v>200010021949</v>
      </c>
      <c r="S563" s="1">
        <v>29</v>
      </c>
      <c r="T563" s="1">
        <v>1</v>
      </c>
      <c r="U563" s="1">
        <v>1</v>
      </c>
      <c r="V563">
        <f t="shared" si="8"/>
        <v>404</v>
      </c>
    </row>
    <row r="564" spans="1:22" ht="13" x14ac:dyDescent="0.15">
      <c r="A564" s="4">
        <v>44775</v>
      </c>
      <c r="B564" s="5">
        <v>0.71390046296296295</v>
      </c>
      <c r="C564" s="1">
        <v>1501</v>
      </c>
      <c r="D564" s="1">
        <v>13002581</v>
      </c>
      <c r="E564" s="1">
        <v>13</v>
      </c>
      <c r="F564" s="1">
        <v>22589</v>
      </c>
      <c r="G564" s="1" t="s">
        <v>21</v>
      </c>
      <c r="H564" s="1">
        <v>18</v>
      </c>
      <c r="I564" s="1">
        <v>477178</v>
      </c>
      <c r="J564" s="1" t="s">
        <v>649</v>
      </c>
      <c r="K564" s="1" t="s">
        <v>51</v>
      </c>
      <c r="L564" s="1" t="s">
        <v>129</v>
      </c>
      <c r="M564" s="1">
        <v>1</v>
      </c>
      <c r="N564" s="2">
        <v>1548.9</v>
      </c>
      <c r="O564" s="3">
        <v>1937</v>
      </c>
      <c r="P564" s="1">
        <v>135</v>
      </c>
      <c r="Q564" s="1">
        <v>9</v>
      </c>
      <c r="R564" s="1">
        <v>200010026826</v>
      </c>
      <c r="S564" s="1">
        <v>29</v>
      </c>
      <c r="T564" s="1">
        <v>1</v>
      </c>
      <c r="U564" s="1">
        <v>1</v>
      </c>
      <c r="V564">
        <f t="shared" si="8"/>
        <v>1937</v>
      </c>
    </row>
    <row r="565" spans="1:22" ht="13" x14ac:dyDescent="0.15">
      <c r="A565" s="4">
        <v>44775</v>
      </c>
      <c r="B565" s="5">
        <v>0.71498842592592593</v>
      </c>
      <c r="C565" s="1">
        <v>1502</v>
      </c>
      <c r="D565" s="1">
        <v>13002581</v>
      </c>
      <c r="E565" s="1">
        <v>13</v>
      </c>
      <c r="F565" s="1">
        <v>22589</v>
      </c>
      <c r="G565" s="1" t="s">
        <v>21</v>
      </c>
      <c r="H565" s="1">
        <v>18</v>
      </c>
      <c r="I565" s="1">
        <v>159107</v>
      </c>
      <c r="J565" s="1" t="s">
        <v>650</v>
      </c>
      <c r="K565" s="1" t="s">
        <v>29</v>
      </c>
      <c r="L565" s="1" t="s">
        <v>651</v>
      </c>
      <c r="M565" s="1">
        <v>1</v>
      </c>
      <c r="N565" s="2">
        <v>66.08</v>
      </c>
      <c r="O565" s="3">
        <v>104</v>
      </c>
      <c r="P565" s="1">
        <v>10</v>
      </c>
      <c r="Q565" s="1">
        <v>9</v>
      </c>
      <c r="R565" s="1">
        <v>200010016761</v>
      </c>
      <c r="S565" s="1">
        <v>29</v>
      </c>
      <c r="T565" s="1">
        <v>1</v>
      </c>
      <c r="U565" s="1">
        <v>2</v>
      </c>
      <c r="V565">
        <f t="shared" si="8"/>
        <v>104</v>
      </c>
    </row>
    <row r="566" spans="1:22" ht="13" x14ac:dyDescent="0.15">
      <c r="A566" s="4">
        <v>44775</v>
      </c>
      <c r="B566" s="5">
        <v>0.71582175925925928</v>
      </c>
      <c r="C566" s="1">
        <v>1503</v>
      </c>
      <c r="D566" s="1">
        <v>13002581</v>
      </c>
      <c r="E566" s="1">
        <v>13</v>
      </c>
      <c r="F566" s="1">
        <v>22589</v>
      </c>
      <c r="G566" s="1" t="s">
        <v>21</v>
      </c>
      <c r="H566" s="1">
        <v>18</v>
      </c>
      <c r="I566" s="1">
        <v>405447</v>
      </c>
      <c r="J566" s="1" t="s">
        <v>652</v>
      </c>
      <c r="K566" s="1" t="s">
        <v>23</v>
      </c>
      <c r="L566" s="1" t="s">
        <v>423</v>
      </c>
      <c r="M566" s="1">
        <v>0.1</v>
      </c>
      <c r="N566" s="2">
        <v>503.01</v>
      </c>
      <c r="O566" s="3">
        <v>649</v>
      </c>
      <c r="P566" s="1">
        <v>3.9</v>
      </c>
      <c r="Q566" s="1">
        <v>9</v>
      </c>
      <c r="R566" s="1">
        <v>200010023010</v>
      </c>
      <c r="S566" s="1">
        <v>29</v>
      </c>
      <c r="T566" s="1">
        <v>1</v>
      </c>
      <c r="U566" s="1">
        <v>1</v>
      </c>
      <c r="V566">
        <f t="shared" si="8"/>
        <v>64.900000000000006</v>
      </c>
    </row>
    <row r="567" spans="1:22" ht="13" x14ac:dyDescent="0.15">
      <c r="A567" s="4">
        <v>44775</v>
      </c>
      <c r="B567" s="5">
        <v>0.71690972222222227</v>
      </c>
      <c r="C567" s="1">
        <v>1504</v>
      </c>
      <c r="D567" s="1">
        <v>13002581</v>
      </c>
      <c r="E567" s="1">
        <v>13</v>
      </c>
      <c r="F567" s="1">
        <v>22589</v>
      </c>
      <c r="G567" s="1" t="s">
        <v>21</v>
      </c>
      <c r="H567" s="1">
        <v>18</v>
      </c>
      <c r="I567" s="1">
        <v>56672</v>
      </c>
      <c r="J567" s="1" t="s">
        <v>653</v>
      </c>
      <c r="K567" s="1" t="s">
        <v>117</v>
      </c>
      <c r="L567" s="1" t="s">
        <v>654</v>
      </c>
      <c r="M567" s="1">
        <v>1</v>
      </c>
      <c r="N567" s="2">
        <v>39.65</v>
      </c>
      <c r="O567" s="3">
        <v>65</v>
      </c>
      <c r="P567" s="1">
        <v>6</v>
      </c>
      <c r="Q567" s="1">
        <v>9</v>
      </c>
      <c r="R567" s="1">
        <v>200010020718</v>
      </c>
      <c r="S567" s="1">
        <v>29</v>
      </c>
      <c r="T567" s="1">
        <v>1</v>
      </c>
      <c r="U567" s="1">
        <v>1</v>
      </c>
      <c r="V567">
        <f t="shared" si="8"/>
        <v>65</v>
      </c>
    </row>
    <row r="568" spans="1:22" ht="13" x14ac:dyDescent="0.15">
      <c r="A568" s="4">
        <v>44775</v>
      </c>
      <c r="B568" s="5">
        <v>0.71690972222222227</v>
      </c>
      <c r="C568" s="1">
        <v>1504</v>
      </c>
      <c r="D568" s="1">
        <v>13002581</v>
      </c>
      <c r="E568" s="1">
        <v>13</v>
      </c>
      <c r="F568" s="1">
        <v>22589</v>
      </c>
      <c r="G568" s="1" t="s">
        <v>21</v>
      </c>
      <c r="H568" s="1">
        <v>18</v>
      </c>
      <c r="I568" s="1">
        <v>168705</v>
      </c>
      <c r="J568" s="1" t="s">
        <v>522</v>
      </c>
      <c r="K568" s="1" t="s">
        <v>110</v>
      </c>
      <c r="L568" s="1" t="s">
        <v>449</v>
      </c>
      <c r="M568" s="1">
        <v>1</v>
      </c>
      <c r="N568" s="2">
        <v>98.01</v>
      </c>
      <c r="O568" s="3">
        <v>121</v>
      </c>
      <c r="P568" s="1">
        <v>6</v>
      </c>
      <c r="Q568" s="1">
        <v>9</v>
      </c>
      <c r="R568" s="1">
        <v>200010020718</v>
      </c>
      <c r="S568" s="1">
        <v>29</v>
      </c>
      <c r="T568" s="1">
        <v>1</v>
      </c>
      <c r="U568" s="1">
        <v>2</v>
      </c>
      <c r="V568">
        <f t="shared" si="8"/>
        <v>121</v>
      </c>
    </row>
    <row r="569" spans="1:22" ht="13" x14ac:dyDescent="0.15">
      <c r="A569" s="4">
        <v>44775</v>
      </c>
      <c r="B569" s="5">
        <v>0.71832175925925923</v>
      </c>
      <c r="C569" s="1">
        <v>1505</v>
      </c>
      <c r="D569" s="1">
        <v>13002581</v>
      </c>
      <c r="E569" s="1">
        <v>13</v>
      </c>
      <c r="F569" s="1">
        <v>22589</v>
      </c>
      <c r="G569" s="1" t="s">
        <v>21</v>
      </c>
      <c r="H569" s="1">
        <v>18</v>
      </c>
      <c r="I569" s="1">
        <v>261813</v>
      </c>
      <c r="J569" s="1" t="s">
        <v>655</v>
      </c>
      <c r="K569" s="1" t="s">
        <v>34</v>
      </c>
      <c r="L569" s="1" t="s">
        <v>656</v>
      </c>
      <c r="M569" s="1">
        <v>1</v>
      </c>
      <c r="N569" s="2">
        <v>279.07</v>
      </c>
      <c r="O569" s="3">
        <v>425</v>
      </c>
      <c r="P569" s="1">
        <v>42</v>
      </c>
      <c r="Q569" s="1">
        <v>9</v>
      </c>
      <c r="R569" s="1">
        <v>200010020875</v>
      </c>
      <c r="S569" s="1">
        <v>29</v>
      </c>
      <c r="T569" s="1">
        <v>1</v>
      </c>
      <c r="U569" s="1">
        <v>1</v>
      </c>
      <c r="V569">
        <f t="shared" si="8"/>
        <v>425</v>
      </c>
    </row>
    <row r="570" spans="1:22" ht="13" x14ac:dyDescent="0.15">
      <c r="A570" s="4">
        <v>44775</v>
      </c>
      <c r="B570" s="5">
        <v>0.71832175925925923</v>
      </c>
      <c r="C570" s="1">
        <v>1505</v>
      </c>
      <c r="D570" s="1">
        <v>13002581</v>
      </c>
      <c r="E570" s="1">
        <v>13</v>
      </c>
      <c r="F570" s="1">
        <v>22589</v>
      </c>
      <c r="G570" s="1" t="s">
        <v>21</v>
      </c>
      <c r="H570" s="1">
        <v>18</v>
      </c>
      <c r="I570" s="1">
        <v>295598</v>
      </c>
      <c r="J570" s="1" t="s">
        <v>657</v>
      </c>
      <c r="K570" s="1" t="s">
        <v>61</v>
      </c>
      <c r="L570" s="1" t="s">
        <v>559</v>
      </c>
      <c r="M570" s="1">
        <v>0.16666666999999999</v>
      </c>
      <c r="N570" s="2">
        <v>859.76</v>
      </c>
      <c r="O570" s="3">
        <v>1110</v>
      </c>
      <c r="P570" s="1">
        <v>12</v>
      </c>
      <c r="Q570" s="1">
        <v>9</v>
      </c>
      <c r="R570" s="1">
        <v>200010020875</v>
      </c>
      <c r="S570" s="1">
        <v>29</v>
      </c>
      <c r="T570" s="1">
        <v>1</v>
      </c>
      <c r="U570" s="1">
        <v>3</v>
      </c>
      <c r="V570">
        <f t="shared" si="8"/>
        <v>185.00000369999998</v>
      </c>
    </row>
    <row r="571" spans="1:22" ht="13" x14ac:dyDescent="0.15">
      <c r="A571" s="4">
        <v>44775</v>
      </c>
      <c r="B571" s="5">
        <v>0.71832175925925923</v>
      </c>
      <c r="C571" s="1">
        <v>1505</v>
      </c>
      <c r="D571" s="1">
        <v>13002581</v>
      </c>
      <c r="E571" s="1">
        <v>13</v>
      </c>
      <c r="F571" s="1">
        <v>22589</v>
      </c>
      <c r="G571" s="1" t="s">
        <v>21</v>
      </c>
      <c r="H571" s="1">
        <v>18</v>
      </c>
      <c r="I571" s="1">
        <v>11548</v>
      </c>
      <c r="J571" s="1" t="s">
        <v>658</v>
      </c>
      <c r="K571" s="1" t="s">
        <v>51</v>
      </c>
      <c r="L571" s="1" t="s">
        <v>614</v>
      </c>
      <c r="M571" s="1">
        <v>1</v>
      </c>
      <c r="N571" s="2">
        <v>89.29</v>
      </c>
      <c r="O571" s="3">
        <v>141</v>
      </c>
      <c r="P571" s="1">
        <v>14</v>
      </c>
      <c r="Q571" s="1">
        <v>9</v>
      </c>
      <c r="R571" s="1">
        <v>200010020875</v>
      </c>
      <c r="S571" s="1">
        <v>29</v>
      </c>
      <c r="T571" s="1">
        <v>1</v>
      </c>
      <c r="U571" s="1">
        <v>2</v>
      </c>
      <c r="V571">
        <f t="shared" si="8"/>
        <v>141</v>
      </c>
    </row>
    <row r="572" spans="1:22" ht="13" x14ac:dyDescent="0.15">
      <c r="A572" s="4">
        <v>44775</v>
      </c>
      <c r="B572" s="5">
        <v>0.72061342592592592</v>
      </c>
      <c r="C572" s="1">
        <v>1506</v>
      </c>
      <c r="D572" s="1">
        <v>13002581</v>
      </c>
      <c r="E572" s="1">
        <v>13</v>
      </c>
      <c r="F572" s="1">
        <v>22589</v>
      </c>
      <c r="G572" s="1" t="s">
        <v>21</v>
      </c>
      <c r="H572" s="1">
        <v>18</v>
      </c>
      <c r="I572" s="1">
        <v>2671</v>
      </c>
      <c r="J572" s="1" t="s">
        <v>659</v>
      </c>
      <c r="K572" s="1" t="s">
        <v>51</v>
      </c>
      <c r="L572" s="1" t="s">
        <v>255</v>
      </c>
      <c r="M572" s="1">
        <v>1</v>
      </c>
      <c r="N572" s="2">
        <v>49.57</v>
      </c>
      <c r="O572" s="3">
        <v>62</v>
      </c>
      <c r="P572" s="1">
        <v>0</v>
      </c>
      <c r="Q572" s="1" t="s">
        <v>25</v>
      </c>
      <c r="R572" s="1" t="s">
        <v>25</v>
      </c>
      <c r="S572" s="1">
        <v>29</v>
      </c>
      <c r="T572" s="1">
        <v>1</v>
      </c>
      <c r="U572" s="1">
        <v>2</v>
      </c>
      <c r="V572">
        <f t="shared" si="8"/>
        <v>62</v>
      </c>
    </row>
    <row r="573" spans="1:22" ht="13" x14ac:dyDescent="0.15">
      <c r="A573" s="4">
        <v>44775</v>
      </c>
      <c r="B573" s="5">
        <v>0.7271643518518518</v>
      </c>
      <c r="C573" s="1">
        <v>1510</v>
      </c>
      <c r="D573" s="1">
        <v>13002581</v>
      </c>
      <c r="E573" s="1">
        <v>13</v>
      </c>
      <c r="F573" s="1">
        <v>22589</v>
      </c>
      <c r="G573" s="1" t="s">
        <v>21</v>
      </c>
      <c r="H573" s="1">
        <v>18</v>
      </c>
      <c r="I573" s="1">
        <v>2671</v>
      </c>
      <c r="J573" s="1" t="s">
        <v>659</v>
      </c>
      <c r="K573" s="1" t="s">
        <v>51</v>
      </c>
      <c r="L573" s="1" t="s">
        <v>255</v>
      </c>
      <c r="M573" s="1">
        <v>1</v>
      </c>
      <c r="N573" s="2">
        <v>49.57</v>
      </c>
      <c r="O573" s="3">
        <v>62</v>
      </c>
      <c r="P573" s="1">
        <v>0</v>
      </c>
      <c r="Q573" s="1" t="s">
        <v>25</v>
      </c>
      <c r="R573" s="1" t="s">
        <v>25</v>
      </c>
      <c r="S573" s="1">
        <v>29</v>
      </c>
      <c r="T573" s="1">
        <v>1</v>
      </c>
      <c r="U573" s="1">
        <v>1</v>
      </c>
      <c r="V573">
        <f t="shared" si="8"/>
        <v>62</v>
      </c>
    </row>
    <row r="574" spans="1:22" ht="13" x14ac:dyDescent="0.15">
      <c r="A574" s="4">
        <v>44775</v>
      </c>
      <c r="B574" s="5">
        <v>0.72061342592592592</v>
      </c>
      <c r="C574" s="1">
        <v>1506</v>
      </c>
      <c r="D574" s="1">
        <v>13002581</v>
      </c>
      <c r="E574" s="1">
        <v>13</v>
      </c>
      <c r="F574" s="1">
        <v>22589</v>
      </c>
      <c r="G574" s="1" t="s">
        <v>21</v>
      </c>
      <c r="H574" s="1">
        <v>18</v>
      </c>
      <c r="I574" s="1">
        <v>260840</v>
      </c>
      <c r="J574" s="1" t="s">
        <v>358</v>
      </c>
      <c r="K574" s="1" t="s">
        <v>51</v>
      </c>
      <c r="L574" s="1" t="s">
        <v>167</v>
      </c>
      <c r="M574" s="1">
        <v>1</v>
      </c>
      <c r="N574" s="2">
        <v>9.66</v>
      </c>
      <c r="O574" s="3">
        <v>16</v>
      </c>
      <c r="P574" s="1">
        <v>0</v>
      </c>
      <c r="Q574" s="1" t="s">
        <v>25</v>
      </c>
      <c r="R574" s="1" t="s">
        <v>25</v>
      </c>
      <c r="S574" s="1">
        <v>29</v>
      </c>
      <c r="T574" s="1">
        <v>1</v>
      </c>
      <c r="U574" s="1">
        <v>1</v>
      </c>
      <c r="V574">
        <f t="shared" si="8"/>
        <v>16</v>
      </c>
    </row>
    <row r="575" spans="1:22" ht="13" x14ac:dyDescent="0.15">
      <c r="A575" s="4">
        <v>44775</v>
      </c>
      <c r="B575" s="5">
        <v>0.72341435185185188</v>
      </c>
      <c r="C575" s="1">
        <v>1507</v>
      </c>
      <c r="D575" s="1">
        <v>13002581</v>
      </c>
      <c r="E575" s="1">
        <v>13</v>
      </c>
      <c r="F575" s="1">
        <v>22589</v>
      </c>
      <c r="G575" s="1" t="s">
        <v>21</v>
      </c>
      <c r="H575" s="1">
        <v>18</v>
      </c>
      <c r="I575" s="1">
        <v>23380</v>
      </c>
      <c r="J575" s="1" t="s">
        <v>660</v>
      </c>
      <c r="K575" s="1" t="s">
        <v>51</v>
      </c>
      <c r="L575" s="1" t="s">
        <v>269</v>
      </c>
      <c r="M575" s="1">
        <v>1</v>
      </c>
      <c r="N575" s="2">
        <v>944.78</v>
      </c>
      <c r="O575" s="3">
        <v>1219</v>
      </c>
      <c r="P575" s="1">
        <v>134.63999999999999</v>
      </c>
      <c r="Q575" s="1">
        <v>925</v>
      </c>
      <c r="R575" s="1">
        <v>200000000492</v>
      </c>
      <c r="S575" s="1">
        <v>29</v>
      </c>
      <c r="T575" s="1">
        <v>1</v>
      </c>
      <c r="U575" s="1">
        <v>1</v>
      </c>
      <c r="V575">
        <f t="shared" si="8"/>
        <v>1219</v>
      </c>
    </row>
    <row r="576" spans="1:22" ht="13" x14ac:dyDescent="0.15">
      <c r="A576" s="4">
        <v>44775</v>
      </c>
      <c r="B576" s="5">
        <v>0.72341435185185188</v>
      </c>
      <c r="C576" s="1">
        <v>1507</v>
      </c>
      <c r="D576" s="1">
        <v>13002581</v>
      </c>
      <c r="E576" s="1">
        <v>13</v>
      </c>
      <c r="F576" s="1">
        <v>22589</v>
      </c>
      <c r="G576" s="1" t="s">
        <v>21</v>
      </c>
      <c r="H576" s="1">
        <v>18</v>
      </c>
      <c r="I576" s="1">
        <v>7697</v>
      </c>
      <c r="J576" s="1" t="s">
        <v>68</v>
      </c>
      <c r="K576" s="1" t="s">
        <v>23</v>
      </c>
      <c r="L576" s="1" t="s">
        <v>69</v>
      </c>
      <c r="M576" s="1">
        <v>1</v>
      </c>
      <c r="N576" s="2">
        <v>248.34</v>
      </c>
      <c r="O576" s="3">
        <v>302</v>
      </c>
      <c r="P576" s="1">
        <v>33.36</v>
      </c>
      <c r="Q576" s="1">
        <v>925</v>
      </c>
      <c r="R576" s="1">
        <v>200000000492</v>
      </c>
      <c r="S576" s="1">
        <v>29</v>
      </c>
      <c r="T576" s="1">
        <v>1</v>
      </c>
      <c r="U576" s="1">
        <v>2</v>
      </c>
      <c r="V576">
        <f t="shared" si="8"/>
        <v>302</v>
      </c>
    </row>
    <row r="577" spans="1:22" ht="13" x14ac:dyDescent="0.15">
      <c r="A577" s="4">
        <v>44775</v>
      </c>
      <c r="B577" s="5">
        <v>0.72568287037037038</v>
      </c>
      <c r="C577" s="1">
        <v>1508</v>
      </c>
      <c r="D577" s="1">
        <v>13002581</v>
      </c>
      <c r="E577" s="1">
        <v>13</v>
      </c>
      <c r="F577" s="1">
        <v>22589</v>
      </c>
      <c r="G577" s="1" t="s">
        <v>21</v>
      </c>
      <c r="H577" s="1">
        <v>18</v>
      </c>
      <c r="I577" s="1">
        <v>29728</v>
      </c>
      <c r="J577" s="1" t="s">
        <v>342</v>
      </c>
      <c r="K577" s="1" t="s">
        <v>23</v>
      </c>
      <c r="L577" s="1" t="s">
        <v>343</v>
      </c>
      <c r="M577" s="1">
        <v>1</v>
      </c>
      <c r="N577" s="2">
        <v>671.51</v>
      </c>
      <c r="O577" s="3">
        <v>867</v>
      </c>
      <c r="P577" s="1">
        <v>60</v>
      </c>
      <c r="Q577" s="1">
        <v>9</v>
      </c>
      <c r="R577" s="1">
        <v>200010000485</v>
      </c>
      <c r="S577" s="1">
        <v>29</v>
      </c>
      <c r="T577" s="1">
        <v>1</v>
      </c>
      <c r="U577" s="1">
        <v>1</v>
      </c>
      <c r="V577">
        <f t="shared" si="8"/>
        <v>867</v>
      </c>
    </row>
    <row r="578" spans="1:22" ht="13" x14ac:dyDescent="0.15">
      <c r="A578" s="4">
        <v>44775</v>
      </c>
      <c r="B578" s="5">
        <v>0.72644675925925928</v>
      </c>
      <c r="C578" s="1">
        <v>1509</v>
      </c>
      <c r="D578" s="1">
        <v>13002581</v>
      </c>
      <c r="E578" s="1">
        <v>13</v>
      </c>
      <c r="F578" s="1">
        <v>22589</v>
      </c>
      <c r="G578" s="1" t="s">
        <v>21</v>
      </c>
      <c r="H578" s="1">
        <v>18</v>
      </c>
      <c r="I578" s="1">
        <v>6542</v>
      </c>
      <c r="J578" s="1" t="s">
        <v>661</v>
      </c>
      <c r="K578" s="1" t="s">
        <v>23</v>
      </c>
      <c r="L578" s="1" t="s">
        <v>662</v>
      </c>
      <c r="M578" s="1">
        <v>1</v>
      </c>
      <c r="N578" s="2">
        <v>788.43</v>
      </c>
      <c r="O578" s="3">
        <v>1018</v>
      </c>
      <c r="P578" s="1">
        <v>0</v>
      </c>
      <c r="Q578" s="1" t="s">
        <v>25</v>
      </c>
      <c r="R578" s="1" t="s">
        <v>25</v>
      </c>
      <c r="S578" s="1">
        <v>29</v>
      </c>
      <c r="T578" s="1">
        <v>1</v>
      </c>
      <c r="U578" s="1">
        <v>1</v>
      </c>
      <c r="V578">
        <f t="shared" si="8"/>
        <v>1018</v>
      </c>
    </row>
    <row r="579" spans="1:22" ht="13" x14ac:dyDescent="0.15">
      <c r="A579" s="4">
        <v>44775</v>
      </c>
      <c r="B579" s="5">
        <v>0.73109953703703701</v>
      </c>
      <c r="C579" s="1">
        <v>1512</v>
      </c>
      <c r="D579" s="1">
        <v>13002581</v>
      </c>
      <c r="E579" s="1">
        <v>13</v>
      </c>
      <c r="F579" s="1">
        <v>22589</v>
      </c>
      <c r="G579" s="1" t="s">
        <v>21</v>
      </c>
      <c r="H579" s="1">
        <v>18</v>
      </c>
      <c r="I579" s="1">
        <v>512333</v>
      </c>
      <c r="J579" s="1" t="s">
        <v>138</v>
      </c>
      <c r="K579" s="1" t="s">
        <v>61</v>
      </c>
      <c r="L579" s="1" t="s">
        <v>139</v>
      </c>
      <c r="M579" s="1">
        <v>1</v>
      </c>
      <c r="N579" s="2">
        <v>115.28</v>
      </c>
      <c r="O579" s="3">
        <v>158</v>
      </c>
      <c r="P579" s="1">
        <v>8</v>
      </c>
      <c r="Q579" s="1">
        <v>925</v>
      </c>
      <c r="R579" s="1">
        <v>200000000492</v>
      </c>
      <c r="S579" s="1">
        <v>29</v>
      </c>
      <c r="T579" s="1">
        <v>1</v>
      </c>
      <c r="U579" s="1">
        <v>1</v>
      </c>
      <c r="V579">
        <f t="shared" ref="V579:V642" si="9">O579*M579</f>
        <v>158</v>
      </c>
    </row>
    <row r="580" spans="1:22" ht="13" x14ac:dyDescent="0.15">
      <c r="A580" s="4">
        <v>44775</v>
      </c>
      <c r="B580" s="5">
        <v>0.7326273148148148</v>
      </c>
      <c r="C580" s="1">
        <v>1513</v>
      </c>
      <c r="D580" s="1">
        <v>13002581</v>
      </c>
      <c r="E580" s="1">
        <v>13</v>
      </c>
      <c r="F580" s="1">
        <v>22589</v>
      </c>
      <c r="G580" s="1" t="s">
        <v>21</v>
      </c>
      <c r="H580" s="1">
        <v>18</v>
      </c>
      <c r="I580" s="1">
        <v>17778</v>
      </c>
      <c r="J580" s="1" t="s">
        <v>663</v>
      </c>
      <c r="K580" s="1" t="s">
        <v>58</v>
      </c>
      <c r="L580" s="1" t="s">
        <v>664</v>
      </c>
      <c r="M580" s="1">
        <v>1</v>
      </c>
      <c r="N580" s="2">
        <v>417.62</v>
      </c>
      <c r="O580" s="3">
        <v>614</v>
      </c>
      <c r="P580" s="1">
        <v>0</v>
      </c>
      <c r="Q580" s="1" t="s">
        <v>25</v>
      </c>
      <c r="R580" s="1" t="s">
        <v>25</v>
      </c>
      <c r="S580" s="1">
        <v>29</v>
      </c>
      <c r="T580" s="1">
        <v>1</v>
      </c>
      <c r="U580" s="1">
        <v>1</v>
      </c>
      <c r="V580">
        <f t="shared" si="9"/>
        <v>614</v>
      </c>
    </row>
    <row r="581" spans="1:22" ht="13" x14ac:dyDescent="0.15">
      <c r="A581" s="4">
        <v>44775</v>
      </c>
      <c r="B581" s="5">
        <v>0.73601851851851852</v>
      </c>
      <c r="C581" s="1">
        <v>1514</v>
      </c>
      <c r="D581" s="1">
        <v>13002581</v>
      </c>
      <c r="E581" s="1">
        <v>13</v>
      </c>
      <c r="F581" s="1">
        <v>22589</v>
      </c>
      <c r="G581" s="1" t="s">
        <v>21</v>
      </c>
      <c r="H581" s="1">
        <v>18</v>
      </c>
      <c r="I581" s="1">
        <v>344902</v>
      </c>
      <c r="J581" s="1" t="s">
        <v>665</v>
      </c>
      <c r="K581" s="1" t="s">
        <v>51</v>
      </c>
      <c r="L581" s="1" t="s">
        <v>666</v>
      </c>
      <c r="M581" s="1">
        <v>7.1428400000000003E-2</v>
      </c>
      <c r="N581" s="2">
        <v>657.93</v>
      </c>
      <c r="O581" s="3">
        <v>724</v>
      </c>
      <c r="P581" s="1">
        <v>0</v>
      </c>
      <c r="Q581" s="1" t="s">
        <v>25</v>
      </c>
      <c r="R581" s="1" t="s">
        <v>25</v>
      </c>
      <c r="S581" s="1">
        <v>29</v>
      </c>
      <c r="T581" s="1">
        <v>1</v>
      </c>
      <c r="U581" s="1">
        <v>1</v>
      </c>
      <c r="V581">
        <f t="shared" si="9"/>
        <v>51.714161600000004</v>
      </c>
    </row>
    <row r="582" spans="1:22" ht="13" x14ac:dyDescent="0.15">
      <c r="A582" s="4">
        <v>44775</v>
      </c>
      <c r="B582" s="5">
        <v>0.73601851851851852</v>
      </c>
      <c r="C582" s="1">
        <v>1514</v>
      </c>
      <c r="D582" s="1">
        <v>13002581</v>
      </c>
      <c r="E582" s="1">
        <v>13</v>
      </c>
      <c r="F582" s="1">
        <v>22589</v>
      </c>
      <c r="G582" s="1" t="s">
        <v>21</v>
      </c>
      <c r="H582" s="1">
        <v>18</v>
      </c>
      <c r="I582" s="1">
        <v>422260</v>
      </c>
      <c r="J582" s="1" t="s">
        <v>667</v>
      </c>
      <c r="K582" s="1" t="s">
        <v>51</v>
      </c>
      <c r="L582" s="1" t="s">
        <v>668</v>
      </c>
      <c r="M582" s="1">
        <v>1</v>
      </c>
      <c r="N582" s="2">
        <v>28.82</v>
      </c>
      <c r="O582" s="3">
        <v>47</v>
      </c>
      <c r="P582" s="1">
        <v>0</v>
      </c>
      <c r="Q582" s="1" t="s">
        <v>25</v>
      </c>
      <c r="R582" s="1" t="s">
        <v>25</v>
      </c>
      <c r="S582" s="1">
        <v>29</v>
      </c>
      <c r="T582" s="1">
        <v>1</v>
      </c>
      <c r="U582" s="1">
        <v>3</v>
      </c>
      <c r="V582">
        <f t="shared" si="9"/>
        <v>47</v>
      </c>
    </row>
    <row r="583" spans="1:22" ht="13" x14ac:dyDescent="0.15">
      <c r="A583" s="4">
        <v>44775</v>
      </c>
      <c r="B583" s="5">
        <v>0.73601851851851852</v>
      </c>
      <c r="C583" s="1">
        <v>1514</v>
      </c>
      <c r="D583" s="1">
        <v>13002581</v>
      </c>
      <c r="E583" s="1">
        <v>13</v>
      </c>
      <c r="F583" s="1">
        <v>22589</v>
      </c>
      <c r="G583" s="1" t="s">
        <v>21</v>
      </c>
      <c r="H583" s="1">
        <v>18</v>
      </c>
      <c r="I583" s="1">
        <v>4800</v>
      </c>
      <c r="J583" s="1" t="s">
        <v>254</v>
      </c>
      <c r="K583" s="1" t="s">
        <v>51</v>
      </c>
      <c r="L583" s="1" t="s">
        <v>255</v>
      </c>
      <c r="M583" s="1">
        <v>1</v>
      </c>
      <c r="N583" s="2">
        <v>42.05</v>
      </c>
      <c r="O583" s="3">
        <v>53</v>
      </c>
      <c r="P583" s="1">
        <v>0</v>
      </c>
      <c r="Q583" s="1" t="s">
        <v>25</v>
      </c>
      <c r="R583" s="1" t="s">
        <v>25</v>
      </c>
      <c r="S583" s="1">
        <v>29</v>
      </c>
      <c r="T583" s="1">
        <v>1</v>
      </c>
      <c r="U583" s="1">
        <v>2</v>
      </c>
      <c r="V583">
        <f t="shared" si="9"/>
        <v>53</v>
      </c>
    </row>
    <row r="584" spans="1:22" ht="13" x14ac:dyDescent="0.15">
      <c r="A584" s="4">
        <v>44775</v>
      </c>
      <c r="B584" s="5">
        <v>0.73671296296296296</v>
      </c>
      <c r="C584" s="1">
        <v>1515</v>
      </c>
      <c r="D584" s="1">
        <v>13002581</v>
      </c>
      <c r="E584" s="1">
        <v>13</v>
      </c>
      <c r="F584" s="1">
        <v>22589</v>
      </c>
      <c r="G584" s="1" t="s">
        <v>21</v>
      </c>
      <c r="H584" s="1">
        <v>15</v>
      </c>
      <c r="I584" s="1">
        <v>339843</v>
      </c>
      <c r="J584" s="1" t="s">
        <v>251</v>
      </c>
      <c r="K584" s="1" t="s">
        <v>252</v>
      </c>
      <c r="L584" s="1" t="s">
        <v>253</v>
      </c>
      <c r="M584" s="1">
        <v>1</v>
      </c>
      <c r="N584" s="2">
        <v>141.97</v>
      </c>
      <c r="O584" s="3">
        <v>221</v>
      </c>
      <c r="P584" s="1">
        <v>22</v>
      </c>
      <c r="Q584" s="1">
        <v>30</v>
      </c>
      <c r="R584" s="1">
        <v>200000000024</v>
      </c>
      <c r="S584" s="1">
        <v>29</v>
      </c>
      <c r="T584" s="1">
        <v>1</v>
      </c>
      <c r="U584" s="1">
        <v>1</v>
      </c>
      <c r="V584">
        <f t="shared" si="9"/>
        <v>221</v>
      </c>
    </row>
    <row r="585" spans="1:22" ht="13" x14ac:dyDescent="0.15">
      <c r="A585" s="4">
        <v>44775</v>
      </c>
      <c r="B585" s="5">
        <v>0.83083333333333331</v>
      </c>
      <c r="C585" s="1">
        <v>1535</v>
      </c>
      <c r="D585" s="1">
        <v>13002581</v>
      </c>
      <c r="E585" s="1">
        <v>13</v>
      </c>
      <c r="F585" s="1">
        <v>22589</v>
      </c>
      <c r="G585" s="1" t="s">
        <v>21</v>
      </c>
      <c r="H585" s="1">
        <v>18</v>
      </c>
      <c r="I585" s="1">
        <v>339843</v>
      </c>
      <c r="J585" s="1" t="s">
        <v>251</v>
      </c>
      <c r="K585" s="1" t="s">
        <v>252</v>
      </c>
      <c r="L585" s="1" t="s">
        <v>253</v>
      </c>
      <c r="M585" s="1">
        <v>1</v>
      </c>
      <c r="N585" s="2">
        <v>141.97</v>
      </c>
      <c r="O585" s="3">
        <v>221</v>
      </c>
      <c r="P585" s="1">
        <v>22</v>
      </c>
      <c r="Q585" s="1">
        <v>9</v>
      </c>
      <c r="R585" s="1">
        <v>200010000847</v>
      </c>
      <c r="S585" s="1">
        <v>29</v>
      </c>
      <c r="T585" s="1">
        <v>1</v>
      </c>
      <c r="U585" s="1">
        <v>3</v>
      </c>
      <c r="V585">
        <f t="shared" si="9"/>
        <v>221</v>
      </c>
    </row>
    <row r="586" spans="1:22" ht="13" x14ac:dyDescent="0.15">
      <c r="A586" s="4">
        <v>44775</v>
      </c>
      <c r="B586" s="5">
        <v>0.7406018518518519</v>
      </c>
      <c r="C586" s="1">
        <v>1516</v>
      </c>
      <c r="D586" s="1">
        <v>13002581</v>
      </c>
      <c r="E586" s="1">
        <v>13</v>
      </c>
      <c r="F586" s="1">
        <v>22589</v>
      </c>
      <c r="G586" s="1" t="s">
        <v>21</v>
      </c>
      <c r="H586" s="1">
        <v>15</v>
      </c>
      <c r="I586" s="1">
        <v>18836</v>
      </c>
      <c r="J586" s="1" t="s">
        <v>517</v>
      </c>
      <c r="K586" s="1" t="s">
        <v>51</v>
      </c>
      <c r="L586" s="1" t="s">
        <v>67</v>
      </c>
      <c r="M586" s="1">
        <v>1</v>
      </c>
      <c r="N586" s="2">
        <v>109.1</v>
      </c>
      <c r="O586" s="3">
        <v>123</v>
      </c>
      <c r="P586" s="1">
        <v>8</v>
      </c>
      <c r="Q586" s="1">
        <v>9</v>
      </c>
      <c r="R586" s="1">
        <v>200010018923</v>
      </c>
      <c r="S586" s="1">
        <v>29</v>
      </c>
      <c r="T586" s="1">
        <v>1</v>
      </c>
      <c r="U586" s="1">
        <v>2</v>
      </c>
      <c r="V586">
        <f t="shared" si="9"/>
        <v>123</v>
      </c>
    </row>
    <row r="587" spans="1:22" ht="13" x14ac:dyDescent="0.15">
      <c r="A587" s="4">
        <v>44775</v>
      </c>
      <c r="B587" s="5">
        <v>0.74380787037037033</v>
      </c>
      <c r="C587" s="1">
        <v>1517</v>
      </c>
      <c r="D587" s="1">
        <v>13002581</v>
      </c>
      <c r="E587" s="1">
        <v>13</v>
      </c>
      <c r="F587" s="1">
        <v>22589</v>
      </c>
      <c r="G587" s="1" t="s">
        <v>21</v>
      </c>
      <c r="H587" s="1">
        <v>18</v>
      </c>
      <c r="I587" s="1">
        <v>346864</v>
      </c>
      <c r="J587" s="1" t="s">
        <v>331</v>
      </c>
      <c r="K587" s="1" t="s">
        <v>58</v>
      </c>
      <c r="L587" s="1" t="s">
        <v>332</v>
      </c>
      <c r="M587" s="1">
        <v>0.1071429</v>
      </c>
      <c r="N587" s="2">
        <v>622.16</v>
      </c>
      <c r="O587" s="3">
        <v>685</v>
      </c>
      <c r="P587" s="1">
        <v>1.39</v>
      </c>
      <c r="Q587" s="1">
        <v>9</v>
      </c>
      <c r="R587" s="1">
        <v>200010026851</v>
      </c>
      <c r="S587" s="1">
        <v>29</v>
      </c>
      <c r="T587" s="1">
        <v>1</v>
      </c>
      <c r="U587" s="1">
        <v>1</v>
      </c>
      <c r="V587">
        <f t="shared" si="9"/>
        <v>73.392886500000003</v>
      </c>
    </row>
    <row r="588" spans="1:22" ht="13" x14ac:dyDescent="0.15">
      <c r="A588" s="4">
        <v>44775</v>
      </c>
      <c r="B588" s="5">
        <v>0.74587962962962961</v>
      </c>
      <c r="C588" s="1">
        <v>1518</v>
      </c>
      <c r="D588" s="1">
        <v>13002581</v>
      </c>
      <c r="E588" s="1">
        <v>13</v>
      </c>
      <c r="F588" s="1">
        <v>22589</v>
      </c>
      <c r="G588" s="1" t="s">
        <v>21</v>
      </c>
      <c r="H588" s="1">
        <v>15</v>
      </c>
      <c r="I588" s="1">
        <v>384267</v>
      </c>
      <c r="J588" s="1" t="s">
        <v>385</v>
      </c>
      <c r="K588" s="1" t="s">
        <v>466</v>
      </c>
      <c r="L588" s="1" t="s">
        <v>35</v>
      </c>
      <c r="M588" s="1">
        <v>1</v>
      </c>
      <c r="N588" s="2">
        <v>288.31</v>
      </c>
      <c r="O588" s="3">
        <v>302</v>
      </c>
      <c r="P588" s="1">
        <v>0</v>
      </c>
      <c r="Q588" s="1" t="s">
        <v>25</v>
      </c>
      <c r="R588" s="1" t="s">
        <v>25</v>
      </c>
      <c r="S588" s="1">
        <v>29</v>
      </c>
      <c r="T588" s="1">
        <v>2</v>
      </c>
      <c r="U588" s="1">
        <v>10</v>
      </c>
      <c r="V588">
        <f t="shared" si="9"/>
        <v>302</v>
      </c>
    </row>
    <row r="589" spans="1:22" ht="13" x14ac:dyDescent="0.15">
      <c r="A589" s="4">
        <v>44775</v>
      </c>
      <c r="B589" s="5">
        <v>0.74587962962962961</v>
      </c>
      <c r="C589" s="1">
        <v>1518</v>
      </c>
      <c r="D589" s="1">
        <v>13002581</v>
      </c>
      <c r="E589" s="1">
        <v>13</v>
      </c>
      <c r="F589" s="1">
        <v>22589</v>
      </c>
      <c r="G589" s="1" t="s">
        <v>21</v>
      </c>
      <c r="H589" s="1">
        <v>15</v>
      </c>
      <c r="I589" s="1">
        <v>374143</v>
      </c>
      <c r="J589" s="1" t="s">
        <v>669</v>
      </c>
      <c r="K589" s="1" t="s">
        <v>466</v>
      </c>
      <c r="L589" s="1" t="s">
        <v>248</v>
      </c>
      <c r="M589" s="1">
        <v>1</v>
      </c>
      <c r="N589" s="2">
        <v>102.08</v>
      </c>
      <c r="O589" s="3">
        <v>122</v>
      </c>
      <c r="P589" s="1">
        <v>0</v>
      </c>
      <c r="Q589" s="1" t="s">
        <v>25</v>
      </c>
      <c r="R589" s="1" t="s">
        <v>25</v>
      </c>
      <c r="S589" s="1">
        <v>29</v>
      </c>
      <c r="T589" s="1">
        <v>2</v>
      </c>
      <c r="U589" s="1">
        <v>9</v>
      </c>
      <c r="V589">
        <f t="shared" si="9"/>
        <v>122</v>
      </c>
    </row>
    <row r="590" spans="1:22" ht="13" x14ac:dyDescent="0.15">
      <c r="A590" s="4">
        <v>44775</v>
      </c>
      <c r="B590" s="5">
        <v>0.74587962962962961</v>
      </c>
      <c r="C590" s="1">
        <v>1518</v>
      </c>
      <c r="D590" s="1">
        <v>13002581</v>
      </c>
      <c r="E590" s="1">
        <v>13</v>
      </c>
      <c r="F590" s="1">
        <v>22589</v>
      </c>
      <c r="G590" s="1" t="s">
        <v>21</v>
      </c>
      <c r="H590" s="1">
        <v>15</v>
      </c>
      <c r="I590" s="1">
        <v>342299</v>
      </c>
      <c r="J590" s="1" t="s">
        <v>670</v>
      </c>
      <c r="K590" s="1" t="s">
        <v>466</v>
      </c>
      <c r="L590" s="1" t="s">
        <v>230</v>
      </c>
      <c r="M590" s="1">
        <v>1</v>
      </c>
      <c r="N590" s="2">
        <v>43.89</v>
      </c>
      <c r="O590" s="3">
        <v>46</v>
      </c>
      <c r="P590" s="1">
        <v>0</v>
      </c>
      <c r="Q590" s="1" t="s">
        <v>25</v>
      </c>
      <c r="R590" s="1" t="s">
        <v>25</v>
      </c>
      <c r="S590" s="1">
        <v>29</v>
      </c>
      <c r="T590" s="1">
        <v>2</v>
      </c>
      <c r="U590" s="1">
        <v>2</v>
      </c>
      <c r="V590">
        <f t="shared" si="9"/>
        <v>46</v>
      </c>
    </row>
    <row r="591" spans="1:22" ht="13" x14ac:dyDescent="0.15">
      <c r="A591" s="4">
        <v>44775</v>
      </c>
      <c r="B591" s="5">
        <v>0.74587962962962961</v>
      </c>
      <c r="C591" s="1">
        <v>1518</v>
      </c>
      <c r="D591" s="1">
        <v>13002581</v>
      </c>
      <c r="E591" s="1">
        <v>13</v>
      </c>
      <c r="F591" s="1">
        <v>22589</v>
      </c>
      <c r="G591" s="1" t="s">
        <v>21</v>
      </c>
      <c r="H591" s="1">
        <v>15</v>
      </c>
      <c r="I591" s="1">
        <v>342299</v>
      </c>
      <c r="J591" s="1" t="s">
        <v>670</v>
      </c>
      <c r="K591" s="1" t="s">
        <v>466</v>
      </c>
      <c r="L591" s="1" t="s">
        <v>230</v>
      </c>
      <c r="M591" s="1">
        <v>1</v>
      </c>
      <c r="N591" s="2">
        <v>43.89</v>
      </c>
      <c r="O591" s="3">
        <v>46</v>
      </c>
      <c r="P591" s="1">
        <v>0</v>
      </c>
      <c r="Q591" s="1" t="s">
        <v>25</v>
      </c>
      <c r="R591" s="1" t="s">
        <v>25</v>
      </c>
      <c r="S591" s="1">
        <v>29</v>
      </c>
      <c r="T591" s="1">
        <v>2</v>
      </c>
      <c r="U591" s="1">
        <v>3</v>
      </c>
      <c r="V591">
        <f t="shared" si="9"/>
        <v>46</v>
      </c>
    </row>
    <row r="592" spans="1:22" ht="13" x14ac:dyDescent="0.15">
      <c r="A592" s="4">
        <v>44775</v>
      </c>
      <c r="B592" s="5">
        <v>0.74587962962962961</v>
      </c>
      <c r="C592" s="1">
        <v>1518</v>
      </c>
      <c r="D592" s="1">
        <v>13002581</v>
      </c>
      <c r="E592" s="1">
        <v>13</v>
      </c>
      <c r="F592" s="1">
        <v>22589</v>
      </c>
      <c r="G592" s="1" t="s">
        <v>21</v>
      </c>
      <c r="H592" s="1">
        <v>15</v>
      </c>
      <c r="I592" s="1">
        <v>342299</v>
      </c>
      <c r="J592" s="1" t="s">
        <v>670</v>
      </c>
      <c r="K592" s="1" t="s">
        <v>466</v>
      </c>
      <c r="L592" s="1" t="s">
        <v>230</v>
      </c>
      <c r="M592" s="1">
        <v>1</v>
      </c>
      <c r="N592" s="2">
        <v>43.89</v>
      </c>
      <c r="O592" s="3">
        <v>46</v>
      </c>
      <c r="P592" s="1">
        <v>0</v>
      </c>
      <c r="Q592" s="1" t="s">
        <v>25</v>
      </c>
      <c r="R592" s="1" t="s">
        <v>25</v>
      </c>
      <c r="S592" s="1">
        <v>29</v>
      </c>
      <c r="T592" s="1">
        <v>2</v>
      </c>
      <c r="U592" s="1">
        <v>4</v>
      </c>
      <c r="V592">
        <f t="shared" si="9"/>
        <v>46</v>
      </c>
    </row>
    <row r="593" spans="1:22" ht="13" x14ac:dyDescent="0.15">
      <c r="A593" s="4">
        <v>44775</v>
      </c>
      <c r="B593" s="5">
        <v>0.74587962962962961</v>
      </c>
      <c r="C593" s="1">
        <v>1518</v>
      </c>
      <c r="D593" s="1">
        <v>13002581</v>
      </c>
      <c r="E593" s="1">
        <v>13</v>
      </c>
      <c r="F593" s="1">
        <v>22589</v>
      </c>
      <c r="G593" s="1" t="s">
        <v>21</v>
      </c>
      <c r="H593" s="1">
        <v>15</v>
      </c>
      <c r="I593" s="1">
        <v>342299</v>
      </c>
      <c r="J593" s="1" t="s">
        <v>670</v>
      </c>
      <c r="K593" s="1" t="s">
        <v>466</v>
      </c>
      <c r="L593" s="1" t="s">
        <v>230</v>
      </c>
      <c r="M593" s="1">
        <v>1</v>
      </c>
      <c r="N593" s="2">
        <v>43.89</v>
      </c>
      <c r="O593" s="3">
        <v>46</v>
      </c>
      <c r="P593" s="1">
        <v>0</v>
      </c>
      <c r="Q593" s="1" t="s">
        <v>25</v>
      </c>
      <c r="R593" s="1" t="s">
        <v>25</v>
      </c>
      <c r="S593" s="1">
        <v>29</v>
      </c>
      <c r="T593" s="1">
        <v>2</v>
      </c>
      <c r="U593" s="1">
        <v>5</v>
      </c>
      <c r="V593">
        <f t="shared" si="9"/>
        <v>46</v>
      </c>
    </row>
    <row r="594" spans="1:22" ht="13" x14ac:dyDescent="0.15">
      <c r="A594" s="4">
        <v>44775</v>
      </c>
      <c r="B594" s="5">
        <v>0.74587962962962961</v>
      </c>
      <c r="C594" s="1">
        <v>1518</v>
      </c>
      <c r="D594" s="1">
        <v>13002581</v>
      </c>
      <c r="E594" s="1">
        <v>13</v>
      </c>
      <c r="F594" s="1">
        <v>22589</v>
      </c>
      <c r="G594" s="1" t="s">
        <v>21</v>
      </c>
      <c r="H594" s="1">
        <v>15</v>
      </c>
      <c r="I594" s="1">
        <v>342299</v>
      </c>
      <c r="J594" s="1" t="s">
        <v>670</v>
      </c>
      <c r="K594" s="1" t="s">
        <v>466</v>
      </c>
      <c r="L594" s="1" t="s">
        <v>230</v>
      </c>
      <c r="M594" s="1">
        <v>1</v>
      </c>
      <c r="N594" s="2">
        <v>43.89</v>
      </c>
      <c r="O594" s="3">
        <v>46</v>
      </c>
      <c r="P594" s="1">
        <v>0</v>
      </c>
      <c r="Q594" s="1" t="s">
        <v>25</v>
      </c>
      <c r="R594" s="1" t="s">
        <v>25</v>
      </c>
      <c r="S594" s="1">
        <v>29</v>
      </c>
      <c r="T594" s="1">
        <v>2</v>
      </c>
      <c r="U594" s="1">
        <v>6</v>
      </c>
      <c r="V594">
        <f t="shared" si="9"/>
        <v>46</v>
      </c>
    </row>
    <row r="595" spans="1:22" ht="13" x14ac:dyDescent="0.15">
      <c r="A595" s="4">
        <v>44775</v>
      </c>
      <c r="B595" s="5">
        <v>0.74587962962962961</v>
      </c>
      <c r="C595" s="1">
        <v>1518</v>
      </c>
      <c r="D595" s="1">
        <v>13002581</v>
      </c>
      <c r="E595" s="1">
        <v>13</v>
      </c>
      <c r="F595" s="1">
        <v>22589</v>
      </c>
      <c r="G595" s="1" t="s">
        <v>21</v>
      </c>
      <c r="H595" s="1">
        <v>15</v>
      </c>
      <c r="I595" s="1">
        <v>397305</v>
      </c>
      <c r="J595" s="1" t="s">
        <v>671</v>
      </c>
      <c r="K595" s="1" t="s">
        <v>466</v>
      </c>
      <c r="L595" s="1" t="s">
        <v>672</v>
      </c>
      <c r="M595" s="1">
        <v>1</v>
      </c>
      <c r="N595" s="2">
        <v>132.72</v>
      </c>
      <c r="O595" s="3">
        <v>139</v>
      </c>
      <c r="P595" s="1">
        <v>0</v>
      </c>
      <c r="Q595" s="1" t="s">
        <v>25</v>
      </c>
      <c r="R595" s="1" t="s">
        <v>25</v>
      </c>
      <c r="S595" s="1">
        <v>29</v>
      </c>
      <c r="T595" s="1">
        <v>2</v>
      </c>
      <c r="U595" s="1">
        <v>7</v>
      </c>
      <c r="V595">
        <f t="shared" si="9"/>
        <v>139</v>
      </c>
    </row>
    <row r="596" spans="1:22" ht="13" x14ac:dyDescent="0.15">
      <c r="A596" s="4">
        <v>44775</v>
      </c>
      <c r="B596" s="5">
        <v>0.74587962962962961</v>
      </c>
      <c r="C596" s="1">
        <v>1518</v>
      </c>
      <c r="D596" s="1">
        <v>13002581</v>
      </c>
      <c r="E596" s="1">
        <v>13</v>
      </c>
      <c r="F596" s="1">
        <v>22589</v>
      </c>
      <c r="G596" s="1" t="s">
        <v>21</v>
      </c>
      <c r="H596" s="1">
        <v>15</v>
      </c>
      <c r="I596" s="1">
        <v>105480</v>
      </c>
      <c r="J596" s="1" t="s">
        <v>551</v>
      </c>
      <c r="K596" s="1" t="s">
        <v>466</v>
      </c>
      <c r="L596" s="1" t="s">
        <v>59</v>
      </c>
      <c r="M596" s="1">
        <v>1</v>
      </c>
      <c r="N596" s="2">
        <v>853.6</v>
      </c>
      <c r="O596" s="3">
        <v>893.89</v>
      </c>
      <c r="P596" s="1">
        <v>0</v>
      </c>
      <c r="Q596" s="1" t="s">
        <v>25</v>
      </c>
      <c r="R596" s="1" t="s">
        <v>25</v>
      </c>
      <c r="S596" s="1">
        <v>29</v>
      </c>
      <c r="T596" s="1">
        <v>2</v>
      </c>
      <c r="U596" s="1">
        <v>8</v>
      </c>
      <c r="V596">
        <f t="shared" si="9"/>
        <v>893.89</v>
      </c>
    </row>
    <row r="597" spans="1:22" ht="13" x14ac:dyDescent="0.15">
      <c r="A597" s="4">
        <v>44775</v>
      </c>
      <c r="B597" s="5">
        <v>0.74587962962962961</v>
      </c>
      <c r="C597" s="1">
        <v>1518</v>
      </c>
      <c r="D597" s="1">
        <v>13002581</v>
      </c>
      <c r="E597" s="1">
        <v>13</v>
      </c>
      <c r="F597" s="1">
        <v>22589</v>
      </c>
      <c r="G597" s="1" t="s">
        <v>21</v>
      </c>
      <c r="H597" s="1">
        <v>15</v>
      </c>
      <c r="I597" s="1">
        <v>74656</v>
      </c>
      <c r="J597" s="1" t="s">
        <v>198</v>
      </c>
      <c r="K597" s="1" t="s">
        <v>466</v>
      </c>
      <c r="L597" s="1" t="s">
        <v>76</v>
      </c>
      <c r="M597" s="1">
        <v>1</v>
      </c>
      <c r="N597" s="2">
        <v>402.27</v>
      </c>
      <c r="O597" s="3">
        <v>421.31</v>
      </c>
      <c r="P597" s="1">
        <v>0</v>
      </c>
      <c r="Q597" s="1" t="s">
        <v>25</v>
      </c>
      <c r="R597" s="1" t="s">
        <v>25</v>
      </c>
      <c r="S597" s="1">
        <v>29</v>
      </c>
      <c r="T597" s="1">
        <v>2</v>
      </c>
      <c r="U597" s="1">
        <v>1</v>
      </c>
      <c r="V597">
        <f t="shared" si="9"/>
        <v>421.31</v>
      </c>
    </row>
    <row r="598" spans="1:22" ht="13" x14ac:dyDescent="0.15">
      <c r="A598" s="4">
        <v>44775</v>
      </c>
      <c r="B598" s="5">
        <v>0.74704861111111109</v>
      </c>
      <c r="C598" s="1">
        <v>1519</v>
      </c>
      <c r="D598" s="1">
        <v>13002581</v>
      </c>
      <c r="E598" s="1">
        <v>13</v>
      </c>
      <c r="F598" s="1">
        <v>22589</v>
      </c>
      <c r="G598" s="1" t="s">
        <v>21</v>
      </c>
      <c r="H598" s="1">
        <v>18</v>
      </c>
      <c r="I598" s="1">
        <v>450544</v>
      </c>
      <c r="J598" s="1" t="s">
        <v>673</v>
      </c>
      <c r="K598" s="1" t="s">
        <v>117</v>
      </c>
      <c r="L598" s="1" t="s">
        <v>383</v>
      </c>
      <c r="M598" s="1">
        <v>1</v>
      </c>
      <c r="N598" s="2">
        <v>26.39</v>
      </c>
      <c r="O598" s="3">
        <v>41</v>
      </c>
      <c r="P598" s="1">
        <v>0</v>
      </c>
      <c r="Q598" s="1" t="s">
        <v>25</v>
      </c>
      <c r="R598" s="1" t="s">
        <v>25</v>
      </c>
      <c r="S598" s="1">
        <v>29</v>
      </c>
      <c r="T598" s="1">
        <v>1</v>
      </c>
      <c r="U598" s="1">
        <v>2</v>
      </c>
      <c r="V598">
        <f t="shared" si="9"/>
        <v>41</v>
      </c>
    </row>
    <row r="599" spans="1:22" ht="13" x14ac:dyDescent="0.15">
      <c r="A599" s="4">
        <v>44775</v>
      </c>
      <c r="B599" s="5">
        <v>0.74704861111111109</v>
      </c>
      <c r="C599" s="1">
        <v>1519</v>
      </c>
      <c r="D599" s="1">
        <v>13002581</v>
      </c>
      <c r="E599" s="1">
        <v>13</v>
      </c>
      <c r="F599" s="1">
        <v>22589</v>
      </c>
      <c r="G599" s="1" t="s">
        <v>21</v>
      </c>
      <c r="H599" s="1">
        <v>18</v>
      </c>
      <c r="I599" s="1">
        <v>446309</v>
      </c>
      <c r="J599" s="1" t="s">
        <v>674</v>
      </c>
      <c r="K599" s="1" t="s">
        <v>51</v>
      </c>
      <c r="L599" s="1" t="s">
        <v>97</v>
      </c>
      <c r="M599" s="1">
        <v>1</v>
      </c>
      <c r="N599" s="2">
        <v>16.3</v>
      </c>
      <c r="O599" s="3">
        <v>25</v>
      </c>
      <c r="P599" s="1">
        <v>0</v>
      </c>
      <c r="Q599" s="1" t="s">
        <v>25</v>
      </c>
      <c r="R599" s="1" t="s">
        <v>25</v>
      </c>
      <c r="S599" s="1">
        <v>29</v>
      </c>
      <c r="T599" s="1">
        <v>1</v>
      </c>
      <c r="U599" s="1">
        <v>1</v>
      </c>
      <c r="V599">
        <f t="shared" si="9"/>
        <v>25</v>
      </c>
    </row>
    <row r="600" spans="1:22" ht="13" x14ac:dyDescent="0.15">
      <c r="A600" s="4">
        <v>44775</v>
      </c>
      <c r="B600" s="5">
        <v>0.74813657407407408</v>
      </c>
      <c r="C600" s="1">
        <v>1520</v>
      </c>
      <c r="D600" s="1">
        <v>13002581</v>
      </c>
      <c r="E600" s="1">
        <v>13</v>
      </c>
      <c r="F600" s="1">
        <v>22589</v>
      </c>
      <c r="G600" s="1" t="s">
        <v>21</v>
      </c>
      <c r="H600" s="1">
        <v>15</v>
      </c>
      <c r="I600" s="1">
        <v>39338</v>
      </c>
      <c r="J600" s="1" t="s">
        <v>675</v>
      </c>
      <c r="K600" s="1" t="s">
        <v>51</v>
      </c>
      <c r="L600" s="1" t="s">
        <v>269</v>
      </c>
      <c r="M600" s="1">
        <v>1</v>
      </c>
      <c r="N600" s="2">
        <v>16.78</v>
      </c>
      <c r="O600" s="3">
        <v>28</v>
      </c>
      <c r="P600" s="1">
        <v>0</v>
      </c>
      <c r="Q600" s="1" t="s">
        <v>25</v>
      </c>
      <c r="R600" s="1" t="s">
        <v>25</v>
      </c>
      <c r="S600" s="1">
        <v>29</v>
      </c>
      <c r="T600" s="1">
        <v>1</v>
      </c>
      <c r="U600" s="1">
        <v>1</v>
      </c>
      <c r="V600">
        <f t="shared" si="9"/>
        <v>28</v>
      </c>
    </row>
    <row r="601" spans="1:22" ht="13" x14ac:dyDescent="0.15">
      <c r="A601" s="4">
        <v>44775</v>
      </c>
      <c r="B601" s="5">
        <v>0.74813657407407408</v>
      </c>
      <c r="C601" s="1">
        <v>1520</v>
      </c>
      <c r="D601" s="1">
        <v>13002581</v>
      </c>
      <c r="E601" s="1">
        <v>13</v>
      </c>
      <c r="F601" s="1">
        <v>22589</v>
      </c>
      <c r="G601" s="1" t="s">
        <v>21</v>
      </c>
      <c r="H601" s="1">
        <v>15</v>
      </c>
      <c r="I601" s="1">
        <v>19546</v>
      </c>
      <c r="J601" s="1" t="s">
        <v>676</v>
      </c>
      <c r="K601" s="1" t="s">
        <v>51</v>
      </c>
      <c r="L601" s="1" t="s">
        <v>32</v>
      </c>
      <c r="M601" s="1">
        <v>1</v>
      </c>
      <c r="N601" s="2">
        <v>25.81</v>
      </c>
      <c r="O601" s="3">
        <v>32</v>
      </c>
      <c r="P601" s="1">
        <v>0</v>
      </c>
      <c r="Q601" s="1" t="s">
        <v>25</v>
      </c>
      <c r="R601" s="1" t="s">
        <v>25</v>
      </c>
      <c r="S601" s="1">
        <v>29</v>
      </c>
      <c r="T601" s="1">
        <v>1</v>
      </c>
      <c r="U601" s="1">
        <v>2</v>
      </c>
      <c r="V601">
        <f t="shared" si="9"/>
        <v>32</v>
      </c>
    </row>
    <row r="602" spans="1:22" ht="13" x14ac:dyDescent="0.15">
      <c r="A602" s="4">
        <v>44775</v>
      </c>
      <c r="B602" s="5">
        <v>0.7515856481481481</v>
      </c>
      <c r="C602" s="1">
        <v>1521</v>
      </c>
      <c r="D602" s="1">
        <v>13002581</v>
      </c>
      <c r="E602" s="1">
        <v>13</v>
      </c>
      <c r="F602" s="1">
        <v>22589</v>
      </c>
      <c r="G602" s="1" t="s">
        <v>21</v>
      </c>
      <c r="H602" s="1">
        <v>18</v>
      </c>
      <c r="I602" s="1">
        <v>79980</v>
      </c>
      <c r="J602" s="1" t="s">
        <v>677</v>
      </c>
      <c r="K602" s="1" t="s">
        <v>51</v>
      </c>
      <c r="L602" s="1" t="s">
        <v>216</v>
      </c>
      <c r="M602" s="1">
        <v>1</v>
      </c>
      <c r="N602" s="2">
        <v>82.51</v>
      </c>
      <c r="O602" s="3">
        <v>102</v>
      </c>
      <c r="P602" s="1">
        <v>0</v>
      </c>
      <c r="Q602" s="1" t="s">
        <v>25</v>
      </c>
      <c r="R602" s="1" t="s">
        <v>25</v>
      </c>
      <c r="S602" s="1">
        <v>29</v>
      </c>
      <c r="T602" s="1">
        <v>1</v>
      </c>
      <c r="U602" s="1">
        <v>1</v>
      </c>
      <c r="V602">
        <f t="shared" si="9"/>
        <v>102</v>
      </c>
    </row>
    <row r="603" spans="1:22" ht="13" x14ac:dyDescent="0.15">
      <c r="A603" s="4">
        <v>44775</v>
      </c>
      <c r="B603" s="5">
        <v>0.75609953703703703</v>
      </c>
      <c r="C603" s="1">
        <v>1522</v>
      </c>
      <c r="D603" s="1">
        <v>13002581</v>
      </c>
      <c r="E603" s="1">
        <v>13</v>
      </c>
      <c r="F603" s="1">
        <v>22589</v>
      </c>
      <c r="G603" s="1" t="s">
        <v>21</v>
      </c>
      <c r="H603" s="1">
        <v>18</v>
      </c>
      <c r="I603" s="1">
        <v>321882</v>
      </c>
      <c r="J603" s="1" t="s">
        <v>678</v>
      </c>
      <c r="K603" s="1" t="s">
        <v>466</v>
      </c>
      <c r="L603" s="1" t="s">
        <v>679</v>
      </c>
      <c r="M603" s="1">
        <v>1</v>
      </c>
      <c r="N603" s="2">
        <v>1629.21</v>
      </c>
      <c r="O603" s="3">
        <v>1706</v>
      </c>
      <c r="P603" s="1">
        <v>0</v>
      </c>
      <c r="Q603" s="1" t="s">
        <v>25</v>
      </c>
      <c r="R603" s="1" t="s">
        <v>25</v>
      </c>
      <c r="S603" s="1">
        <v>29</v>
      </c>
      <c r="T603" s="1">
        <v>2</v>
      </c>
      <c r="U603" s="1">
        <v>1</v>
      </c>
      <c r="V603">
        <f t="shared" si="9"/>
        <v>1706</v>
      </c>
    </row>
    <row r="604" spans="1:22" ht="13" x14ac:dyDescent="0.15">
      <c r="A604" s="4">
        <v>44775</v>
      </c>
      <c r="B604" s="5">
        <v>0.75609953703703703</v>
      </c>
      <c r="C604" s="1">
        <v>1522</v>
      </c>
      <c r="D604" s="1">
        <v>13002581</v>
      </c>
      <c r="E604" s="1">
        <v>13</v>
      </c>
      <c r="F604" s="1">
        <v>22589</v>
      </c>
      <c r="G604" s="1" t="s">
        <v>21</v>
      </c>
      <c r="H604" s="1">
        <v>18</v>
      </c>
      <c r="I604" s="1">
        <v>267844</v>
      </c>
      <c r="J604" s="1" t="s">
        <v>680</v>
      </c>
      <c r="K604" s="1" t="s">
        <v>466</v>
      </c>
      <c r="L604" s="1" t="s">
        <v>415</v>
      </c>
      <c r="M604" s="1">
        <v>1</v>
      </c>
      <c r="N604" s="2">
        <v>323.73</v>
      </c>
      <c r="O604" s="3">
        <v>339</v>
      </c>
      <c r="P604" s="1">
        <v>0</v>
      </c>
      <c r="Q604" s="1" t="s">
        <v>25</v>
      </c>
      <c r="R604" s="1" t="s">
        <v>25</v>
      </c>
      <c r="S604" s="1">
        <v>29</v>
      </c>
      <c r="T604" s="1">
        <v>2</v>
      </c>
      <c r="U604" s="1">
        <v>2</v>
      </c>
      <c r="V604">
        <f t="shared" si="9"/>
        <v>339</v>
      </c>
    </row>
    <row r="605" spans="1:22" ht="13" x14ac:dyDescent="0.15">
      <c r="A605" s="4">
        <v>44775</v>
      </c>
      <c r="B605" s="5">
        <v>0.75964120370370369</v>
      </c>
      <c r="C605" s="1">
        <v>1523</v>
      </c>
      <c r="D605" s="1">
        <v>13002581</v>
      </c>
      <c r="E605" s="1">
        <v>13</v>
      </c>
      <c r="F605" s="1">
        <v>22589</v>
      </c>
      <c r="G605" s="1" t="s">
        <v>21</v>
      </c>
      <c r="H605" s="1">
        <v>15</v>
      </c>
      <c r="I605" s="1">
        <v>313917</v>
      </c>
      <c r="J605" s="1" t="s">
        <v>681</v>
      </c>
      <c r="K605" s="1" t="s">
        <v>23</v>
      </c>
      <c r="L605" s="1" t="s">
        <v>37</v>
      </c>
      <c r="M605" s="1">
        <v>1</v>
      </c>
      <c r="N605" s="2">
        <v>205.99</v>
      </c>
      <c r="O605" s="3">
        <v>279</v>
      </c>
      <c r="P605" s="1">
        <v>0</v>
      </c>
      <c r="Q605" s="1" t="s">
        <v>25</v>
      </c>
      <c r="R605" s="1" t="s">
        <v>25</v>
      </c>
      <c r="S605" s="1">
        <v>29</v>
      </c>
      <c r="T605" s="1">
        <v>1</v>
      </c>
      <c r="U605" s="1">
        <v>1</v>
      </c>
      <c r="V605">
        <f t="shared" si="9"/>
        <v>279</v>
      </c>
    </row>
    <row r="606" spans="1:22" ht="13" x14ac:dyDescent="0.15">
      <c r="A606" s="4">
        <v>44775</v>
      </c>
      <c r="B606" s="5">
        <v>0.76310185185185186</v>
      </c>
      <c r="C606" s="1">
        <v>1524</v>
      </c>
      <c r="D606" s="1">
        <v>13002581</v>
      </c>
      <c r="E606" s="1">
        <v>13</v>
      </c>
      <c r="F606" s="1">
        <v>22589</v>
      </c>
      <c r="G606" s="1" t="s">
        <v>21</v>
      </c>
      <c r="H606" s="1">
        <v>18</v>
      </c>
      <c r="I606" s="1">
        <v>528004</v>
      </c>
      <c r="J606" s="1" t="s">
        <v>47</v>
      </c>
      <c r="K606" s="1" t="s">
        <v>48</v>
      </c>
      <c r="L606" s="1" t="s">
        <v>49</v>
      </c>
      <c r="M606" s="1">
        <v>2</v>
      </c>
      <c r="N606" s="2">
        <v>35.520000000000003</v>
      </c>
      <c r="O606" s="3">
        <v>58</v>
      </c>
      <c r="P606" s="1">
        <v>0</v>
      </c>
      <c r="Q606" s="1" t="s">
        <v>25</v>
      </c>
      <c r="R606" s="1" t="s">
        <v>25</v>
      </c>
      <c r="S606" s="1">
        <v>29</v>
      </c>
      <c r="T606" s="1">
        <v>1</v>
      </c>
      <c r="U606" s="1">
        <v>1</v>
      </c>
      <c r="V606">
        <f t="shared" si="9"/>
        <v>116</v>
      </c>
    </row>
    <row r="607" spans="1:22" ht="13" x14ac:dyDescent="0.15">
      <c r="A607" s="4">
        <v>44775</v>
      </c>
      <c r="B607" s="5">
        <v>0.77778935185185183</v>
      </c>
      <c r="C607" s="1">
        <v>1525</v>
      </c>
      <c r="D607" s="1">
        <v>13002581</v>
      </c>
      <c r="E607" s="1">
        <v>13</v>
      </c>
      <c r="F607" s="1">
        <v>22589</v>
      </c>
      <c r="G607" s="1" t="s">
        <v>21</v>
      </c>
      <c r="H607" s="1">
        <v>18</v>
      </c>
      <c r="I607" s="1">
        <v>24992</v>
      </c>
      <c r="J607" s="1" t="s">
        <v>682</v>
      </c>
      <c r="K607" s="1" t="s">
        <v>51</v>
      </c>
      <c r="L607" s="1" t="s">
        <v>377</v>
      </c>
      <c r="M607" s="1">
        <v>0.33333332999999998</v>
      </c>
      <c r="N607" s="2">
        <v>1209.3</v>
      </c>
      <c r="O607" s="3">
        <v>1512</v>
      </c>
      <c r="P607" s="1">
        <v>0</v>
      </c>
      <c r="Q607" s="1" t="s">
        <v>25</v>
      </c>
      <c r="R607" s="1" t="s">
        <v>25</v>
      </c>
      <c r="S607" s="1">
        <v>29</v>
      </c>
      <c r="T607" s="1">
        <v>1</v>
      </c>
      <c r="U607" s="1">
        <v>2</v>
      </c>
      <c r="V607">
        <f t="shared" si="9"/>
        <v>503.99999495999998</v>
      </c>
    </row>
    <row r="608" spans="1:22" ht="13" x14ac:dyDescent="0.15">
      <c r="A608" s="4">
        <v>44775</v>
      </c>
      <c r="B608" s="5">
        <v>0.77778935185185183</v>
      </c>
      <c r="C608" s="1">
        <v>1525</v>
      </c>
      <c r="D608" s="1">
        <v>13002581</v>
      </c>
      <c r="E608" s="1">
        <v>13</v>
      </c>
      <c r="F608" s="1">
        <v>22589</v>
      </c>
      <c r="G608" s="1" t="s">
        <v>21</v>
      </c>
      <c r="H608" s="1">
        <v>18</v>
      </c>
      <c r="I608" s="1">
        <v>1504331</v>
      </c>
      <c r="J608" s="1" t="s">
        <v>143</v>
      </c>
      <c r="K608" s="1" t="s">
        <v>144</v>
      </c>
      <c r="L608" s="1" t="s">
        <v>377</v>
      </c>
      <c r="M608" s="1">
        <v>1</v>
      </c>
      <c r="N608" s="2">
        <v>0.01</v>
      </c>
      <c r="O608" s="3">
        <v>0.01</v>
      </c>
      <c r="P608" s="1">
        <v>0</v>
      </c>
      <c r="Q608" s="1" t="s">
        <v>25</v>
      </c>
      <c r="R608" s="1" t="s">
        <v>25</v>
      </c>
      <c r="S608" s="1">
        <v>29</v>
      </c>
      <c r="T608" s="1">
        <v>1</v>
      </c>
      <c r="U608" s="1">
        <v>1</v>
      </c>
      <c r="V608">
        <f t="shared" si="9"/>
        <v>0.01</v>
      </c>
    </row>
    <row r="609" spans="1:22" ht="13" x14ac:dyDescent="0.15">
      <c r="A609" s="4">
        <v>44775</v>
      </c>
      <c r="B609" s="5">
        <v>0.77998842592592588</v>
      </c>
      <c r="C609" s="1">
        <v>1526</v>
      </c>
      <c r="D609" s="1">
        <v>13002581</v>
      </c>
      <c r="E609" s="1">
        <v>13</v>
      </c>
      <c r="F609" s="1">
        <v>22589</v>
      </c>
      <c r="G609" s="1" t="s">
        <v>21</v>
      </c>
      <c r="H609" s="1">
        <v>15</v>
      </c>
      <c r="I609" s="1">
        <v>72603</v>
      </c>
      <c r="J609" s="1" t="s">
        <v>268</v>
      </c>
      <c r="K609" s="1" t="s">
        <v>51</v>
      </c>
      <c r="L609" s="1" t="s">
        <v>269</v>
      </c>
      <c r="M609" s="1">
        <v>1</v>
      </c>
      <c r="N609" s="2">
        <v>29.11</v>
      </c>
      <c r="O609" s="3">
        <v>48</v>
      </c>
      <c r="P609" s="1">
        <v>4</v>
      </c>
      <c r="Q609" s="1">
        <v>9</v>
      </c>
      <c r="R609" s="1">
        <v>200010003645</v>
      </c>
      <c r="S609" s="1">
        <v>29</v>
      </c>
      <c r="T609" s="1">
        <v>1</v>
      </c>
      <c r="U609" s="1">
        <v>1</v>
      </c>
      <c r="V609">
        <f t="shared" si="9"/>
        <v>48</v>
      </c>
    </row>
    <row r="610" spans="1:22" ht="13" x14ac:dyDescent="0.15">
      <c r="A610" s="4">
        <v>44775</v>
      </c>
      <c r="B610" s="5">
        <v>0.77998842592592588</v>
      </c>
      <c r="C610" s="1">
        <v>1526</v>
      </c>
      <c r="D610" s="1">
        <v>13002581</v>
      </c>
      <c r="E610" s="1">
        <v>13</v>
      </c>
      <c r="F610" s="1">
        <v>22589</v>
      </c>
      <c r="G610" s="1" t="s">
        <v>21</v>
      </c>
      <c r="H610" s="1">
        <v>15</v>
      </c>
      <c r="I610" s="1">
        <v>9597</v>
      </c>
      <c r="J610" s="1" t="s">
        <v>683</v>
      </c>
      <c r="K610" s="1" t="s">
        <v>45</v>
      </c>
      <c r="L610" s="1" t="s">
        <v>377</v>
      </c>
      <c r="M610" s="1">
        <v>1</v>
      </c>
      <c r="N610" s="2">
        <v>188.96</v>
      </c>
      <c r="O610" s="3">
        <v>224</v>
      </c>
      <c r="P610" s="1">
        <v>11</v>
      </c>
      <c r="Q610" s="1">
        <v>9</v>
      </c>
      <c r="R610" s="1">
        <v>200010003645</v>
      </c>
      <c r="S610" s="1">
        <v>29</v>
      </c>
      <c r="T610" s="1">
        <v>1</v>
      </c>
      <c r="U610" s="1">
        <v>2</v>
      </c>
      <c r="V610">
        <f t="shared" si="9"/>
        <v>224</v>
      </c>
    </row>
    <row r="611" spans="1:22" ht="13" x14ac:dyDescent="0.15">
      <c r="A611" s="4">
        <v>44775</v>
      </c>
      <c r="B611" s="5">
        <v>0.78771990740740738</v>
      </c>
      <c r="C611" s="1">
        <v>1527</v>
      </c>
      <c r="D611" s="1">
        <v>13002581</v>
      </c>
      <c r="E611" s="1">
        <v>13</v>
      </c>
      <c r="F611" s="1">
        <v>22589</v>
      </c>
      <c r="G611" s="1" t="s">
        <v>21</v>
      </c>
      <c r="H611" s="1">
        <v>18</v>
      </c>
      <c r="I611" s="1">
        <v>88142</v>
      </c>
      <c r="J611" s="1" t="s">
        <v>684</v>
      </c>
      <c r="K611" s="1" t="s">
        <v>58</v>
      </c>
      <c r="L611" s="1" t="s">
        <v>685</v>
      </c>
      <c r="M611" s="1">
        <v>1</v>
      </c>
      <c r="N611" s="2">
        <v>145.5</v>
      </c>
      <c r="O611" s="3">
        <v>226</v>
      </c>
      <c r="P611" s="1">
        <v>22</v>
      </c>
      <c r="Q611" s="1">
        <v>9</v>
      </c>
      <c r="R611" s="1">
        <v>200010020455</v>
      </c>
      <c r="S611" s="1">
        <v>29</v>
      </c>
      <c r="T611" s="1">
        <v>1</v>
      </c>
      <c r="U611" s="1">
        <v>4</v>
      </c>
      <c r="V611">
        <f t="shared" si="9"/>
        <v>226</v>
      </c>
    </row>
    <row r="612" spans="1:22" ht="13" x14ac:dyDescent="0.15">
      <c r="A612" s="4">
        <v>44775</v>
      </c>
      <c r="B612" s="5">
        <v>0.78771990740740738</v>
      </c>
      <c r="C612" s="1">
        <v>1527</v>
      </c>
      <c r="D612" s="1">
        <v>13002581</v>
      </c>
      <c r="E612" s="1">
        <v>13</v>
      </c>
      <c r="F612" s="1">
        <v>22589</v>
      </c>
      <c r="G612" s="1" t="s">
        <v>21</v>
      </c>
      <c r="H612" s="1">
        <v>18</v>
      </c>
      <c r="I612" s="1">
        <v>267627</v>
      </c>
      <c r="J612" s="1" t="s">
        <v>686</v>
      </c>
      <c r="K612" s="1" t="s">
        <v>51</v>
      </c>
      <c r="L612" s="1" t="s">
        <v>295</v>
      </c>
      <c r="M612" s="1">
        <v>1</v>
      </c>
      <c r="N612" s="2">
        <v>798.64</v>
      </c>
      <c r="O612" s="3">
        <v>935</v>
      </c>
      <c r="P612" s="1">
        <v>93</v>
      </c>
      <c r="Q612" s="1">
        <v>9</v>
      </c>
      <c r="R612" s="1">
        <v>200010020455</v>
      </c>
      <c r="S612" s="1">
        <v>29</v>
      </c>
      <c r="T612" s="1">
        <v>1</v>
      </c>
      <c r="U612" s="1">
        <v>3</v>
      </c>
      <c r="V612">
        <f t="shared" si="9"/>
        <v>935</v>
      </c>
    </row>
    <row r="613" spans="1:22" ht="13" x14ac:dyDescent="0.15">
      <c r="A613" s="4">
        <v>44775</v>
      </c>
      <c r="B613" s="5">
        <v>0.78771990740740738</v>
      </c>
      <c r="C613" s="1">
        <v>1527</v>
      </c>
      <c r="D613" s="1">
        <v>13002581</v>
      </c>
      <c r="E613" s="1">
        <v>13</v>
      </c>
      <c r="F613" s="1">
        <v>22589</v>
      </c>
      <c r="G613" s="1" t="s">
        <v>21</v>
      </c>
      <c r="H613" s="1">
        <v>18</v>
      </c>
      <c r="I613" s="1">
        <v>3147</v>
      </c>
      <c r="J613" s="1" t="s">
        <v>687</v>
      </c>
      <c r="K613" s="1" t="s">
        <v>117</v>
      </c>
      <c r="L613" s="1" t="s">
        <v>688</v>
      </c>
      <c r="M613" s="1">
        <v>1</v>
      </c>
      <c r="N613" s="2">
        <v>633.61</v>
      </c>
      <c r="O613" s="3">
        <v>818</v>
      </c>
      <c r="P613" s="1">
        <v>57</v>
      </c>
      <c r="Q613" s="1">
        <v>9</v>
      </c>
      <c r="R613" s="1">
        <v>200010020455</v>
      </c>
      <c r="S613" s="1">
        <v>29</v>
      </c>
      <c r="T613" s="1">
        <v>1</v>
      </c>
      <c r="U613" s="1">
        <v>10</v>
      </c>
      <c r="V613">
        <f t="shared" si="9"/>
        <v>818</v>
      </c>
    </row>
    <row r="614" spans="1:22" ht="13" x14ac:dyDescent="0.15">
      <c r="A614" s="4">
        <v>44775</v>
      </c>
      <c r="B614" s="5">
        <v>0.78771990740740738</v>
      </c>
      <c r="C614" s="1">
        <v>1527</v>
      </c>
      <c r="D614" s="1">
        <v>13002581</v>
      </c>
      <c r="E614" s="1">
        <v>13</v>
      </c>
      <c r="F614" s="1">
        <v>22589</v>
      </c>
      <c r="G614" s="1" t="s">
        <v>21</v>
      </c>
      <c r="H614" s="1">
        <v>18</v>
      </c>
      <c r="I614" s="1">
        <v>2302</v>
      </c>
      <c r="J614" s="1" t="s">
        <v>81</v>
      </c>
      <c r="K614" s="1" t="s">
        <v>61</v>
      </c>
      <c r="L614" s="1" t="s">
        <v>82</v>
      </c>
      <c r="M614" s="1">
        <v>1</v>
      </c>
      <c r="N614" s="2">
        <v>148.28</v>
      </c>
      <c r="O614" s="3">
        <v>174</v>
      </c>
      <c r="P614" s="1">
        <v>8</v>
      </c>
      <c r="Q614" s="1">
        <v>9</v>
      </c>
      <c r="R614" s="1">
        <v>200010020455</v>
      </c>
      <c r="S614" s="1">
        <v>29</v>
      </c>
      <c r="T614" s="1">
        <v>1</v>
      </c>
      <c r="U614" s="1">
        <v>11</v>
      </c>
      <c r="V614">
        <f t="shared" si="9"/>
        <v>174</v>
      </c>
    </row>
    <row r="615" spans="1:22" ht="13" x14ac:dyDescent="0.15">
      <c r="A615" s="4">
        <v>44775</v>
      </c>
      <c r="B615" s="5">
        <v>0.78771990740740738</v>
      </c>
      <c r="C615" s="1">
        <v>1527</v>
      </c>
      <c r="D615" s="1">
        <v>13002581</v>
      </c>
      <c r="E615" s="1">
        <v>13</v>
      </c>
      <c r="F615" s="1">
        <v>22589</v>
      </c>
      <c r="G615" s="1" t="s">
        <v>21</v>
      </c>
      <c r="H615" s="1">
        <v>18</v>
      </c>
      <c r="I615" s="1">
        <v>397294</v>
      </c>
      <c r="J615" s="1" t="s">
        <v>307</v>
      </c>
      <c r="K615" s="1" t="s">
        <v>51</v>
      </c>
      <c r="L615" s="1" t="s">
        <v>76</v>
      </c>
      <c r="M615" s="1">
        <v>1</v>
      </c>
      <c r="N615" s="2">
        <v>361.09</v>
      </c>
      <c r="O615" s="3">
        <v>443</v>
      </c>
      <c r="P615" s="1">
        <v>22</v>
      </c>
      <c r="Q615" s="1">
        <v>9</v>
      </c>
      <c r="R615" s="1">
        <v>200010020455</v>
      </c>
      <c r="S615" s="1">
        <v>29</v>
      </c>
      <c r="T615" s="1">
        <v>1</v>
      </c>
      <c r="U615" s="1">
        <v>7</v>
      </c>
      <c r="V615">
        <f t="shared" si="9"/>
        <v>443</v>
      </c>
    </row>
    <row r="616" spans="1:22" ht="13" x14ac:dyDescent="0.15">
      <c r="A616" s="4">
        <v>44775</v>
      </c>
      <c r="B616" s="5">
        <v>0.78771990740740738</v>
      </c>
      <c r="C616" s="1">
        <v>1527</v>
      </c>
      <c r="D616" s="1">
        <v>13002581</v>
      </c>
      <c r="E616" s="1">
        <v>13</v>
      </c>
      <c r="F616" s="1">
        <v>22589</v>
      </c>
      <c r="G616" s="1" t="s">
        <v>21</v>
      </c>
      <c r="H616" s="1">
        <v>18</v>
      </c>
      <c r="I616" s="1">
        <v>397294</v>
      </c>
      <c r="J616" s="1" t="s">
        <v>307</v>
      </c>
      <c r="K616" s="1" t="s">
        <v>51</v>
      </c>
      <c r="L616" s="1" t="s">
        <v>76</v>
      </c>
      <c r="M616" s="1">
        <v>1</v>
      </c>
      <c r="N616" s="2">
        <v>361.09</v>
      </c>
      <c r="O616" s="3">
        <v>443</v>
      </c>
      <c r="P616" s="1">
        <v>22</v>
      </c>
      <c r="Q616" s="1">
        <v>9</v>
      </c>
      <c r="R616" s="1">
        <v>200010020455</v>
      </c>
      <c r="S616" s="1">
        <v>29</v>
      </c>
      <c r="T616" s="1">
        <v>1</v>
      </c>
      <c r="U616" s="1">
        <v>8</v>
      </c>
      <c r="V616">
        <f t="shared" si="9"/>
        <v>443</v>
      </c>
    </row>
    <row r="617" spans="1:22" ht="13" x14ac:dyDescent="0.15">
      <c r="A617" s="4">
        <v>44775</v>
      </c>
      <c r="B617" s="5">
        <v>0.78771990740740738</v>
      </c>
      <c r="C617" s="1">
        <v>1527</v>
      </c>
      <c r="D617" s="1">
        <v>13002581</v>
      </c>
      <c r="E617" s="1">
        <v>13</v>
      </c>
      <c r="F617" s="1">
        <v>22589</v>
      </c>
      <c r="G617" s="1" t="s">
        <v>21</v>
      </c>
      <c r="H617" s="1">
        <v>18</v>
      </c>
      <c r="I617" s="1">
        <v>117670</v>
      </c>
      <c r="J617" s="1" t="s">
        <v>689</v>
      </c>
      <c r="K617" s="1" t="s">
        <v>51</v>
      </c>
      <c r="L617" s="1" t="s">
        <v>690</v>
      </c>
      <c r="M617" s="1">
        <v>1</v>
      </c>
      <c r="N617" s="2">
        <v>142.12</v>
      </c>
      <c r="O617" s="3">
        <v>172.5</v>
      </c>
      <c r="P617" s="1">
        <v>8.5</v>
      </c>
      <c r="Q617" s="1">
        <v>9</v>
      </c>
      <c r="R617" s="1">
        <v>200010020455</v>
      </c>
      <c r="S617" s="1">
        <v>29</v>
      </c>
      <c r="T617" s="1">
        <v>1</v>
      </c>
      <c r="U617" s="1">
        <v>1</v>
      </c>
      <c r="V617">
        <f t="shared" si="9"/>
        <v>172.5</v>
      </c>
    </row>
    <row r="618" spans="1:22" ht="13" x14ac:dyDescent="0.15">
      <c r="A618" s="4">
        <v>44775</v>
      </c>
      <c r="B618" s="5">
        <v>0.78771990740740738</v>
      </c>
      <c r="C618" s="1">
        <v>1527</v>
      </c>
      <c r="D618" s="1">
        <v>13002581</v>
      </c>
      <c r="E618" s="1">
        <v>13</v>
      </c>
      <c r="F618" s="1">
        <v>22589</v>
      </c>
      <c r="G618" s="1" t="s">
        <v>21</v>
      </c>
      <c r="H618" s="1">
        <v>18</v>
      </c>
      <c r="I618" s="1">
        <v>117670</v>
      </c>
      <c r="J618" s="1" t="s">
        <v>689</v>
      </c>
      <c r="K618" s="1" t="s">
        <v>23</v>
      </c>
      <c r="L618" s="1" t="s">
        <v>691</v>
      </c>
      <c r="M618" s="1">
        <v>1</v>
      </c>
      <c r="N618" s="2">
        <v>136.27000000000001</v>
      </c>
      <c r="O618" s="3">
        <v>167.08</v>
      </c>
      <c r="P618" s="1">
        <v>8.08</v>
      </c>
      <c r="Q618" s="1">
        <v>9</v>
      </c>
      <c r="R618" s="1">
        <v>200010020455</v>
      </c>
      <c r="S618" s="1">
        <v>29</v>
      </c>
      <c r="T618" s="1">
        <v>1</v>
      </c>
      <c r="U618" s="1">
        <v>2</v>
      </c>
      <c r="V618">
        <f t="shared" si="9"/>
        <v>167.08</v>
      </c>
    </row>
    <row r="619" spans="1:22" ht="13" x14ac:dyDescent="0.15">
      <c r="A619" s="4">
        <v>44775</v>
      </c>
      <c r="B619" s="5">
        <v>0.78771990740740738</v>
      </c>
      <c r="C619" s="1">
        <v>1527</v>
      </c>
      <c r="D619" s="1">
        <v>13002581</v>
      </c>
      <c r="E619" s="1">
        <v>13</v>
      </c>
      <c r="F619" s="1">
        <v>22589</v>
      </c>
      <c r="G619" s="1" t="s">
        <v>21</v>
      </c>
      <c r="H619" s="1">
        <v>18</v>
      </c>
      <c r="I619" s="1">
        <v>294503</v>
      </c>
      <c r="J619" s="1" t="s">
        <v>692</v>
      </c>
      <c r="K619" s="1" t="s">
        <v>29</v>
      </c>
      <c r="L619" s="1" t="s">
        <v>159</v>
      </c>
      <c r="M619" s="1">
        <v>1</v>
      </c>
      <c r="N619" s="2">
        <v>419.1</v>
      </c>
      <c r="O619" s="3">
        <v>499</v>
      </c>
      <c r="P619" s="1">
        <v>24</v>
      </c>
      <c r="Q619" s="1">
        <v>9</v>
      </c>
      <c r="R619" s="1">
        <v>200010020455</v>
      </c>
      <c r="S619" s="1">
        <v>29</v>
      </c>
      <c r="T619" s="1">
        <v>1</v>
      </c>
      <c r="U619" s="1">
        <v>5</v>
      </c>
      <c r="V619">
        <f t="shared" si="9"/>
        <v>499</v>
      </c>
    </row>
    <row r="620" spans="1:22" ht="13" x14ac:dyDescent="0.15">
      <c r="A620" s="4">
        <v>44775</v>
      </c>
      <c r="B620" s="5">
        <v>0.78771990740740738</v>
      </c>
      <c r="C620" s="1">
        <v>1527</v>
      </c>
      <c r="D620" s="1">
        <v>13002581</v>
      </c>
      <c r="E620" s="1">
        <v>13</v>
      </c>
      <c r="F620" s="1">
        <v>22589</v>
      </c>
      <c r="G620" s="1" t="s">
        <v>21</v>
      </c>
      <c r="H620" s="1">
        <v>18</v>
      </c>
      <c r="I620" s="1">
        <v>294503</v>
      </c>
      <c r="J620" s="1" t="s">
        <v>692</v>
      </c>
      <c r="K620" s="1" t="s">
        <v>29</v>
      </c>
      <c r="L620" s="1" t="s">
        <v>159</v>
      </c>
      <c r="M620" s="1">
        <v>1</v>
      </c>
      <c r="N620" s="2">
        <v>419.1</v>
      </c>
      <c r="O620" s="3">
        <v>499</v>
      </c>
      <c r="P620" s="1">
        <v>24</v>
      </c>
      <c r="Q620" s="1">
        <v>9</v>
      </c>
      <c r="R620" s="1">
        <v>200010020455</v>
      </c>
      <c r="S620" s="1">
        <v>29</v>
      </c>
      <c r="T620" s="1">
        <v>1</v>
      </c>
      <c r="U620" s="1">
        <v>6</v>
      </c>
      <c r="V620">
        <f t="shared" si="9"/>
        <v>499</v>
      </c>
    </row>
    <row r="621" spans="1:22" ht="13" x14ac:dyDescent="0.15">
      <c r="A621" s="4">
        <v>44775</v>
      </c>
      <c r="B621" s="5">
        <v>0.78771990740740738</v>
      </c>
      <c r="C621" s="1">
        <v>1527</v>
      </c>
      <c r="D621" s="1">
        <v>13002581</v>
      </c>
      <c r="E621" s="1">
        <v>13</v>
      </c>
      <c r="F621" s="1">
        <v>22589</v>
      </c>
      <c r="G621" s="1" t="s">
        <v>21</v>
      </c>
      <c r="H621" s="1">
        <v>18</v>
      </c>
      <c r="I621" s="1">
        <v>152838</v>
      </c>
      <c r="J621" s="1" t="s">
        <v>693</v>
      </c>
      <c r="K621" s="1" t="s">
        <v>23</v>
      </c>
      <c r="L621" s="1" t="s">
        <v>694</v>
      </c>
      <c r="M621" s="1">
        <v>1</v>
      </c>
      <c r="N621" s="2">
        <v>474.59</v>
      </c>
      <c r="O621" s="3">
        <v>698</v>
      </c>
      <c r="P621" s="1">
        <v>69</v>
      </c>
      <c r="Q621" s="1">
        <v>9</v>
      </c>
      <c r="R621" s="1">
        <v>200010020455</v>
      </c>
      <c r="S621" s="1">
        <v>29</v>
      </c>
      <c r="T621" s="1">
        <v>1</v>
      </c>
      <c r="U621" s="1">
        <v>9</v>
      </c>
      <c r="V621">
        <f t="shared" si="9"/>
        <v>698</v>
      </c>
    </row>
    <row r="622" spans="1:22" ht="13" x14ac:dyDescent="0.15">
      <c r="A622" s="4">
        <v>44775</v>
      </c>
      <c r="B622" s="5">
        <v>0.78853009259259255</v>
      </c>
      <c r="C622" s="1">
        <v>1528</v>
      </c>
      <c r="D622" s="1">
        <v>13002581</v>
      </c>
      <c r="E622" s="1">
        <v>13</v>
      </c>
      <c r="F622" s="1">
        <v>22589</v>
      </c>
      <c r="G622" s="1" t="s">
        <v>21</v>
      </c>
      <c r="H622" s="1">
        <v>15</v>
      </c>
      <c r="I622" s="1">
        <v>25638</v>
      </c>
      <c r="J622" s="1" t="s">
        <v>695</v>
      </c>
      <c r="K622" s="1" t="s">
        <v>51</v>
      </c>
      <c r="L622" s="1" t="s">
        <v>612</v>
      </c>
      <c r="M622" s="1">
        <v>1</v>
      </c>
      <c r="N622" s="2">
        <v>284.52999999999997</v>
      </c>
      <c r="O622" s="3">
        <v>385</v>
      </c>
      <c r="P622" s="1">
        <v>26</v>
      </c>
      <c r="Q622" s="1">
        <v>9</v>
      </c>
      <c r="R622" s="1">
        <v>200010023916</v>
      </c>
      <c r="S622" s="1">
        <v>29</v>
      </c>
      <c r="T622" s="1">
        <v>1</v>
      </c>
      <c r="U622" s="1">
        <v>1</v>
      </c>
      <c r="V622">
        <f t="shared" si="9"/>
        <v>385</v>
      </c>
    </row>
    <row r="623" spans="1:22" ht="13" x14ac:dyDescent="0.15">
      <c r="A623" s="4">
        <v>44775</v>
      </c>
      <c r="B623" s="5">
        <v>0.79348379629629628</v>
      </c>
      <c r="C623" s="1">
        <v>1529</v>
      </c>
      <c r="D623" s="1">
        <v>13002581</v>
      </c>
      <c r="E623" s="1">
        <v>13</v>
      </c>
      <c r="F623" s="1">
        <v>22589</v>
      </c>
      <c r="G623" s="1" t="s">
        <v>21</v>
      </c>
      <c r="H623" s="1">
        <v>15</v>
      </c>
      <c r="I623" s="1">
        <v>184137</v>
      </c>
      <c r="J623" s="1" t="s">
        <v>696</v>
      </c>
      <c r="K623" s="1" t="s">
        <v>23</v>
      </c>
      <c r="L623" s="1" t="s">
        <v>697</v>
      </c>
      <c r="M623" s="1">
        <v>1</v>
      </c>
      <c r="N623" s="2">
        <v>860.76</v>
      </c>
      <c r="O623" s="3">
        <v>1111</v>
      </c>
      <c r="P623" s="1">
        <v>77</v>
      </c>
      <c r="Q623" s="1">
        <v>9</v>
      </c>
      <c r="R623" s="1">
        <v>200010022022</v>
      </c>
      <c r="S623" s="1">
        <v>29</v>
      </c>
      <c r="T623" s="1">
        <v>1</v>
      </c>
      <c r="U623" s="1">
        <v>3</v>
      </c>
      <c r="V623">
        <f t="shared" si="9"/>
        <v>1111</v>
      </c>
    </row>
    <row r="624" spans="1:22" ht="13" x14ac:dyDescent="0.15">
      <c r="A624" s="4">
        <v>44775</v>
      </c>
      <c r="B624" s="5">
        <v>0.79348379629629628</v>
      </c>
      <c r="C624" s="1">
        <v>1529</v>
      </c>
      <c r="D624" s="1">
        <v>13002581</v>
      </c>
      <c r="E624" s="1">
        <v>13</v>
      </c>
      <c r="F624" s="1">
        <v>22589</v>
      </c>
      <c r="G624" s="1" t="s">
        <v>21</v>
      </c>
      <c r="H624" s="1">
        <v>15</v>
      </c>
      <c r="I624" s="1">
        <v>393315</v>
      </c>
      <c r="J624" s="1" t="s">
        <v>75</v>
      </c>
      <c r="K624" s="1" t="s">
        <v>51</v>
      </c>
      <c r="L624" s="1" t="s">
        <v>76</v>
      </c>
      <c r="M624" s="1">
        <v>1</v>
      </c>
      <c r="N624" s="2">
        <v>16.21</v>
      </c>
      <c r="O624" s="3">
        <v>25</v>
      </c>
      <c r="P624" s="1">
        <v>1</v>
      </c>
      <c r="Q624" s="1">
        <v>9</v>
      </c>
      <c r="R624" s="1">
        <v>200010022022</v>
      </c>
      <c r="S624" s="1">
        <v>29</v>
      </c>
      <c r="T624" s="1">
        <v>1</v>
      </c>
      <c r="U624" s="1">
        <v>4</v>
      </c>
      <c r="V624">
        <f t="shared" si="9"/>
        <v>25</v>
      </c>
    </row>
    <row r="625" spans="1:22" ht="13" x14ac:dyDescent="0.15">
      <c r="A625" s="4">
        <v>44775</v>
      </c>
      <c r="B625" s="5">
        <v>0.79348379629629628</v>
      </c>
      <c r="C625" s="1">
        <v>1529</v>
      </c>
      <c r="D625" s="1">
        <v>13002581</v>
      </c>
      <c r="E625" s="1">
        <v>13</v>
      </c>
      <c r="F625" s="1">
        <v>22589</v>
      </c>
      <c r="G625" s="1" t="s">
        <v>21</v>
      </c>
      <c r="H625" s="1">
        <v>15</v>
      </c>
      <c r="I625" s="1">
        <v>61476</v>
      </c>
      <c r="J625" s="1" t="s">
        <v>440</v>
      </c>
      <c r="K625" s="1" t="s">
        <v>29</v>
      </c>
      <c r="L625" s="1" t="s">
        <v>441</v>
      </c>
      <c r="M625" s="1">
        <v>1</v>
      </c>
      <c r="N625" s="2">
        <v>7.88</v>
      </c>
      <c r="O625" s="3">
        <v>14</v>
      </c>
      <c r="P625" s="1">
        <v>1</v>
      </c>
      <c r="Q625" s="1">
        <v>9</v>
      </c>
      <c r="R625" s="1">
        <v>200010022022</v>
      </c>
      <c r="S625" s="1">
        <v>29</v>
      </c>
      <c r="T625" s="1">
        <v>1</v>
      </c>
      <c r="U625" s="1">
        <v>2</v>
      </c>
      <c r="V625">
        <f t="shared" si="9"/>
        <v>14</v>
      </c>
    </row>
    <row r="626" spans="1:22" ht="13" x14ac:dyDescent="0.15">
      <c r="A626" s="4">
        <v>44775</v>
      </c>
      <c r="B626" s="5">
        <v>0.79348379629629628</v>
      </c>
      <c r="C626" s="1">
        <v>1529</v>
      </c>
      <c r="D626" s="1">
        <v>13002581</v>
      </c>
      <c r="E626" s="1">
        <v>13</v>
      </c>
      <c r="F626" s="1">
        <v>22589</v>
      </c>
      <c r="G626" s="1" t="s">
        <v>21</v>
      </c>
      <c r="H626" s="1">
        <v>15</v>
      </c>
      <c r="I626" s="1">
        <v>162483</v>
      </c>
      <c r="J626" s="1" t="s">
        <v>225</v>
      </c>
      <c r="K626" s="1" t="s">
        <v>51</v>
      </c>
      <c r="L626" s="1" t="s">
        <v>226</v>
      </c>
      <c r="M626" s="1">
        <v>2</v>
      </c>
      <c r="N626" s="2">
        <v>8.08</v>
      </c>
      <c r="O626" s="3">
        <v>14</v>
      </c>
      <c r="P626" s="1">
        <v>2</v>
      </c>
      <c r="Q626" s="1">
        <v>9</v>
      </c>
      <c r="R626" s="1">
        <v>200010022022</v>
      </c>
      <c r="S626" s="1">
        <v>29</v>
      </c>
      <c r="T626" s="1">
        <v>1</v>
      </c>
      <c r="U626" s="1">
        <v>1</v>
      </c>
      <c r="V626">
        <f t="shared" si="9"/>
        <v>28</v>
      </c>
    </row>
    <row r="627" spans="1:22" ht="13" x14ac:dyDescent="0.15">
      <c r="A627" s="4">
        <v>44775</v>
      </c>
      <c r="B627" s="5">
        <v>0.79583333333333328</v>
      </c>
      <c r="C627" s="1">
        <v>1530</v>
      </c>
      <c r="D627" s="1">
        <v>13002581</v>
      </c>
      <c r="E627" s="1">
        <v>13</v>
      </c>
      <c r="F627" s="1">
        <v>22589</v>
      </c>
      <c r="G627" s="1" t="s">
        <v>21</v>
      </c>
      <c r="H627" s="1">
        <v>15</v>
      </c>
      <c r="I627" s="1">
        <v>69230</v>
      </c>
      <c r="J627" s="1" t="s">
        <v>698</v>
      </c>
      <c r="K627" s="1" t="s">
        <v>23</v>
      </c>
      <c r="L627" s="1" t="s">
        <v>175</v>
      </c>
      <c r="M627" s="1">
        <v>1</v>
      </c>
      <c r="N627" s="2">
        <v>569.76</v>
      </c>
      <c r="O627" s="3">
        <v>781</v>
      </c>
      <c r="P627" s="1">
        <v>78</v>
      </c>
      <c r="Q627" s="1">
        <v>939</v>
      </c>
      <c r="R627" s="1">
        <v>200000000042</v>
      </c>
      <c r="S627" s="1">
        <v>29</v>
      </c>
      <c r="T627" s="1">
        <v>1</v>
      </c>
      <c r="U627" s="1">
        <v>1</v>
      </c>
      <c r="V627">
        <f t="shared" si="9"/>
        <v>781</v>
      </c>
    </row>
    <row r="628" spans="1:22" ht="13" x14ac:dyDescent="0.15">
      <c r="A628" s="4">
        <v>44775</v>
      </c>
      <c r="B628" s="5">
        <v>0.80391203703703706</v>
      </c>
      <c r="C628" s="1">
        <v>1531</v>
      </c>
      <c r="D628" s="1">
        <v>13002581</v>
      </c>
      <c r="E628" s="1">
        <v>13</v>
      </c>
      <c r="F628" s="1">
        <v>22589</v>
      </c>
      <c r="G628" s="1" t="s">
        <v>21</v>
      </c>
      <c r="H628" s="1">
        <v>18</v>
      </c>
      <c r="I628" s="1">
        <v>268412</v>
      </c>
      <c r="J628" s="1" t="s">
        <v>699</v>
      </c>
      <c r="K628" s="1" t="s">
        <v>23</v>
      </c>
      <c r="L628" s="1" t="s">
        <v>700</v>
      </c>
      <c r="M628" s="1">
        <v>1</v>
      </c>
      <c r="N628" s="2">
        <v>78.44</v>
      </c>
      <c r="O628" s="3">
        <v>98</v>
      </c>
      <c r="P628" s="1">
        <v>4</v>
      </c>
      <c r="Q628" s="1">
        <v>9</v>
      </c>
      <c r="R628" s="1">
        <v>200010022526</v>
      </c>
      <c r="S628" s="1">
        <v>29</v>
      </c>
      <c r="T628" s="1">
        <v>1</v>
      </c>
      <c r="U628" s="1">
        <v>1</v>
      </c>
      <c r="V628">
        <f t="shared" si="9"/>
        <v>98</v>
      </c>
    </row>
    <row r="629" spans="1:22" ht="13" x14ac:dyDescent="0.15">
      <c r="A629" s="4">
        <v>44775</v>
      </c>
      <c r="B629" s="5">
        <v>0.80716435185185187</v>
      </c>
      <c r="C629" s="1">
        <v>1532</v>
      </c>
      <c r="D629" s="1">
        <v>13002581</v>
      </c>
      <c r="E629" s="1">
        <v>13</v>
      </c>
      <c r="F629" s="1">
        <v>22589</v>
      </c>
      <c r="G629" s="1" t="s">
        <v>21</v>
      </c>
      <c r="H629" s="1">
        <v>15</v>
      </c>
      <c r="I629" s="1">
        <v>338898</v>
      </c>
      <c r="J629" s="1" t="s">
        <v>701</v>
      </c>
      <c r="K629" s="1" t="s">
        <v>29</v>
      </c>
      <c r="L629" s="1" t="s">
        <v>123</v>
      </c>
      <c r="M629" s="1">
        <v>1</v>
      </c>
      <c r="N629" s="2">
        <v>63.94</v>
      </c>
      <c r="O629" s="3">
        <v>79</v>
      </c>
      <c r="P629" s="1">
        <v>0</v>
      </c>
      <c r="Q629" s="1" t="s">
        <v>25</v>
      </c>
      <c r="R629" s="1" t="s">
        <v>25</v>
      </c>
      <c r="S629" s="1">
        <v>29</v>
      </c>
      <c r="T629" s="1">
        <v>1</v>
      </c>
      <c r="U629" s="1">
        <v>1</v>
      </c>
      <c r="V629">
        <f t="shared" si="9"/>
        <v>79</v>
      </c>
    </row>
    <row r="630" spans="1:22" ht="13" x14ac:dyDescent="0.15">
      <c r="A630" s="4">
        <v>44775</v>
      </c>
      <c r="B630" s="5">
        <v>0.8175810185185185</v>
      </c>
      <c r="C630" s="1">
        <v>1533</v>
      </c>
      <c r="D630" s="1">
        <v>13002581</v>
      </c>
      <c r="E630" s="1">
        <v>13</v>
      </c>
      <c r="F630" s="1">
        <v>22589</v>
      </c>
      <c r="G630" s="1" t="s">
        <v>21</v>
      </c>
      <c r="H630" s="1">
        <v>18</v>
      </c>
      <c r="I630" s="1">
        <v>338588</v>
      </c>
      <c r="J630" s="1" t="s">
        <v>36</v>
      </c>
      <c r="K630" s="1" t="s">
        <v>23</v>
      </c>
      <c r="L630" s="1" t="s">
        <v>37</v>
      </c>
      <c r="M630" s="1">
        <v>1</v>
      </c>
      <c r="N630" s="2">
        <v>383.7</v>
      </c>
      <c r="O630" s="3">
        <v>475</v>
      </c>
      <c r="P630" s="1">
        <v>23</v>
      </c>
      <c r="Q630" s="1">
        <v>9</v>
      </c>
      <c r="R630" s="1">
        <v>200010009896</v>
      </c>
      <c r="S630" s="1">
        <v>29</v>
      </c>
      <c r="T630" s="1">
        <v>1</v>
      </c>
      <c r="U630" s="1">
        <v>2</v>
      </c>
      <c r="V630">
        <f t="shared" si="9"/>
        <v>475</v>
      </c>
    </row>
    <row r="631" spans="1:22" ht="13" x14ac:dyDescent="0.15">
      <c r="A631" s="4">
        <v>44775</v>
      </c>
      <c r="B631" s="5">
        <v>0.8175810185185185</v>
      </c>
      <c r="C631" s="1">
        <v>1533</v>
      </c>
      <c r="D631" s="1">
        <v>13002581</v>
      </c>
      <c r="E631" s="1">
        <v>13</v>
      </c>
      <c r="F631" s="1">
        <v>22589</v>
      </c>
      <c r="G631" s="1" t="s">
        <v>21</v>
      </c>
      <c r="H631" s="1">
        <v>18</v>
      </c>
      <c r="I631" s="1">
        <v>418039</v>
      </c>
      <c r="J631" s="1" t="s">
        <v>702</v>
      </c>
      <c r="K631" s="1" t="s">
        <v>23</v>
      </c>
      <c r="L631" s="1" t="s">
        <v>703</v>
      </c>
      <c r="M631" s="1">
        <v>1</v>
      </c>
      <c r="N631" s="2">
        <v>261</v>
      </c>
      <c r="O631" s="3">
        <v>353</v>
      </c>
      <c r="P631" s="1">
        <v>24</v>
      </c>
      <c r="Q631" s="1">
        <v>9</v>
      </c>
      <c r="R631" s="1">
        <v>200010009896</v>
      </c>
      <c r="S631" s="1">
        <v>29</v>
      </c>
      <c r="T631" s="1">
        <v>1</v>
      </c>
      <c r="U631" s="1">
        <v>4</v>
      </c>
      <c r="V631">
        <f t="shared" si="9"/>
        <v>353</v>
      </c>
    </row>
    <row r="632" spans="1:22" ht="13" x14ac:dyDescent="0.15">
      <c r="A632" s="4">
        <v>44775</v>
      </c>
      <c r="B632" s="5">
        <v>0.8175810185185185</v>
      </c>
      <c r="C632" s="1">
        <v>1533</v>
      </c>
      <c r="D632" s="1">
        <v>13002581</v>
      </c>
      <c r="E632" s="1">
        <v>13</v>
      </c>
      <c r="F632" s="1">
        <v>22589</v>
      </c>
      <c r="G632" s="1" t="s">
        <v>21</v>
      </c>
      <c r="H632" s="1">
        <v>18</v>
      </c>
      <c r="I632" s="1">
        <v>338484</v>
      </c>
      <c r="J632" s="1" t="s">
        <v>704</v>
      </c>
      <c r="K632" s="1" t="s">
        <v>23</v>
      </c>
      <c r="L632" s="1" t="s">
        <v>37</v>
      </c>
      <c r="M632" s="1">
        <v>1</v>
      </c>
      <c r="N632" s="2">
        <v>217.69</v>
      </c>
      <c r="O632" s="3">
        <v>270</v>
      </c>
      <c r="P632" s="1">
        <v>13</v>
      </c>
      <c r="Q632" s="1">
        <v>9</v>
      </c>
      <c r="R632" s="1">
        <v>200010009896</v>
      </c>
      <c r="S632" s="1">
        <v>29</v>
      </c>
      <c r="T632" s="1">
        <v>1</v>
      </c>
      <c r="U632" s="1">
        <v>1</v>
      </c>
      <c r="V632">
        <f t="shared" si="9"/>
        <v>270</v>
      </c>
    </row>
    <row r="633" spans="1:22" ht="13" x14ac:dyDescent="0.15">
      <c r="A633" s="4">
        <v>44775</v>
      </c>
      <c r="B633" s="5">
        <v>0.8175810185185185</v>
      </c>
      <c r="C633" s="1">
        <v>1533</v>
      </c>
      <c r="D633" s="1">
        <v>13002581</v>
      </c>
      <c r="E633" s="1">
        <v>13</v>
      </c>
      <c r="F633" s="1">
        <v>22589</v>
      </c>
      <c r="G633" s="1" t="s">
        <v>21</v>
      </c>
      <c r="H633" s="1">
        <v>18</v>
      </c>
      <c r="I633" s="1">
        <v>113184</v>
      </c>
      <c r="J633" s="1" t="s">
        <v>705</v>
      </c>
      <c r="K633" s="1" t="s">
        <v>34</v>
      </c>
      <c r="L633" s="1" t="s">
        <v>39</v>
      </c>
      <c r="M633" s="1">
        <v>1</v>
      </c>
      <c r="N633" s="2">
        <v>203.75</v>
      </c>
      <c r="O633" s="3">
        <v>250</v>
      </c>
      <c r="P633" s="1">
        <v>12</v>
      </c>
      <c r="Q633" s="1">
        <v>9</v>
      </c>
      <c r="R633" s="1">
        <v>200010009896</v>
      </c>
      <c r="S633" s="1">
        <v>29</v>
      </c>
      <c r="T633" s="1">
        <v>1</v>
      </c>
      <c r="U633" s="1">
        <v>3</v>
      </c>
      <c r="V633">
        <f t="shared" si="9"/>
        <v>250</v>
      </c>
    </row>
    <row r="634" spans="1:22" ht="13" x14ac:dyDescent="0.15">
      <c r="A634" s="4">
        <v>44775</v>
      </c>
      <c r="B634" s="5">
        <v>0.83083333333333331</v>
      </c>
      <c r="C634" s="1">
        <v>1535</v>
      </c>
      <c r="D634" s="1">
        <v>13002581</v>
      </c>
      <c r="E634" s="1">
        <v>13</v>
      </c>
      <c r="F634" s="1">
        <v>22589</v>
      </c>
      <c r="G634" s="1" t="s">
        <v>21</v>
      </c>
      <c r="H634" s="1">
        <v>18</v>
      </c>
      <c r="I634" s="1">
        <v>123849</v>
      </c>
      <c r="J634" s="1" t="s">
        <v>706</v>
      </c>
      <c r="K634" s="1" t="s">
        <v>51</v>
      </c>
      <c r="L634" s="1" t="s">
        <v>76</v>
      </c>
      <c r="M634" s="1">
        <v>1</v>
      </c>
      <c r="N634" s="2">
        <v>1025.05</v>
      </c>
      <c r="O634" s="3">
        <v>1135</v>
      </c>
      <c r="P634" s="1">
        <v>34</v>
      </c>
      <c r="Q634" s="1">
        <v>9</v>
      </c>
      <c r="R634" s="1">
        <v>200010000847</v>
      </c>
      <c r="S634" s="1">
        <v>29</v>
      </c>
      <c r="T634" s="1">
        <v>1</v>
      </c>
      <c r="U634" s="1">
        <v>2</v>
      </c>
      <c r="V634">
        <f t="shared" si="9"/>
        <v>1135</v>
      </c>
    </row>
    <row r="635" spans="1:22" ht="13" x14ac:dyDescent="0.15">
      <c r="A635" s="4">
        <v>44775</v>
      </c>
      <c r="B635" s="5">
        <v>0.83083333333333331</v>
      </c>
      <c r="C635" s="1">
        <v>1535</v>
      </c>
      <c r="D635" s="1">
        <v>13002581</v>
      </c>
      <c r="E635" s="1">
        <v>13</v>
      </c>
      <c r="F635" s="1">
        <v>22589</v>
      </c>
      <c r="G635" s="1" t="s">
        <v>21</v>
      </c>
      <c r="H635" s="1">
        <v>18</v>
      </c>
      <c r="I635" s="1">
        <v>1329</v>
      </c>
      <c r="J635" s="1" t="s">
        <v>540</v>
      </c>
      <c r="K635" s="1" t="s">
        <v>34</v>
      </c>
      <c r="L635" s="1" t="s">
        <v>541</v>
      </c>
      <c r="M635" s="1">
        <v>0.1</v>
      </c>
      <c r="N635" s="2">
        <v>419.66</v>
      </c>
      <c r="O635" s="3">
        <v>554</v>
      </c>
      <c r="P635" s="1">
        <v>3.4</v>
      </c>
      <c r="Q635" s="1">
        <v>9</v>
      </c>
      <c r="R635" s="1">
        <v>200010000847</v>
      </c>
      <c r="S635" s="1">
        <v>29</v>
      </c>
      <c r="T635" s="1">
        <v>1</v>
      </c>
      <c r="U635" s="1">
        <v>1</v>
      </c>
      <c r="V635">
        <f t="shared" si="9"/>
        <v>55.400000000000006</v>
      </c>
    </row>
    <row r="636" spans="1:22" ht="13" x14ac:dyDescent="0.15">
      <c r="A636" s="4">
        <v>44776</v>
      </c>
      <c r="B636" s="5">
        <v>0.34107638888888892</v>
      </c>
      <c r="C636" s="1">
        <v>1539</v>
      </c>
      <c r="D636" s="1">
        <v>13002595</v>
      </c>
      <c r="E636" s="1">
        <v>13</v>
      </c>
      <c r="F636" s="1">
        <v>22589</v>
      </c>
      <c r="G636" s="1" t="s">
        <v>21</v>
      </c>
      <c r="H636" s="1">
        <v>15</v>
      </c>
      <c r="I636" s="1">
        <v>104602</v>
      </c>
      <c r="J636" s="1" t="s">
        <v>707</v>
      </c>
      <c r="K636" s="1" t="s">
        <v>708</v>
      </c>
      <c r="L636" s="1" t="s">
        <v>709</v>
      </c>
      <c r="M636" s="1">
        <v>1</v>
      </c>
      <c r="N636" s="2">
        <v>26.4</v>
      </c>
      <c r="O636" s="3">
        <v>43</v>
      </c>
      <c r="P636" s="1">
        <v>0</v>
      </c>
      <c r="Q636" s="1" t="s">
        <v>25</v>
      </c>
      <c r="R636" s="1" t="s">
        <v>25</v>
      </c>
      <c r="S636" s="1">
        <v>29</v>
      </c>
      <c r="T636" s="1">
        <v>1</v>
      </c>
      <c r="U636" s="1">
        <v>1</v>
      </c>
      <c r="V636">
        <f t="shared" si="9"/>
        <v>43</v>
      </c>
    </row>
    <row r="637" spans="1:22" ht="13" x14ac:dyDescent="0.15">
      <c r="A637" s="4">
        <v>44776</v>
      </c>
      <c r="B637" s="5">
        <v>0.34107638888888892</v>
      </c>
      <c r="C637" s="1">
        <v>1539</v>
      </c>
      <c r="D637" s="1">
        <v>13002595</v>
      </c>
      <c r="E637" s="1">
        <v>13</v>
      </c>
      <c r="F637" s="1">
        <v>22589</v>
      </c>
      <c r="G637" s="1" t="s">
        <v>21</v>
      </c>
      <c r="H637" s="1">
        <v>15</v>
      </c>
      <c r="I637" s="1">
        <v>444920</v>
      </c>
      <c r="J637" s="1" t="s">
        <v>250</v>
      </c>
      <c r="K637" s="1" t="s">
        <v>51</v>
      </c>
      <c r="L637" s="1" t="s">
        <v>49</v>
      </c>
      <c r="M637" s="1">
        <v>1</v>
      </c>
      <c r="N637" s="2">
        <v>19.61</v>
      </c>
      <c r="O637" s="3">
        <v>25</v>
      </c>
      <c r="P637" s="1">
        <v>0</v>
      </c>
      <c r="Q637" s="1" t="s">
        <v>25</v>
      </c>
      <c r="R637" s="1" t="s">
        <v>25</v>
      </c>
      <c r="S637" s="1">
        <v>29</v>
      </c>
      <c r="T637" s="1">
        <v>1</v>
      </c>
      <c r="U637" s="1">
        <v>3</v>
      </c>
      <c r="V637">
        <f t="shared" si="9"/>
        <v>25</v>
      </c>
    </row>
    <row r="638" spans="1:22" ht="13" x14ac:dyDescent="0.15">
      <c r="A638" s="4">
        <v>44776</v>
      </c>
      <c r="B638" s="5">
        <v>0.34107638888888892</v>
      </c>
      <c r="C638" s="1">
        <v>1539</v>
      </c>
      <c r="D638" s="1">
        <v>13002595</v>
      </c>
      <c r="E638" s="1">
        <v>13</v>
      </c>
      <c r="F638" s="1">
        <v>22589</v>
      </c>
      <c r="G638" s="1" t="s">
        <v>21</v>
      </c>
      <c r="H638" s="1">
        <v>15</v>
      </c>
      <c r="I638" s="1">
        <v>440425</v>
      </c>
      <c r="J638" s="1" t="s">
        <v>627</v>
      </c>
      <c r="K638" s="1" t="s">
        <v>51</v>
      </c>
      <c r="L638" s="1" t="s">
        <v>49</v>
      </c>
      <c r="M638" s="1">
        <v>1</v>
      </c>
      <c r="N638" s="2">
        <v>28.73</v>
      </c>
      <c r="O638" s="3">
        <v>36</v>
      </c>
      <c r="P638" s="1">
        <v>0</v>
      </c>
      <c r="Q638" s="1" t="s">
        <v>25</v>
      </c>
      <c r="R638" s="1" t="s">
        <v>25</v>
      </c>
      <c r="S638" s="1">
        <v>29</v>
      </c>
      <c r="T638" s="1">
        <v>1</v>
      </c>
      <c r="U638" s="1">
        <v>2</v>
      </c>
      <c r="V638">
        <f t="shared" si="9"/>
        <v>36</v>
      </c>
    </row>
    <row r="639" spans="1:22" ht="13" x14ac:dyDescent="0.15">
      <c r="A639" s="4">
        <v>44776</v>
      </c>
      <c r="B639" s="5">
        <v>0.35365740740740742</v>
      </c>
      <c r="C639" s="1">
        <v>1540</v>
      </c>
      <c r="D639" s="1">
        <v>13002595</v>
      </c>
      <c r="E639" s="1">
        <v>13</v>
      </c>
      <c r="F639" s="1">
        <v>22589</v>
      </c>
      <c r="G639" s="1" t="s">
        <v>21</v>
      </c>
      <c r="H639" s="1">
        <v>18</v>
      </c>
      <c r="I639" s="1">
        <v>9521</v>
      </c>
      <c r="J639" s="1" t="s">
        <v>710</v>
      </c>
      <c r="K639" s="1" t="s">
        <v>23</v>
      </c>
      <c r="L639" s="1" t="s">
        <v>552</v>
      </c>
      <c r="M639" s="1">
        <v>1</v>
      </c>
      <c r="N639" s="2">
        <v>531.74</v>
      </c>
      <c r="O639" s="3">
        <v>589</v>
      </c>
      <c r="P639" s="1">
        <v>17</v>
      </c>
      <c r="Q639" s="1">
        <v>9</v>
      </c>
      <c r="R639" s="1">
        <v>200010000452</v>
      </c>
      <c r="S639" s="1">
        <v>29</v>
      </c>
      <c r="T639" s="1">
        <v>1</v>
      </c>
      <c r="U639" s="1">
        <v>1</v>
      </c>
      <c r="V639">
        <f t="shared" si="9"/>
        <v>589</v>
      </c>
    </row>
    <row r="640" spans="1:22" ht="13" x14ac:dyDescent="0.15">
      <c r="A640" s="4">
        <v>44776</v>
      </c>
      <c r="B640" s="5">
        <v>0.35365740740740742</v>
      </c>
      <c r="C640" s="1">
        <v>1540</v>
      </c>
      <c r="D640" s="1">
        <v>13002595</v>
      </c>
      <c r="E640" s="1">
        <v>13</v>
      </c>
      <c r="F640" s="1">
        <v>22589</v>
      </c>
      <c r="G640" s="1" t="s">
        <v>21</v>
      </c>
      <c r="H640" s="1">
        <v>18</v>
      </c>
      <c r="I640" s="1">
        <v>7697</v>
      </c>
      <c r="J640" s="1" t="s">
        <v>68</v>
      </c>
      <c r="K640" s="1" t="s">
        <v>29</v>
      </c>
      <c r="L640" s="1" t="s">
        <v>69</v>
      </c>
      <c r="M640" s="1">
        <v>1</v>
      </c>
      <c r="N640" s="2">
        <v>247.35</v>
      </c>
      <c r="O640" s="3">
        <v>301</v>
      </c>
      <c r="P640" s="1">
        <v>15</v>
      </c>
      <c r="Q640" s="1">
        <v>9</v>
      </c>
      <c r="R640" s="1">
        <v>200010000452</v>
      </c>
      <c r="S640" s="1">
        <v>29</v>
      </c>
      <c r="T640" s="1">
        <v>1</v>
      </c>
      <c r="U640" s="1">
        <v>2</v>
      </c>
      <c r="V640">
        <f t="shared" si="9"/>
        <v>301</v>
      </c>
    </row>
    <row r="641" spans="1:22" ht="13" x14ac:dyDescent="0.15">
      <c r="A641" s="4">
        <v>44776</v>
      </c>
      <c r="B641" s="5">
        <v>0.36548611111111112</v>
      </c>
      <c r="C641" s="1">
        <v>1541</v>
      </c>
      <c r="D641" s="1">
        <v>13002595</v>
      </c>
      <c r="E641" s="1">
        <v>13</v>
      </c>
      <c r="F641" s="1">
        <v>22589</v>
      </c>
      <c r="G641" s="1" t="s">
        <v>21</v>
      </c>
      <c r="H641" s="1">
        <v>18</v>
      </c>
      <c r="I641" s="1">
        <v>137041</v>
      </c>
      <c r="J641" s="1" t="s">
        <v>711</v>
      </c>
      <c r="K641" s="1" t="s">
        <v>34</v>
      </c>
      <c r="L641" s="1" t="s">
        <v>566</v>
      </c>
      <c r="M641" s="1">
        <v>1</v>
      </c>
      <c r="N641" s="2">
        <v>929.01</v>
      </c>
      <c r="O641" s="3">
        <v>1036</v>
      </c>
      <c r="P641" s="1">
        <v>31</v>
      </c>
      <c r="Q641" s="1">
        <v>9</v>
      </c>
      <c r="R641" s="1">
        <v>200010000486</v>
      </c>
      <c r="S641" s="1">
        <v>29</v>
      </c>
      <c r="T641" s="1">
        <v>1</v>
      </c>
      <c r="U641" s="1">
        <v>1</v>
      </c>
      <c r="V641">
        <f t="shared" si="9"/>
        <v>1036</v>
      </c>
    </row>
    <row r="642" spans="1:22" ht="13" x14ac:dyDescent="0.15">
      <c r="A642" s="4">
        <v>44776</v>
      </c>
      <c r="B642" s="5">
        <v>0.36784722222222221</v>
      </c>
      <c r="C642" s="1">
        <v>1542</v>
      </c>
      <c r="D642" s="1">
        <v>13002595</v>
      </c>
      <c r="E642" s="1">
        <v>13</v>
      </c>
      <c r="F642" s="1">
        <v>22589</v>
      </c>
      <c r="G642" s="1" t="s">
        <v>21</v>
      </c>
      <c r="H642" s="1">
        <v>18</v>
      </c>
      <c r="I642" s="1">
        <v>27580</v>
      </c>
      <c r="J642" s="1" t="s">
        <v>605</v>
      </c>
      <c r="K642" s="1" t="s">
        <v>29</v>
      </c>
      <c r="L642" s="1" t="s">
        <v>394</v>
      </c>
      <c r="M642" s="1">
        <v>0.25</v>
      </c>
      <c r="N642" s="2">
        <v>597.80999999999995</v>
      </c>
      <c r="O642" s="3">
        <v>656</v>
      </c>
      <c r="P642" s="1">
        <v>4</v>
      </c>
      <c r="Q642" s="1">
        <v>9</v>
      </c>
      <c r="R642" s="1">
        <v>200010015470</v>
      </c>
      <c r="S642" s="1">
        <v>29</v>
      </c>
      <c r="T642" s="1">
        <v>1</v>
      </c>
      <c r="U642" s="1">
        <v>1</v>
      </c>
      <c r="V642">
        <f t="shared" si="9"/>
        <v>164</v>
      </c>
    </row>
    <row r="643" spans="1:22" ht="13" x14ac:dyDescent="0.15">
      <c r="A643" s="4">
        <v>44776</v>
      </c>
      <c r="B643" s="5">
        <v>0.36964120370370368</v>
      </c>
      <c r="C643" s="1">
        <v>1543</v>
      </c>
      <c r="D643" s="1">
        <v>13002595</v>
      </c>
      <c r="E643" s="1">
        <v>13</v>
      </c>
      <c r="F643" s="1">
        <v>22589</v>
      </c>
      <c r="G643" s="1" t="s">
        <v>21</v>
      </c>
      <c r="H643" s="1">
        <v>18</v>
      </c>
      <c r="I643" s="1">
        <v>338852</v>
      </c>
      <c r="J643" s="1" t="s">
        <v>712</v>
      </c>
      <c r="K643" s="1" t="s">
        <v>34</v>
      </c>
      <c r="L643" s="1" t="s">
        <v>123</v>
      </c>
      <c r="M643" s="1">
        <v>1</v>
      </c>
      <c r="N643" s="2">
        <v>33.549999999999997</v>
      </c>
      <c r="O643" s="3">
        <v>43.5</v>
      </c>
      <c r="P643" s="1">
        <v>0</v>
      </c>
      <c r="Q643" s="1" t="s">
        <v>25</v>
      </c>
      <c r="R643" s="1" t="s">
        <v>25</v>
      </c>
      <c r="S643" s="1">
        <v>29</v>
      </c>
      <c r="T643" s="1">
        <v>1</v>
      </c>
      <c r="U643" s="1">
        <v>3</v>
      </c>
      <c r="V643">
        <f t="shared" ref="V643:V706" si="10">O643*M643</f>
        <v>43.5</v>
      </c>
    </row>
    <row r="644" spans="1:22" ht="13" x14ac:dyDescent="0.15">
      <c r="A644" s="4">
        <v>44776</v>
      </c>
      <c r="B644" s="5">
        <v>0.44354166666666667</v>
      </c>
      <c r="C644" s="1">
        <v>1557</v>
      </c>
      <c r="D644" s="1">
        <v>13002595</v>
      </c>
      <c r="E644" s="1">
        <v>13</v>
      </c>
      <c r="F644" s="1">
        <v>22589</v>
      </c>
      <c r="G644" s="1" t="s">
        <v>21</v>
      </c>
      <c r="H644" s="1">
        <v>15</v>
      </c>
      <c r="I644" s="1">
        <v>338852</v>
      </c>
      <c r="J644" s="1" t="s">
        <v>712</v>
      </c>
      <c r="K644" s="1" t="s">
        <v>34</v>
      </c>
      <c r="L644" s="1" t="s">
        <v>123</v>
      </c>
      <c r="M644" s="1">
        <v>1</v>
      </c>
      <c r="N644" s="2">
        <v>33.549999999999997</v>
      </c>
      <c r="O644" s="3">
        <v>43.5</v>
      </c>
      <c r="P644" s="1">
        <v>1.5</v>
      </c>
      <c r="Q644" s="1">
        <v>9</v>
      </c>
      <c r="R644" s="1">
        <v>200010020276</v>
      </c>
      <c r="S644" s="1">
        <v>29</v>
      </c>
      <c r="T644" s="1">
        <v>1</v>
      </c>
      <c r="U644" s="1">
        <v>2</v>
      </c>
      <c r="V644">
        <f t="shared" si="10"/>
        <v>43.5</v>
      </c>
    </row>
    <row r="645" spans="1:22" ht="13" x14ac:dyDescent="0.15">
      <c r="A645" s="4">
        <v>44776</v>
      </c>
      <c r="B645" s="5">
        <v>0.36964120370370368</v>
      </c>
      <c r="C645" s="1">
        <v>1543</v>
      </c>
      <c r="D645" s="1">
        <v>13002595</v>
      </c>
      <c r="E645" s="1">
        <v>13</v>
      </c>
      <c r="F645" s="1">
        <v>22589</v>
      </c>
      <c r="G645" s="1" t="s">
        <v>21</v>
      </c>
      <c r="H645" s="1">
        <v>18</v>
      </c>
      <c r="I645" s="1">
        <v>344614</v>
      </c>
      <c r="J645" s="1" t="s">
        <v>713</v>
      </c>
      <c r="K645" s="1" t="s">
        <v>51</v>
      </c>
      <c r="L645" s="1" t="s">
        <v>423</v>
      </c>
      <c r="M645" s="1">
        <v>1</v>
      </c>
      <c r="N645" s="2">
        <v>35.65</v>
      </c>
      <c r="O645" s="3">
        <v>43</v>
      </c>
      <c r="P645" s="1">
        <v>0</v>
      </c>
      <c r="Q645" s="1" t="s">
        <v>25</v>
      </c>
      <c r="R645" s="1" t="s">
        <v>25</v>
      </c>
      <c r="S645" s="1">
        <v>29</v>
      </c>
      <c r="T645" s="1">
        <v>1</v>
      </c>
      <c r="U645" s="1">
        <v>2</v>
      </c>
      <c r="V645">
        <f t="shared" si="10"/>
        <v>43</v>
      </c>
    </row>
    <row r="646" spans="1:22" ht="13" x14ac:dyDescent="0.15">
      <c r="A646" s="4">
        <v>44776</v>
      </c>
      <c r="B646" s="5">
        <v>0.36964120370370368</v>
      </c>
      <c r="C646" s="1">
        <v>1543</v>
      </c>
      <c r="D646" s="1">
        <v>13002595</v>
      </c>
      <c r="E646" s="1">
        <v>13</v>
      </c>
      <c r="F646" s="1">
        <v>22589</v>
      </c>
      <c r="G646" s="1" t="s">
        <v>21</v>
      </c>
      <c r="H646" s="1">
        <v>18</v>
      </c>
      <c r="I646" s="1">
        <v>346984</v>
      </c>
      <c r="J646" s="1" t="s">
        <v>714</v>
      </c>
      <c r="K646" s="1" t="s">
        <v>51</v>
      </c>
      <c r="L646" s="1" t="s">
        <v>668</v>
      </c>
      <c r="M646" s="1">
        <v>0.03</v>
      </c>
      <c r="N646" s="2">
        <v>766.81</v>
      </c>
      <c r="O646" s="3">
        <v>1089</v>
      </c>
      <c r="P646" s="1">
        <v>0</v>
      </c>
      <c r="Q646" s="1" t="s">
        <v>25</v>
      </c>
      <c r="R646" s="1" t="s">
        <v>25</v>
      </c>
      <c r="S646" s="1">
        <v>29</v>
      </c>
      <c r="T646" s="1">
        <v>1</v>
      </c>
      <c r="U646" s="1">
        <v>5</v>
      </c>
      <c r="V646">
        <f t="shared" si="10"/>
        <v>32.67</v>
      </c>
    </row>
    <row r="647" spans="1:22" ht="13" x14ac:dyDescent="0.15">
      <c r="A647" s="4">
        <v>44776</v>
      </c>
      <c r="B647" s="5">
        <v>0.36964120370370368</v>
      </c>
      <c r="C647" s="1">
        <v>1543</v>
      </c>
      <c r="D647" s="1">
        <v>13002595</v>
      </c>
      <c r="E647" s="1">
        <v>13</v>
      </c>
      <c r="F647" s="1">
        <v>22589</v>
      </c>
      <c r="G647" s="1" t="s">
        <v>21</v>
      </c>
      <c r="H647" s="1">
        <v>18</v>
      </c>
      <c r="I647" s="1">
        <v>105888</v>
      </c>
      <c r="J647" s="1" t="s">
        <v>119</v>
      </c>
      <c r="K647" s="1" t="s">
        <v>117</v>
      </c>
      <c r="L647" s="1" t="s">
        <v>120</v>
      </c>
      <c r="M647" s="1">
        <v>1</v>
      </c>
      <c r="N647" s="2">
        <v>35.770000000000003</v>
      </c>
      <c r="O647" s="3">
        <v>58</v>
      </c>
      <c r="P647" s="1">
        <v>0</v>
      </c>
      <c r="Q647" s="1" t="s">
        <v>25</v>
      </c>
      <c r="R647" s="1" t="s">
        <v>25</v>
      </c>
      <c r="S647" s="1">
        <v>29</v>
      </c>
      <c r="T647" s="1">
        <v>1</v>
      </c>
      <c r="U647" s="1">
        <v>1</v>
      </c>
      <c r="V647">
        <f t="shared" si="10"/>
        <v>58</v>
      </c>
    </row>
    <row r="648" spans="1:22" ht="13" x14ac:dyDescent="0.15">
      <c r="A648" s="4">
        <v>44776</v>
      </c>
      <c r="B648" s="5">
        <v>0.60665509259259254</v>
      </c>
      <c r="C648" s="1">
        <v>1609</v>
      </c>
      <c r="D648" s="1">
        <v>13002595</v>
      </c>
      <c r="E648" s="1">
        <v>13</v>
      </c>
      <c r="F648" s="1">
        <v>22589</v>
      </c>
      <c r="G648" s="1" t="s">
        <v>21</v>
      </c>
      <c r="H648" s="1">
        <v>18</v>
      </c>
      <c r="I648" s="1">
        <v>105888</v>
      </c>
      <c r="J648" s="1" t="s">
        <v>119</v>
      </c>
      <c r="K648" s="1" t="s">
        <v>117</v>
      </c>
      <c r="L648" s="1" t="s">
        <v>120</v>
      </c>
      <c r="M648" s="1">
        <v>1</v>
      </c>
      <c r="N648" s="2">
        <v>35.770000000000003</v>
      </c>
      <c r="O648" s="3">
        <v>58</v>
      </c>
      <c r="P648" s="1">
        <v>0</v>
      </c>
      <c r="Q648" s="1" t="s">
        <v>25</v>
      </c>
      <c r="R648" s="1" t="s">
        <v>25</v>
      </c>
      <c r="S648" s="1">
        <v>29</v>
      </c>
      <c r="T648" s="1">
        <v>1</v>
      </c>
      <c r="U648" s="1">
        <v>1</v>
      </c>
      <c r="V648">
        <f t="shared" si="10"/>
        <v>58</v>
      </c>
    </row>
    <row r="649" spans="1:22" ht="13" x14ac:dyDescent="0.15">
      <c r="A649" s="4">
        <v>44776</v>
      </c>
      <c r="B649" s="5">
        <v>0.65983796296296293</v>
      </c>
      <c r="C649" s="1">
        <v>1621</v>
      </c>
      <c r="D649" s="1">
        <v>13002595</v>
      </c>
      <c r="E649" s="1">
        <v>13</v>
      </c>
      <c r="F649" s="1">
        <v>22589</v>
      </c>
      <c r="G649" s="1" t="s">
        <v>21</v>
      </c>
      <c r="H649" s="1">
        <v>18</v>
      </c>
      <c r="I649" s="1">
        <v>105888</v>
      </c>
      <c r="J649" s="1" t="s">
        <v>119</v>
      </c>
      <c r="K649" s="1" t="s">
        <v>117</v>
      </c>
      <c r="L649" s="1" t="s">
        <v>120</v>
      </c>
      <c r="M649" s="1">
        <v>1</v>
      </c>
      <c r="N649" s="2">
        <v>35.770000000000003</v>
      </c>
      <c r="O649" s="3">
        <v>58</v>
      </c>
      <c r="P649" s="1">
        <v>0</v>
      </c>
      <c r="Q649" s="1" t="s">
        <v>25</v>
      </c>
      <c r="R649" s="1" t="s">
        <v>25</v>
      </c>
      <c r="S649" s="1">
        <v>29</v>
      </c>
      <c r="T649" s="1">
        <v>1</v>
      </c>
      <c r="U649" s="1">
        <v>1</v>
      </c>
      <c r="V649">
        <f t="shared" si="10"/>
        <v>58</v>
      </c>
    </row>
    <row r="650" spans="1:22" ht="13" x14ac:dyDescent="0.15">
      <c r="A650" s="4">
        <v>44776</v>
      </c>
      <c r="B650" s="5">
        <v>0.69087962962962968</v>
      </c>
      <c r="C650" s="1">
        <v>1627</v>
      </c>
      <c r="D650" s="1">
        <v>13002595</v>
      </c>
      <c r="E650" s="1">
        <v>13</v>
      </c>
      <c r="F650" s="1">
        <v>22589</v>
      </c>
      <c r="G650" s="1" t="s">
        <v>21</v>
      </c>
      <c r="H650" s="1">
        <v>18</v>
      </c>
      <c r="I650" s="1">
        <v>105888</v>
      </c>
      <c r="J650" s="1" t="s">
        <v>119</v>
      </c>
      <c r="K650" s="1" t="s">
        <v>117</v>
      </c>
      <c r="L650" s="1" t="s">
        <v>120</v>
      </c>
      <c r="M650" s="1">
        <v>1</v>
      </c>
      <c r="N650" s="2">
        <v>35.770000000000003</v>
      </c>
      <c r="O650" s="3">
        <v>58</v>
      </c>
      <c r="P650" s="1">
        <v>5</v>
      </c>
      <c r="Q650" s="1">
        <v>9</v>
      </c>
      <c r="R650" s="1">
        <v>200010006183</v>
      </c>
      <c r="S650" s="1">
        <v>29</v>
      </c>
      <c r="T650" s="1">
        <v>1</v>
      </c>
      <c r="U650" s="1">
        <v>1</v>
      </c>
      <c r="V650">
        <f t="shared" si="10"/>
        <v>58</v>
      </c>
    </row>
    <row r="651" spans="1:22" ht="13" x14ac:dyDescent="0.15">
      <c r="A651" s="4">
        <v>44776</v>
      </c>
      <c r="B651" s="5">
        <v>0.79831018518518515</v>
      </c>
      <c r="C651" s="1">
        <v>1652</v>
      </c>
      <c r="D651" s="1">
        <v>13002595</v>
      </c>
      <c r="E651" s="1">
        <v>13</v>
      </c>
      <c r="F651" s="1">
        <v>22589</v>
      </c>
      <c r="G651" s="1" t="s">
        <v>21</v>
      </c>
      <c r="H651" s="1">
        <v>15</v>
      </c>
      <c r="I651" s="1">
        <v>105888</v>
      </c>
      <c r="J651" s="1" t="s">
        <v>119</v>
      </c>
      <c r="K651" s="1" t="s">
        <v>117</v>
      </c>
      <c r="L651" s="1" t="s">
        <v>120</v>
      </c>
      <c r="M651" s="1">
        <v>1</v>
      </c>
      <c r="N651" s="2">
        <v>35.770000000000003</v>
      </c>
      <c r="O651" s="3">
        <v>58</v>
      </c>
      <c r="P651" s="1">
        <v>0</v>
      </c>
      <c r="Q651" s="1" t="s">
        <v>25</v>
      </c>
      <c r="R651" s="1" t="s">
        <v>25</v>
      </c>
      <c r="S651" s="1">
        <v>29</v>
      </c>
      <c r="T651" s="1">
        <v>1</v>
      </c>
      <c r="U651" s="1">
        <v>1</v>
      </c>
      <c r="V651">
        <f t="shared" si="10"/>
        <v>58</v>
      </c>
    </row>
    <row r="652" spans="1:22" ht="13" x14ac:dyDescent="0.15">
      <c r="A652" s="4">
        <v>44776</v>
      </c>
      <c r="B652" s="5">
        <v>0.36964120370370368</v>
      </c>
      <c r="C652" s="1">
        <v>1543</v>
      </c>
      <c r="D652" s="1">
        <v>13002595</v>
      </c>
      <c r="E652" s="1">
        <v>13</v>
      </c>
      <c r="F652" s="1">
        <v>22589</v>
      </c>
      <c r="G652" s="1" t="s">
        <v>21</v>
      </c>
      <c r="H652" s="1">
        <v>18</v>
      </c>
      <c r="I652" s="1">
        <v>339756</v>
      </c>
      <c r="J652" s="1" t="s">
        <v>715</v>
      </c>
      <c r="K652" s="1" t="s">
        <v>51</v>
      </c>
      <c r="L652" s="1" t="s">
        <v>218</v>
      </c>
      <c r="M652" s="1">
        <v>1</v>
      </c>
      <c r="N652" s="2">
        <v>28.01</v>
      </c>
      <c r="O652" s="3">
        <v>39</v>
      </c>
      <c r="P652" s="1">
        <v>0</v>
      </c>
      <c r="Q652" s="1" t="s">
        <v>25</v>
      </c>
      <c r="R652" s="1" t="s">
        <v>25</v>
      </c>
      <c r="S652" s="1">
        <v>29</v>
      </c>
      <c r="T652" s="1">
        <v>1</v>
      </c>
      <c r="U652" s="1">
        <v>6</v>
      </c>
      <c r="V652">
        <f t="shared" si="10"/>
        <v>39</v>
      </c>
    </row>
    <row r="653" spans="1:22" ht="13" x14ac:dyDescent="0.15">
      <c r="A653" s="4">
        <v>44776</v>
      </c>
      <c r="B653" s="5">
        <v>0.36964120370370368</v>
      </c>
      <c r="C653" s="1">
        <v>1543</v>
      </c>
      <c r="D653" s="1">
        <v>13002595</v>
      </c>
      <c r="E653" s="1">
        <v>13</v>
      </c>
      <c r="F653" s="1">
        <v>22589</v>
      </c>
      <c r="G653" s="1" t="s">
        <v>21</v>
      </c>
      <c r="H653" s="1">
        <v>18</v>
      </c>
      <c r="I653" s="1">
        <v>339756</v>
      </c>
      <c r="J653" s="1" t="s">
        <v>715</v>
      </c>
      <c r="K653" s="1" t="s">
        <v>51</v>
      </c>
      <c r="L653" s="1" t="s">
        <v>218</v>
      </c>
      <c r="M653" s="1">
        <v>1</v>
      </c>
      <c r="N653" s="2">
        <v>28.01</v>
      </c>
      <c r="O653" s="3">
        <v>39</v>
      </c>
      <c r="P653" s="1">
        <v>0</v>
      </c>
      <c r="Q653" s="1" t="s">
        <v>25</v>
      </c>
      <c r="R653" s="1" t="s">
        <v>25</v>
      </c>
      <c r="S653" s="1">
        <v>29</v>
      </c>
      <c r="T653" s="1">
        <v>1</v>
      </c>
      <c r="U653" s="1">
        <v>7</v>
      </c>
      <c r="V653">
        <f t="shared" si="10"/>
        <v>39</v>
      </c>
    </row>
    <row r="654" spans="1:22" ht="13" x14ac:dyDescent="0.15">
      <c r="A654" s="4">
        <v>44776</v>
      </c>
      <c r="B654" s="5">
        <v>0.36964120370370368</v>
      </c>
      <c r="C654" s="1">
        <v>1543</v>
      </c>
      <c r="D654" s="1">
        <v>13002595</v>
      </c>
      <c r="E654" s="1">
        <v>13</v>
      </c>
      <c r="F654" s="1">
        <v>22589</v>
      </c>
      <c r="G654" s="1" t="s">
        <v>21</v>
      </c>
      <c r="H654" s="1">
        <v>18</v>
      </c>
      <c r="I654" s="1">
        <v>339756</v>
      </c>
      <c r="J654" s="1" t="s">
        <v>715</v>
      </c>
      <c r="K654" s="1" t="s">
        <v>51</v>
      </c>
      <c r="L654" s="1" t="s">
        <v>218</v>
      </c>
      <c r="M654" s="1">
        <v>1</v>
      </c>
      <c r="N654" s="2">
        <v>28.01</v>
      </c>
      <c r="O654" s="3">
        <v>39</v>
      </c>
      <c r="P654" s="1">
        <v>0</v>
      </c>
      <c r="Q654" s="1" t="s">
        <v>25</v>
      </c>
      <c r="R654" s="1" t="s">
        <v>25</v>
      </c>
      <c r="S654" s="1">
        <v>29</v>
      </c>
      <c r="T654" s="1">
        <v>1</v>
      </c>
      <c r="U654" s="1">
        <v>8</v>
      </c>
      <c r="V654">
        <f t="shared" si="10"/>
        <v>39</v>
      </c>
    </row>
    <row r="655" spans="1:22" ht="13" x14ac:dyDescent="0.15">
      <c r="A655" s="4">
        <v>44776</v>
      </c>
      <c r="B655" s="5">
        <v>0.36964120370370368</v>
      </c>
      <c r="C655" s="1">
        <v>1543</v>
      </c>
      <c r="D655" s="1">
        <v>13002595</v>
      </c>
      <c r="E655" s="1">
        <v>13</v>
      </c>
      <c r="F655" s="1">
        <v>22589</v>
      </c>
      <c r="G655" s="1" t="s">
        <v>21</v>
      </c>
      <c r="H655" s="1">
        <v>18</v>
      </c>
      <c r="I655" s="1">
        <v>1504015</v>
      </c>
      <c r="J655" s="1" t="s">
        <v>94</v>
      </c>
      <c r="K655" s="1" t="s">
        <v>95</v>
      </c>
      <c r="L655" s="1" t="s">
        <v>218</v>
      </c>
      <c r="M655" s="1">
        <v>1</v>
      </c>
      <c r="N655" s="2">
        <v>1.1499999999999999</v>
      </c>
      <c r="O655" s="3">
        <v>2</v>
      </c>
      <c r="P655" s="1">
        <v>0</v>
      </c>
      <c r="Q655" s="1" t="s">
        <v>25</v>
      </c>
      <c r="R655" s="1" t="s">
        <v>25</v>
      </c>
      <c r="S655" s="1">
        <v>29</v>
      </c>
      <c r="T655" s="1">
        <v>1</v>
      </c>
      <c r="U655" s="1">
        <v>4</v>
      </c>
      <c r="V655">
        <f t="shared" si="10"/>
        <v>2</v>
      </c>
    </row>
    <row r="656" spans="1:22" ht="13" x14ac:dyDescent="0.15">
      <c r="A656" s="4">
        <v>44776</v>
      </c>
      <c r="B656" s="5">
        <v>0.48781249999999998</v>
      </c>
      <c r="C656" s="1">
        <v>1570</v>
      </c>
      <c r="D656" s="1">
        <v>13002595</v>
      </c>
      <c r="E656" s="1">
        <v>13</v>
      </c>
      <c r="F656" s="1">
        <v>22589</v>
      </c>
      <c r="G656" s="1" t="s">
        <v>21</v>
      </c>
      <c r="H656" s="1">
        <v>18</v>
      </c>
      <c r="I656" s="1">
        <v>1504015</v>
      </c>
      <c r="J656" s="1" t="s">
        <v>94</v>
      </c>
      <c r="K656" s="1" t="s">
        <v>95</v>
      </c>
      <c r="L656" s="1" t="s">
        <v>218</v>
      </c>
      <c r="M656" s="1">
        <v>1</v>
      </c>
      <c r="N656" s="2">
        <v>1.1499999999999999</v>
      </c>
      <c r="O656" s="3">
        <v>2</v>
      </c>
      <c r="P656" s="1">
        <v>0</v>
      </c>
      <c r="Q656" s="1" t="s">
        <v>25</v>
      </c>
      <c r="R656" s="1" t="s">
        <v>25</v>
      </c>
      <c r="S656" s="1">
        <v>29</v>
      </c>
      <c r="T656" s="1">
        <v>1</v>
      </c>
      <c r="U656" s="1">
        <v>6</v>
      </c>
      <c r="V656">
        <f t="shared" si="10"/>
        <v>2</v>
      </c>
    </row>
    <row r="657" spans="1:22" ht="13" x14ac:dyDescent="0.15">
      <c r="A657" s="4">
        <v>44776</v>
      </c>
      <c r="B657" s="5">
        <v>0.79831018518518515</v>
      </c>
      <c r="C657" s="1">
        <v>1652</v>
      </c>
      <c r="D657" s="1">
        <v>13002595</v>
      </c>
      <c r="E657" s="1">
        <v>13</v>
      </c>
      <c r="F657" s="1">
        <v>22589</v>
      </c>
      <c r="G657" s="1" t="s">
        <v>21</v>
      </c>
      <c r="H657" s="1">
        <v>15</v>
      </c>
      <c r="I657" s="1">
        <v>1504015</v>
      </c>
      <c r="J657" s="1" t="s">
        <v>94</v>
      </c>
      <c r="K657" s="1" t="s">
        <v>95</v>
      </c>
      <c r="L657" s="1" t="s">
        <v>218</v>
      </c>
      <c r="M657" s="1">
        <v>1</v>
      </c>
      <c r="N657" s="2">
        <v>1.1499999999999999</v>
      </c>
      <c r="O657" s="3">
        <v>2</v>
      </c>
      <c r="P657" s="1">
        <v>0</v>
      </c>
      <c r="Q657" s="1" t="s">
        <v>25</v>
      </c>
      <c r="R657" s="1" t="s">
        <v>25</v>
      </c>
      <c r="S657" s="1">
        <v>29</v>
      </c>
      <c r="T657" s="1">
        <v>1</v>
      </c>
      <c r="U657" s="1">
        <v>4</v>
      </c>
      <c r="V657">
        <f t="shared" si="10"/>
        <v>2</v>
      </c>
    </row>
    <row r="658" spans="1:22" ht="13" x14ac:dyDescent="0.15">
      <c r="A658" s="4">
        <v>44776</v>
      </c>
      <c r="B658" s="5">
        <v>0.37939814814814815</v>
      </c>
      <c r="C658" s="1">
        <v>1544</v>
      </c>
      <c r="D658" s="1">
        <v>13002595</v>
      </c>
      <c r="E658" s="1">
        <v>13</v>
      </c>
      <c r="F658" s="1">
        <v>22589</v>
      </c>
      <c r="G658" s="1" t="s">
        <v>21</v>
      </c>
      <c r="H658" s="1">
        <v>15</v>
      </c>
      <c r="I658" s="1">
        <v>88380</v>
      </c>
      <c r="J658" s="1" t="s">
        <v>716</v>
      </c>
      <c r="K658" s="1" t="s">
        <v>34</v>
      </c>
      <c r="L658" s="1" t="s">
        <v>717</v>
      </c>
      <c r="M658" s="1">
        <v>1</v>
      </c>
      <c r="N658" s="2">
        <v>413.47</v>
      </c>
      <c r="O658" s="3">
        <v>538</v>
      </c>
      <c r="P658" s="1">
        <v>0</v>
      </c>
      <c r="Q658" s="1" t="s">
        <v>25</v>
      </c>
      <c r="R658" s="1" t="s">
        <v>25</v>
      </c>
      <c r="S658" s="1">
        <v>29</v>
      </c>
      <c r="T658" s="1">
        <v>1</v>
      </c>
      <c r="U658" s="1">
        <v>2</v>
      </c>
      <c r="V658">
        <f t="shared" si="10"/>
        <v>538</v>
      </c>
    </row>
    <row r="659" spans="1:22" ht="13" x14ac:dyDescent="0.15">
      <c r="A659" s="4">
        <v>44776</v>
      </c>
      <c r="B659" s="5">
        <v>0.37939814814814815</v>
      </c>
      <c r="C659" s="1">
        <v>1544</v>
      </c>
      <c r="D659" s="1">
        <v>13002595</v>
      </c>
      <c r="E659" s="1">
        <v>13</v>
      </c>
      <c r="F659" s="1">
        <v>22589</v>
      </c>
      <c r="G659" s="1" t="s">
        <v>21</v>
      </c>
      <c r="H659" s="1">
        <v>15</v>
      </c>
      <c r="I659" s="1">
        <v>16909</v>
      </c>
      <c r="J659" s="1" t="s">
        <v>718</v>
      </c>
      <c r="K659" s="1" t="s">
        <v>51</v>
      </c>
      <c r="L659" s="1" t="s">
        <v>717</v>
      </c>
      <c r="M659" s="1">
        <v>0.16666666999999999</v>
      </c>
      <c r="N659" s="2">
        <v>918.14</v>
      </c>
      <c r="O659" s="3">
        <v>1185</v>
      </c>
      <c r="P659" s="1">
        <v>0</v>
      </c>
      <c r="Q659" s="1" t="s">
        <v>25</v>
      </c>
      <c r="R659" s="1" t="s">
        <v>25</v>
      </c>
      <c r="S659" s="1">
        <v>29</v>
      </c>
      <c r="T659" s="1">
        <v>1</v>
      </c>
      <c r="U659" s="1">
        <v>1</v>
      </c>
      <c r="V659">
        <f t="shared" si="10"/>
        <v>197.50000394999998</v>
      </c>
    </row>
    <row r="660" spans="1:22" ht="13" x14ac:dyDescent="0.15">
      <c r="A660" s="4">
        <v>44776</v>
      </c>
      <c r="B660" s="5">
        <v>0.37939814814814815</v>
      </c>
      <c r="C660" s="1">
        <v>1544</v>
      </c>
      <c r="D660" s="1">
        <v>13002595</v>
      </c>
      <c r="E660" s="1">
        <v>13</v>
      </c>
      <c r="F660" s="1">
        <v>22589</v>
      </c>
      <c r="G660" s="1" t="s">
        <v>21</v>
      </c>
      <c r="H660" s="1">
        <v>15</v>
      </c>
      <c r="I660" s="1">
        <v>52492</v>
      </c>
      <c r="J660" s="1" t="s">
        <v>719</v>
      </c>
      <c r="K660" s="1" t="s">
        <v>23</v>
      </c>
      <c r="L660" s="1" t="s">
        <v>720</v>
      </c>
      <c r="M660" s="1">
        <v>0.5</v>
      </c>
      <c r="N660" s="2">
        <v>1418.27</v>
      </c>
      <c r="O660" s="3">
        <v>1773</v>
      </c>
      <c r="P660" s="1">
        <v>0</v>
      </c>
      <c r="Q660" s="1" t="s">
        <v>25</v>
      </c>
      <c r="R660" s="1" t="s">
        <v>25</v>
      </c>
      <c r="S660" s="1">
        <v>29</v>
      </c>
      <c r="T660" s="1">
        <v>1</v>
      </c>
      <c r="U660" s="1">
        <v>3</v>
      </c>
      <c r="V660">
        <f t="shared" si="10"/>
        <v>886.5</v>
      </c>
    </row>
    <row r="661" spans="1:22" ht="13" x14ac:dyDescent="0.15">
      <c r="A661" s="4">
        <v>44776</v>
      </c>
      <c r="B661" s="5">
        <v>0.39349537037037036</v>
      </c>
      <c r="C661" s="1">
        <v>1545</v>
      </c>
      <c r="D661" s="1">
        <v>13002595</v>
      </c>
      <c r="E661" s="1">
        <v>13</v>
      </c>
      <c r="F661" s="1">
        <v>22589</v>
      </c>
      <c r="G661" s="1" t="s">
        <v>21</v>
      </c>
      <c r="H661" s="1">
        <v>18</v>
      </c>
      <c r="I661" s="1">
        <v>7162</v>
      </c>
      <c r="J661" s="1" t="s">
        <v>721</v>
      </c>
      <c r="K661" s="1" t="s">
        <v>34</v>
      </c>
      <c r="L661" s="1" t="s">
        <v>35</v>
      </c>
      <c r="M661" s="1">
        <v>1</v>
      </c>
      <c r="N661" s="2">
        <v>134.07</v>
      </c>
      <c r="O661" s="3">
        <v>161</v>
      </c>
      <c r="P661" s="1">
        <v>8</v>
      </c>
      <c r="Q661" s="1">
        <v>9</v>
      </c>
      <c r="R661" s="1">
        <v>200010020285</v>
      </c>
      <c r="S661" s="1">
        <v>29</v>
      </c>
      <c r="T661" s="1">
        <v>1</v>
      </c>
      <c r="U661" s="1">
        <v>2</v>
      </c>
      <c r="V661">
        <f t="shared" si="10"/>
        <v>161</v>
      </c>
    </row>
    <row r="662" spans="1:22" ht="13" x14ac:dyDescent="0.15">
      <c r="A662" s="4">
        <v>44776</v>
      </c>
      <c r="B662" s="5">
        <v>0.39349537037037036</v>
      </c>
      <c r="C662" s="1">
        <v>1545</v>
      </c>
      <c r="D662" s="1">
        <v>13002595</v>
      </c>
      <c r="E662" s="1">
        <v>13</v>
      </c>
      <c r="F662" s="1">
        <v>22589</v>
      </c>
      <c r="G662" s="1" t="s">
        <v>21</v>
      </c>
      <c r="H662" s="1">
        <v>18</v>
      </c>
      <c r="I662" s="1">
        <v>100378</v>
      </c>
      <c r="J662" s="1" t="s">
        <v>722</v>
      </c>
      <c r="K662" s="1" t="s">
        <v>34</v>
      </c>
      <c r="L662" s="1" t="s">
        <v>723</v>
      </c>
      <c r="M662" s="1">
        <v>1</v>
      </c>
      <c r="N662" s="2">
        <v>60.39</v>
      </c>
      <c r="O662" s="3">
        <v>74</v>
      </c>
      <c r="P662" s="1">
        <v>3</v>
      </c>
      <c r="Q662" s="1">
        <v>9</v>
      </c>
      <c r="R662" s="1">
        <v>200010020285</v>
      </c>
      <c r="S662" s="1">
        <v>29</v>
      </c>
      <c r="T662" s="1">
        <v>1</v>
      </c>
      <c r="U662" s="1">
        <v>1</v>
      </c>
      <c r="V662">
        <f t="shared" si="10"/>
        <v>74</v>
      </c>
    </row>
    <row r="663" spans="1:22" ht="13" x14ac:dyDescent="0.15">
      <c r="A663" s="4">
        <v>44776</v>
      </c>
      <c r="B663" s="5">
        <v>0.78979166666666667</v>
      </c>
      <c r="C663" s="1">
        <v>1651</v>
      </c>
      <c r="D663" s="1">
        <v>13002595</v>
      </c>
      <c r="E663" s="1">
        <v>13</v>
      </c>
      <c r="F663" s="1">
        <v>22589</v>
      </c>
      <c r="G663" s="1" t="s">
        <v>21</v>
      </c>
      <c r="H663" s="1">
        <v>15</v>
      </c>
      <c r="I663" s="1">
        <v>100378</v>
      </c>
      <c r="J663" s="1" t="s">
        <v>722</v>
      </c>
      <c r="K663" s="1" t="s">
        <v>34</v>
      </c>
      <c r="L663" s="1" t="s">
        <v>723</v>
      </c>
      <c r="M663" s="1">
        <v>1</v>
      </c>
      <c r="N663" s="2">
        <v>60.39</v>
      </c>
      <c r="O663" s="3">
        <v>74</v>
      </c>
      <c r="P663" s="1">
        <v>3</v>
      </c>
      <c r="Q663" s="1">
        <v>9</v>
      </c>
      <c r="R663" s="1">
        <v>200010006181</v>
      </c>
      <c r="S663" s="1">
        <v>29</v>
      </c>
      <c r="T663" s="1">
        <v>1</v>
      </c>
      <c r="U663" s="1">
        <v>1</v>
      </c>
      <c r="V663">
        <f t="shared" si="10"/>
        <v>74</v>
      </c>
    </row>
    <row r="664" spans="1:22" ht="13" x14ac:dyDescent="0.15">
      <c r="A664" s="4">
        <v>44776</v>
      </c>
      <c r="B664" s="5">
        <v>0.39648148148148149</v>
      </c>
      <c r="C664" s="1">
        <v>1546</v>
      </c>
      <c r="D664" s="1">
        <v>13002595</v>
      </c>
      <c r="E664" s="1">
        <v>13</v>
      </c>
      <c r="F664" s="1">
        <v>22589</v>
      </c>
      <c r="G664" s="1" t="s">
        <v>21</v>
      </c>
      <c r="H664" s="1">
        <v>15</v>
      </c>
      <c r="I664" s="1">
        <v>573255</v>
      </c>
      <c r="J664" s="1" t="s">
        <v>724</v>
      </c>
      <c r="K664" s="1" t="s">
        <v>51</v>
      </c>
      <c r="L664" s="1" t="s">
        <v>725</v>
      </c>
      <c r="M664" s="1">
        <v>1</v>
      </c>
      <c r="N664" s="2">
        <v>106.4</v>
      </c>
      <c r="O664" s="3">
        <v>146</v>
      </c>
      <c r="P664" s="1">
        <v>0</v>
      </c>
      <c r="Q664" s="1" t="s">
        <v>25</v>
      </c>
      <c r="R664" s="1" t="s">
        <v>25</v>
      </c>
      <c r="S664" s="1">
        <v>29</v>
      </c>
      <c r="T664" s="1">
        <v>1</v>
      </c>
      <c r="U664" s="1">
        <v>1</v>
      </c>
      <c r="V664">
        <f t="shared" si="10"/>
        <v>146</v>
      </c>
    </row>
    <row r="665" spans="1:22" ht="13" x14ac:dyDescent="0.15">
      <c r="A665" s="4">
        <v>44776</v>
      </c>
      <c r="B665" s="5">
        <v>0.39648148148148149</v>
      </c>
      <c r="C665" s="1">
        <v>1546</v>
      </c>
      <c r="D665" s="1">
        <v>13002595</v>
      </c>
      <c r="E665" s="1">
        <v>13</v>
      </c>
      <c r="F665" s="1">
        <v>22589</v>
      </c>
      <c r="G665" s="1" t="s">
        <v>21</v>
      </c>
      <c r="H665" s="1">
        <v>15</v>
      </c>
      <c r="I665" s="1">
        <v>346984</v>
      </c>
      <c r="J665" s="1" t="s">
        <v>714</v>
      </c>
      <c r="K665" s="1" t="s">
        <v>51</v>
      </c>
      <c r="L665" s="1" t="s">
        <v>668</v>
      </c>
      <c r="M665" s="1">
        <v>0.02</v>
      </c>
      <c r="N665" s="2">
        <v>766.81</v>
      </c>
      <c r="O665" s="3">
        <v>1089</v>
      </c>
      <c r="P665" s="1">
        <v>0</v>
      </c>
      <c r="Q665" s="1" t="s">
        <v>25</v>
      </c>
      <c r="R665" s="1" t="s">
        <v>25</v>
      </c>
      <c r="S665" s="1">
        <v>29</v>
      </c>
      <c r="T665" s="1">
        <v>1</v>
      </c>
      <c r="U665" s="1">
        <v>2</v>
      </c>
      <c r="V665">
        <f t="shared" si="10"/>
        <v>21.78</v>
      </c>
    </row>
    <row r="666" spans="1:22" ht="13" x14ac:dyDescent="0.15">
      <c r="A666" s="4">
        <v>44776</v>
      </c>
      <c r="B666" s="5">
        <v>0.41375000000000001</v>
      </c>
      <c r="C666" s="1">
        <v>1547</v>
      </c>
      <c r="D666" s="1">
        <v>13002595</v>
      </c>
      <c r="E666" s="1">
        <v>13</v>
      </c>
      <c r="F666" s="1">
        <v>22589</v>
      </c>
      <c r="G666" s="1" t="s">
        <v>21</v>
      </c>
      <c r="H666" s="1">
        <v>15</v>
      </c>
      <c r="I666" s="1">
        <v>596246</v>
      </c>
      <c r="J666" s="1" t="s">
        <v>726</v>
      </c>
      <c r="K666" s="1" t="s">
        <v>141</v>
      </c>
      <c r="L666" s="1" t="s">
        <v>727</v>
      </c>
      <c r="M666" s="1">
        <v>1</v>
      </c>
      <c r="N666" s="2">
        <v>477.29</v>
      </c>
      <c r="O666" s="3">
        <v>631</v>
      </c>
      <c r="P666" s="1">
        <v>44</v>
      </c>
      <c r="Q666" s="1">
        <v>9</v>
      </c>
      <c r="R666" s="1">
        <v>200010001578</v>
      </c>
      <c r="S666" s="1">
        <v>29</v>
      </c>
      <c r="T666" s="1">
        <v>1</v>
      </c>
      <c r="U666" s="1">
        <v>1</v>
      </c>
      <c r="V666">
        <f t="shared" si="10"/>
        <v>631</v>
      </c>
    </row>
    <row r="667" spans="1:22" ht="13" x14ac:dyDescent="0.15">
      <c r="A667" s="4">
        <v>44776</v>
      </c>
      <c r="B667" s="5">
        <v>0.41524305555555557</v>
      </c>
      <c r="C667" s="1">
        <v>1548</v>
      </c>
      <c r="D667" s="1">
        <v>13002595</v>
      </c>
      <c r="E667" s="1">
        <v>13</v>
      </c>
      <c r="F667" s="1">
        <v>22589</v>
      </c>
      <c r="G667" s="1" t="s">
        <v>21</v>
      </c>
      <c r="H667" s="1">
        <v>15</v>
      </c>
      <c r="I667" s="1">
        <v>511366</v>
      </c>
      <c r="J667" s="1" t="s">
        <v>728</v>
      </c>
      <c r="K667" s="1" t="s">
        <v>51</v>
      </c>
      <c r="L667" s="1" t="s">
        <v>729</v>
      </c>
      <c r="M667" s="1">
        <v>1</v>
      </c>
      <c r="N667" s="2">
        <v>236.27</v>
      </c>
      <c r="O667" s="3">
        <v>319</v>
      </c>
      <c r="P667" s="1">
        <v>0</v>
      </c>
      <c r="Q667" s="1" t="s">
        <v>25</v>
      </c>
      <c r="R667" s="1" t="s">
        <v>25</v>
      </c>
      <c r="S667" s="1">
        <v>29</v>
      </c>
      <c r="T667" s="1">
        <v>1</v>
      </c>
      <c r="U667" s="1">
        <v>1</v>
      </c>
      <c r="V667">
        <f t="shared" si="10"/>
        <v>319</v>
      </c>
    </row>
    <row r="668" spans="1:22" ht="13" x14ac:dyDescent="0.15">
      <c r="A668" s="4">
        <v>44776</v>
      </c>
      <c r="B668" s="5">
        <v>0.42203703703703704</v>
      </c>
      <c r="C668" s="1">
        <v>1549</v>
      </c>
      <c r="D668" s="1">
        <v>13002595</v>
      </c>
      <c r="E668" s="1">
        <v>13</v>
      </c>
      <c r="F668" s="1">
        <v>22589</v>
      </c>
      <c r="G668" s="1" t="s">
        <v>21</v>
      </c>
      <c r="H668" s="1">
        <v>15</v>
      </c>
      <c r="I668" s="1">
        <v>141304</v>
      </c>
      <c r="J668" s="1" t="s">
        <v>730</v>
      </c>
      <c r="K668" s="1" t="s">
        <v>141</v>
      </c>
      <c r="L668" s="1" t="s">
        <v>731</v>
      </c>
      <c r="M668" s="1">
        <v>1</v>
      </c>
      <c r="N668" s="2">
        <v>126.06</v>
      </c>
      <c r="O668" s="3">
        <v>148</v>
      </c>
      <c r="P668" s="1">
        <v>7</v>
      </c>
      <c r="Q668" s="1">
        <v>9</v>
      </c>
      <c r="R668" s="1">
        <v>200010023966</v>
      </c>
      <c r="S668" s="1">
        <v>29</v>
      </c>
      <c r="T668" s="1">
        <v>1</v>
      </c>
      <c r="U668" s="1">
        <v>1</v>
      </c>
      <c r="V668">
        <f t="shared" si="10"/>
        <v>148</v>
      </c>
    </row>
    <row r="669" spans="1:22" ht="13" x14ac:dyDescent="0.15">
      <c r="A669" s="4">
        <v>44776</v>
      </c>
      <c r="B669" s="5">
        <v>0.42203703703703704</v>
      </c>
      <c r="C669" s="1">
        <v>1549</v>
      </c>
      <c r="D669" s="1">
        <v>13002595</v>
      </c>
      <c r="E669" s="1">
        <v>13</v>
      </c>
      <c r="F669" s="1">
        <v>22589</v>
      </c>
      <c r="G669" s="1" t="s">
        <v>21</v>
      </c>
      <c r="H669" s="1">
        <v>15</v>
      </c>
      <c r="I669" s="1">
        <v>564775</v>
      </c>
      <c r="J669" s="1" t="s">
        <v>508</v>
      </c>
      <c r="K669" s="1" t="s">
        <v>51</v>
      </c>
      <c r="L669" s="1" t="s">
        <v>509</v>
      </c>
      <c r="M669" s="1">
        <v>1</v>
      </c>
      <c r="N669" s="2">
        <v>6.87</v>
      </c>
      <c r="O669" s="3">
        <v>12</v>
      </c>
      <c r="P669" s="1">
        <v>1</v>
      </c>
      <c r="Q669" s="1">
        <v>9</v>
      </c>
      <c r="R669" s="1">
        <v>200010023966</v>
      </c>
      <c r="S669" s="1">
        <v>29</v>
      </c>
      <c r="T669" s="1">
        <v>1</v>
      </c>
      <c r="U669" s="1">
        <v>2</v>
      </c>
      <c r="V669">
        <f t="shared" si="10"/>
        <v>12</v>
      </c>
    </row>
    <row r="670" spans="1:22" ht="13" x14ac:dyDescent="0.15">
      <c r="A670" s="4">
        <v>44776</v>
      </c>
      <c r="B670" s="5">
        <v>0.42416666666666669</v>
      </c>
      <c r="C670" s="1">
        <v>1550</v>
      </c>
      <c r="D670" s="1">
        <v>13002595</v>
      </c>
      <c r="E670" s="1">
        <v>13</v>
      </c>
      <c r="F670" s="1">
        <v>22589</v>
      </c>
      <c r="G670" s="1" t="s">
        <v>21</v>
      </c>
      <c r="H670" s="1">
        <v>18</v>
      </c>
      <c r="I670" s="1">
        <v>46153</v>
      </c>
      <c r="J670" s="1" t="s">
        <v>732</v>
      </c>
      <c r="K670" s="1" t="s">
        <v>29</v>
      </c>
      <c r="L670" s="1" t="s">
        <v>118</v>
      </c>
      <c r="M670" s="1">
        <v>1</v>
      </c>
      <c r="N670" s="2">
        <v>68.13</v>
      </c>
      <c r="O670" s="3">
        <v>97</v>
      </c>
      <c r="P670" s="1">
        <v>6</v>
      </c>
      <c r="Q670" s="1">
        <v>9</v>
      </c>
      <c r="R670" s="1">
        <v>200010003369</v>
      </c>
      <c r="S670" s="1">
        <v>29</v>
      </c>
      <c r="T670" s="1">
        <v>1</v>
      </c>
      <c r="U670" s="1">
        <v>1</v>
      </c>
      <c r="V670">
        <f t="shared" si="10"/>
        <v>97</v>
      </c>
    </row>
    <row r="671" spans="1:22" ht="13" x14ac:dyDescent="0.15">
      <c r="A671" s="4">
        <v>44776</v>
      </c>
      <c r="B671" s="5">
        <v>0.42765046296296294</v>
      </c>
      <c r="C671" s="1">
        <v>1551</v>
      </c>
      <c r="D671" s="1">
        <v>13002595</v>
      </c>
      <c r="E671" s="1">
        <v>13</v>
      </c>
      <c r="F671" s="1">
        <v>22589</v>
      </c>
      <c r="G671" s="1" t="s">
        <v>21</v>
      </c>
      <c r="H671" s="1">
        <v>18</v>
      </c>
      <c r="I671" s="1">
        <v>6887</v>
      </c>
      <c r="J671" s="1" t="s">
        <v>733</v>
      </c>
      <c r="K671" s="1" t="s">
        <v>23</v>
      </c>
      <c r="L671" s="1" t="s">
        <v>734</v>
      </c>
      <c r="M671" s="1">
        <v>1</v>
      </c>
      <c r="N671" s="2">
        <v>266.05</v>
      </c>
      <c r="O671" s="3">
        <v>322</v>
      </c>
      <c r="P671" s="1">
        <v>16</v>
      </c>
      <c r="Q671" s="1">
        <v>9</v>
      </c>
      <c r="R671" s="1">
        <v>200010001798</v>
      </c>
      <c r="S671" s="1">
        <v>29</v>
      </c>
      <c r="T671" s="1">
        <v>1</v>
      </c>
      <c r="U671" s="1">
        <v>1</v>
      </c>
      <c r="V671">
        <f t="shared" si="10"/>
        <v>322</v>
      </c>
    </row>
    <row r="672" spans="1:22" ht="13" x14ac:dyDescent="0.15">
      <c r="A672" s="4">
        <v>44776</v>
      </c>
      <c r="B672" s="5">
        <v>0.43148148148148147</v>
      </c>
      <c r="C672" s="1">
        <v>1552</v>
      </c>
      <c r="D672" s="1">
        <v>13002595</v>
      </c>
      <c r="E672" s="1">
        <v>13</v>
      </c>
      <c r="F672" s="1">
        <v>22589</v>
      </c>
      <c r="G672" s="1" t="s">
        <v>21</v>
      </c>
      <c r="H672" s="1">
        <v>15</v>
      </c>
      <c r="I672" s="1">
        <v>46244</v>
      </c>
      <c r="J672" s="1" t="s">
        <v>574</v>
      </c>
      <c r="K672" s="1" t="s">
        <v>252</v>
      </c>
      <c r="L672" s="1" t="s">
        <v>575</v>
      </c>
      <c r="M672" s="1">
        <v>2</v>
      </c>
      <c r="N672" s="2">
        <v>35.53</v>
      </c>
      <c r="O672" s="3">
        <v>58</v>
      </c>
      <c r="P672" s="1">
        <v>11</v>
      </c>
      <c r="Q672" s="1">
        <v>9</v>
      </c>
      <c r="R672" s="1">
        <v>200010019189</v>
      </c>
      <c r="S672" s="1">
        <v>29</v>
      </c>
      <c r="T672" s="1">
        <v>1</v>
      </c>
      <c r="U672" s="1">
        <v>1</v>
      </c>
      <c r="V672">
        <f t="shared" si="10"/>
        <v>116</v>
      </c>
    </row>
    <row r="673" spans="1:22" ht="13" x14ac:dyDescent="0.15">
      <c r="A673" s="4">
        <v>44776</v>
      </c>
      <c r="B673" s="5">
        <v>0.43421296296296297</v>
      </c>
      <c r="C673" s="1">
        <v>1553</v>
      </c>
      <c r="D673" s="1">
        <v>13002595</v>
      </c>
      <c r="E673" s="1">
        <v>13</v>
      </c>
      <c r="F673" s="1">
        <v>22589</v>
      </c>
      <c r="G673" s="1" t="s">
        <v>21</v>
      </c>
      <c r="H673" s="1">
        <v>18</v>
      </c>
      <c r="I673" s="1">
        <v>348751</v>
      </c>
      <c r="J673" s="1" t="s">
        <v>735</v>
      </c>
      <c r="K673" s="1" t="s">
        <v>23</v>
      </c>
      <c r="L673" s="1" t="s">
        <v>137</v>
      </c>
      <c r="M673" s="1">
        <v>1</v>
      </c>
      <c r="N673" s="2">
        <v>304.82</v>
      </c>
      <c r="O673" s="3">
        <v>364</v>
      </c>
      <c r="P673" s="1">
        <v>0</v>
      </c>
      <c r="Q673" s="1" t="s">
        <v>25</v>
      </c>
      <c r="R673" s="1" t="s">
        <v>25</v>
      </c>
      <c r="S673" s="1">
        <v>29</v>
      </c>
      <c r="T673" s="1">
        <v>1</v>
      </c>
      <c r="U673" s="1">
        <v>1</v>
      </c>
      <c r="V673">
        <f t="shared" si="10"/>
        <v>364</v>
      </c>
    </row>
    <row r="674" spans="1:22" ht="13" x14ac:dyDescent="0.15">
      <c r="A674" s="4">
        <v>44776</v>
      </c>
      <c r="B674" s="5">
        <v>0.43873842592592593</v>
      </c>
      <c r="C674" s="1">
        <v>1554</v>
      </c>
      <c r="D674" s="1">
        <v>13002595</v>
      </c>
      <c r="E674" s="1">
        <v>13</v>
      </c>
      <c r="F674" s="1">
        <v>22589</v>
      </c>
      <c r="G674" s="1" t="s">
        <v>21</v>
      </c>
      <c r="H674" s="1">
        <v>15</v>
      </c>
      <c r="I674" s="1">
        <v>33001</v>
      </c>
      <c r="J674" s="1" t="s">
        <v>378</v>
      </c>
      <c r="K674" s="1" t="s">
        <v>29</v>
      </c>
      <c r="L674" s="1" t="s">
        <v>269</v>
      </c>
      <c r="M674" s="1">
        <v>4</v>
      </c>
      <c r="N674" s="2">
        <v>2.08</v>
      </c>
      <c r="O674" s="3">
        <v>4</v>
      </c>
      <c r="P674" s="1">
        <v>1</v>
      </c>
      <c r="Q674" s="1">
        <v>9</v>
      </c>
      <c r="R674" s="1">
        <v>200010001632</v>
      </c>
      <c r="S674" s="1">
        <v>29</v>
      </c>
      <c r="T674" s="1">
        <v>1</v>
      </c>
      <c r="U674" s="1">
        <v>3</v>
      </c>
      <c r="V674">
        <f t="shared" si="10"/>
        <v>16</v>
      </c>
    </row>
    <row r="675" spans="1:22" ht="13" x14ac:dyDescent="0.15">
      <c r="A675" s="4">
        <v>44776</v>
      </c>
      <c r="B675" s="5">
        <v>0.43873842592592593</v>
      </c>
      <c r="C675" s="1">
        <v>1554</v>
      </c>
      <c r="D675" s="1">
        <v>13002595</v>
      </c>
      <c r="E675" s="1">
        <v>13</v>
      </c>
      <c r="F675" s="1">
        <v>22589</v>
      </c>
      <c r="G675" s="1" t="s">
        <v>21</v>
      </c>
      <c r="H675" s="1">
        <v>15</v>
      </c>
      <c r="I675" s="1">
        <v>82897</v>
      </c>
      <c r="J675" s="1" t="s">
        <v>736</v>
      </c>
      <c r="K675" s="1" t="s">
        <v>34</v>
      </c>
      <c r="L675" s="1" t="s">
        <v>212</v>
      </c>
      <c r="M675" s="1">
        <v>1</v>
      </c>
      <c r="N675" s="2">
        <v>49.94</v>
      </c>
      <c r="O675" s="3">
        <v>81</v>
      </c>
      <c r="P675" s="1">
        <v>8</v>
      </c>
      <c r="Q675" s="1">
        <v>9</v>
      </c>
      <c r="R675" s="1">
        <v>200010001632</v>
      </c>
      <c r="S675" s="1">
        <v>29</v>
      </c>
      <c r="T675" s="1">
        <v>1</v>
      </c>
      <c r="U675" s="1">
        <v>2</v>
      </c>
      <c r="V675">
        <f t="shared" si="10"/>
        <v>81</v>
      </c>
    </row>
    <row r="676" spans="1:22" ht="13" x14ac:dyDescent="0.15">
      <c r="A676" s="4">
        <v>44776</v>
      </c>
      <c r="B676" s="5">
        <v>0.43873842592592593</v>
      </c>
      <c r="C676" s="1">
        <v>1554</v>
      </c>
      <c r="D676" s="1">
        <v>13002595</v>
      </c>
      <c r="E676" s="1">
        <v>13</v>
      </c>
      <c r="F676" s="1">
        <v>22589</v>
      </c>
      <c r="G676" s="1" t="s">
        <v>21</v>
      </c>
      <c r="H676" s="1">
        <v>15</v>
      </c>
      <c r="I676" s="1">
        <v>82027</v>
      </c>
      <c r="J676" s="1" t="s">
        <v>737</v>
      </c>
      <c r="K676" s="1" t="s">
        <v>51</v>
      </c>
      <c r="L676" s="1" t="s">
        <v>350</v>
      </c>
      <c r="M676" s="1">
        <v>1</v>
      </c>
      <c r="N676" s="2">
        <v>42.24</v>
      </c>
      <c r="O676" s="3">
        <v>69</v>
      </c>
      <c r="P676" s="1">
        <v>6</v>
      </c>
      <c r="Q676" s="1">
        <v>9</v>
      </c>
      <c r="R676" s="1">
        <v>200010001632</v>
      </c>
      <c r="S676" s="1">
        <v>29</v>
      </c>
      <c r="T676" s="1">
        <v>1</v>
      </c>
      <c r="U676" s="1">
        <v>1</v>
      </c>
      <c r="V676">
        <f t="shared" si="10"/>
        <v>69</v>
      </c>
    </row>
    <row r="677" spans="1:22" ht="13" x14ac:dyDescent="0.15">
      <c r="A677" s="4">
        <v>44776</v>
      </c>
      <c r="B677" s="5">
        <v>0.43873842592592593</v>
      </c>
      <c r="C677" s="1">
        <v>1554</v>
      </c>
      <c r="D677" s="1">
        <v>13002595</v>
      </c>
      <c r="E677" s="1">
        <v>13</v>
      </c>
      <c r="F677" s="1">
        <v>22589</v>
      </c>
      <c r="G677" s="1" t="s">
        <v>21</v>
      </c>
      <c r="H677" s="1">
        <v>15</v>
      </c>
      <c r="I677" s="1">
        <v>117949</v>
      </c>
      <c r="J677" s="1" t="s">
        <v>594</v>
      </c>
      <c r="K677" s="1" t="s">
        <v>141</v>
      </c>
      <c r="L677" s="1" t="s">
        <v>97</v>
      </c>
      <c r="M677" s="1">
        <v>2</v>
      </c>
      <c r="N677" s="2">
        <v>10.02</v>
      </c>
      <c r="O677" s="3">
        <v>17</v>
      </c>
      <c r="P677" s="1">
        <v>3</v>
      </c>
      <c r="Q677" s="1">
        <v>9</v>
      </c>
      <c r="R677" s="1">
        <v>200010001632</v>
      </c>
      <c r="S677" s="1">
        <v>29</v>
      </c>
      <c r="T677" s="1">
        <v>1</v>
      </c>
      <c r="U677" s="1">
        <v>5</v>
      </c>
      <c r="V677">
        <f t="shared" si="10"/>
        <v>34</v>
      </c>
    </row>
    <row r="678" spans="1:22" ht="13" x14ac:dyDescent="0.15">
      <c r="A678" s="4">
        <v>44776</v>
      </c>
      <c r="B678" s="5">
        <v>0.43873842592592593</v>
      </c>
      <c r="C678" s="1">
        <v>1554</v>
      </c>
      <c r="D678" s="1">
        <v>13002595</v>
      </c>
      <c r="E678" s="1">
        <v>13</v>
      </c>
      <c r="F678" s="1">
        <v>22589</v>
      </c>
      <c r="G678" s="1" t="s">
        <v>21</v>
      </c>
      <c r="H678" s="1">
        <v>15</v>
      </c>
      <c r="I678" s="1">
        <v>308676</v>
      </c>
      <c r="J678" s="1" t="s">
        <v>738</v>
      </c>
      <c r="K678" s="1" t="s">
        <v>51</v>
      </c>
      <c r="L678" s="1" t="s">
        <v>739</v>
      </c>
      <c r="M678" s="1">
        <v>2</v>
      </c>
      <c r="N678" s="2">
        <v>90.95</v>
      </c>
      <c r="O678" s="3">
        <v>143</v>
      </c>
      <c r="P678" s="1">
        <v>28</v>
      </c>
      <c r="Q678" s="1">
        <v>9</v>
      </c>
      <c r="R678" s="1">
        <v>200010001632</v>
      </c>
      <c r="S678" s="1">
        <v>29</v>
      </c>
      <c r="T678" s="1">
        <v>1</v>
      </c>
      <c r="U678" s="1">
        <v>4</v>
      </c>
      <c r="V678">
        <f t="shared" si="10"/>
        <v>286</v>
      </c>
    </row>
    <row r="679" spans="1:22" ht="13" x14ac:dyDescent="0.15">
      <c r="A679" s="4">
        <v>44776</v>
      </c>
      <c r="B679" s="5">
        <v>0.43943287037037038</v>
      </c>
      <c r="C679" s="1">
        <v>1555</v>
      </c>
      <c r="D679" s="1">
        <v>13002595</v>
      </c>
      <c r="E679" s="1">
        <v>13</v>
      </c>
      <c r="F679" s="1">
        <v>22589</v>
      </c>
      <c r="G679" s="1" t="s">
        <v>21</v>
      </c>
      <c r="H679" s="1">
        <v>15</v>
      </c>
      <c r="I679" s="1">
        <v>76203</v>
      </c>
      <c r="J679" s="1" t="s">
        <v>740</v>
      </c>
      <c r="K679" s="1" t="s">
        <v>23</v>
      </c>
      <c r="L679" s="1" t="s">
        <v>248</v>
      </c>
      <c r="M679" s="1">
        <v>1</v>
      </c>
      <c r="N679" s="2">
        <v>52.01</v>
      </c>
      <c r="O679" s="3">
        <v>64</v>
      </c>
      <c r="P679" s="1">
        <v>3</v>
      </c>
      <c r="Q679" s="1">
        <v>9</v>
      </c>
      <c r="R679" s="1">
        <v>200010013453</v>
      </c>
      <c r="S679" s="1">
        <v>29</v>
      </c>
      <c r="T679" s="1">
        <v>1</v>
      </c>
      <c r="U679" s="1">
        <v>1</v>
      </c>
      <c r="V679">
        <f t="shared" si="10"/>
        <v>64</v>
      </c>
    </row>
    <row r="680" spans="1:22" ht="13" x14ac:dyDescent="0.15">
      <c r="A680" s="4">
        <v>44776</v>
      </c>
      <c r="B680" s="5">
        <v>0.43943287037037038</v>
      </c>
      <c r="C680" s="1">
        <v>1555</v>
      </c>
      <c r="D680" s="1">
        <v>13002595</v>
      </c>
      <c r="E680" s="1">
        <v>13</v>
      </c>
      <c r="F680" s="1">
        <v>22589</v>
      </c>
      <c r="G680" s="1" t="s">
        <v>21</v>
      </c>
      <c r="H680" s="1">
        <v>15</v>
      </c>
      <c r="I680" s="1">
        <v>2302</v>
      </c>
      <c r="J680" s="1" t="s">
        <v>81</v>
      </c>
      <c r="K680" s="1" t="s">
        <v>61</v>
      </c>
      <c r="L680" s="1" t="s">
        <v>82</v>
      </c>
      <c r="M680" s="1">
        <v>1</v>
      </c>
      <c r="N680" s="2">
        <v>148.28</v>
      </c>
      <c r="O680" s="3">
        <v>174</v>
      </c>
      <c r="P680" s="1">
        <v>8</v>
      </c>
      <c r="Q680" s="1">
        <v>9</v>
      </c>
      <c r="R680" s="1">
        <v>200010013453</v>
      </c>
      <c r="S680" s="1">
        <v>29</v>
      </c>
      <c r="T680" s="1">
        <v>1</v>
      </c>
      <c r="U680" s="1">
        <v>2</v>
      </c>
      <c r="V680">
        <f t="shared" si="10"/>
        <v>174</v>
      </c>
    </row>
    <row r="681" spans="1:22" ht="13" x14ac:dyDescent="0.15">
      <c r="A681" s="4">
        <v>44776</v>
      </c>
      <c r="B681" s="5">
        <v>0.44114583333333335</v>
      </c>
      <c r="C681" s="1">
        <v>1556</v>
      </c>
      <c r="D681" s="1">
        <v>13002595</v>
      </c>
      <c r="E681" s="1">
        <v>13</v>
      </c>
      <c r="F681" s="1">
        <v>22589</v>
      </c>
      <c r="G681" s="1" t="s">
        <v>21</v>
      </c>
      <c r="H681" s="1">
        <v>15</v>
      </c>
      <c r="I681" s="1">
        <v>858</v>
      </c>
      <c r="J681" s="1" t="s">
        <v>741</v>
      </c>
      <c r="K681" s="1" t="s">
        <v>51</v>
      </c>
      <c r="L681" s="1" t="s">
        <v>742</v>
      </c>
      <c r="M681" s="1">
        <v>1</v>
      </c>
      <c r="N681" s="2">
        <v>35.78</v>
      </c>
      <c r="O681" s="3">
        <v>45</v>
      </c>
      <c r="P681" s="1">
        <v>2</v>
      </c>
      <c r="Q681" s="1">
        <v>9</v>
      </c>
      <c r="R681" s="1">
        <v>200010004807</v>
      </c>
      <c r="S681" s="1">
        <v>29</v>
      </c>
      <c r="T681" s="1">
        <v>1</v>
      </c>
      <c r="U681" s="1">
        <v>2</v>
      </c>
      <c r="V681">
        <f t="shared" si="10"/>
        <v>45</v>
      </c>
    </row>
    <row r="682" spans="1:22" ht="13" x14ac:dyDescent="0.15">
      <c r="A682" s="4">
        <v>44776</v>
      </c>
      <c r="B682" s="5">
        <v>0.44114583333333335</v>
      </c>
      <c r="C682" s="1">
        <v>1556</v>
      </c>
      <c r="D682" s="1">
        <v>13002595</v>
      </c>
      <c r="E682" s="1">
        <v>13</v>
      </c>
      <c r="F682" s="1">
        <v>22589</v>
      </c>
      <c r="G682" s="1" t="s">
        <v>21</v>
      </c>
      <c r="H682" s="1">
        <v>15</v>
      </c>
      <c r="I682" s="1">
        <v>13574</v>
      </c>
      <c r="J682" s="1" t="s">
        <v>416</v>
      </c>
      <c r="K682" s="1" t="s">
        <v>29</v>
      </c>
      <c r="L682" s="1" t="s">
        <v>743</v>
      </c>
      <c r="M682" s="1">
        <v>1</v>
      </c>
      <c r="N682" s="2">
        <v>914.38</v>
      </c>
      <c r="O682" s="3">
        <v>1180</v>
      </c>
      <c r="P682" s="1">
        <v>82</v>
      </c>
      <c r="Q682" s="1">
        <v>9</v>
      </c>
      <c r="R682" s="1">
        <v>200010004807</v>
      </c>
      <c r="S682" s="1">
        <v>29</v>
      </c>
      <c r="T682" s="1">
        <v>1</v>
      </c>
      <c r="U682" s="1">
        <v>1</v>
      </c>
      <c r="V682">
        <f t="shared" si="10"/>
        <v>1180</v>
      </c>
    </row>
    <row r="683" spans="1:22" ht="13" x14ac:dyDescent="0.15">
      <c r="A683" s="4">
        <v>44776</v>
      </c>
      <c r="B683" s="5">
        <v>0.44354166666666667</v>
      </c>
      <c r="C683" s="1">
        <v>1557</v>
      </c>
      <c r="D683" s="1">
        <v>13002595</v>
      </c>
      <c r="E683" s="1">
        <v>13</v>
      </c>
      <c r="F683" s="1">
        <v>22589</v>
      </c>
      <c r="G683" s="1" t="s">
        <v>21</v>
      </c>
      <c r="H683" s="1">
        <v>15</v>
      </c>
      <c r="I683" s="1">
        <v>339757</v>
      </c>
      <c r="J683" s="1" t="s">
        <v>744</v>
      </c>
      <c r="K683" s="1" t="s">
        <v>51</v>
      </c>
      <c r="L683" s="1" t="s">
        <v>218</v>
      </c>
      <c r="M683" s="1">
        <v>1</v>
      </c>
      <c r="N683" s="2">
        <v>29.93</v>
      </c>
      <c r="O683" s="3">
        <v>38</v>
      </c>
      <c r="P683" s="1">
        <v>1</v>
      </c>
      <c r="Q683" s="1">
        <v>9</v>
      </c>
      <c r="R683" s="1">
        <v>200010020276</v>
      </c>
      <c r="S683" s="1">
        <v>29</v>
      </c>
      <c r="T683" s="1">
        <v>1</v>
      </c>
      <c r="U683" s="1">
        <v>3</v>
      </c>
      <c r="V683">
        <f t="shared" si="10"/>
        <v>38</v>
      </c>
    </row>
    <row r="684" spans="1:22" ht="13" x14ac:dyDescent="0.15">
      <c r="A684" s="4">
        <v>44776</v>
      </c>
      <c r="B684" s="5">
        <v>0.44354166666666667</v>
      </c>
      <c r="C684" s="1">
        <v>1557</v>
      </c>
      <c r="D684" s="1">
        <v>13002595</v>
      </c>
      <c r="E684" s="1">
        <v>13</v>
      </c>
      <c r="F684" s="1">
        <v>22589</v>
      </c>
      <c r="G684" s="1" t="s">
        <v>21</v>
      </c>
      <c r="H684" s="1">
        <v>15</v>
      </c>
      <c r="I684" s="1">
        <v>339757</v>
      </c>
      <c r="J684" s="1" t="s">
        <v>744</v>
      </c>
      <c r="K684" s="1" t="s">
        <v>51</v>
      </c>
      <c r="L684" s="1" t="s">
        <v>218</v>
      </c>
      <c r="M684" s="1">
        <v>1</v>
      </c>
      <c r="N684" s="2">
        <v>29.93</v>
      </c>
      <c r="O684" s="3">
        <v>38</v>
      </c>
      <c r="P684" s="1">
        <v>1</v>
      </c>
      <c r="Q684" s="1">
        <v>9</v>
      </c>
      <c r="R684" s="1">
        <v>200010020276</v>
      </c>
      <c r="S684" s="1">
        <v>29</v>
      </c>
      <c r="T684" s="1">
        <v>1</v>
      </c>
      <c r="U684" s="1">
        <v>4</v>
      </c>
      <c r="V684">
        <f t="shared" si="10"/>
        <v>38</v>
      </c>
    </row>
    <row r="685" spans="1:22" ht="13" x14ac:dyDescent="0.15">
      <c r="A685" s="4">
        <v>44776</v>
      </c>
      <c r="B685" s="5">
        <v>0.44354166666666667</v>
      </c>
      <c r="C685" s="1">
        <v>1557</v>
      </c>
      <c r="D685" s="1">
        <v>13002595</v>
      </c>
      <c r="E685" s="1">
        <v>13</v>
      </c>
      <c r="F685" s="1">
        <v>22589</v>
      </c>
      <c r="G685" s="1" t="s">
        <v>21</v>
      </c>
      <c r="H685" s="1">
        <v>15</v>
      </c>
      <c r="I685" s="1">
        <v>339757</v>
      </c>
      <c r="J685" s="1" t="s">
        <v>744</v>
      </c>
      <c r="K685" s="1" t="s">
        <v>51</v>
      </c>
      <c r="L685" s="1" t="s">
        <v>218</v>
      </c>
      <c r="M685" s="1">
        <v>1</v>
      </c>
      <c r="N685" s="2">
        <v>29.93</v>
      </c>
      <c r="O685" s="3">
        <v>38</v>
      </c>
      <c r="P685" s="1">
        <v>1</v>
      </c>
      <c r="Q685" s="1">
        <v>9</v>
      </c>
      <c r="R685" s="1">
        <v>200010020276</v>
      </c>
      <c r="S685" s="1">
        <v>29</v>
      </c>
      <c r="T685" s="1">
        <v>1</v>
      </c>
      <c r="U685" s="1">
        <v>5</v>
      </c>
      <c r="V685">
        <f t="shared" si="10"/>
        <v>38</v>
      </c>
    </row>
    <row r="686" spans="1:22" ht="13" x14ac:dyDescent="0.15">
      <c r="A686" s="4">
        <v>44776</v>
      </c>
      <c r="B686" s="5">
        <v>0.44354166666666667</v>
      </c>
      <c r="C686" s="1">
        <v>1557</v>
      </c>
      <c r="D686" s="1">
        <v>13002595</v>
      </c>
      <c r="E686" s="1">
        <v>13</v>
      </c>
      <c r="F686" s="1">
        <v>22589</v>
      </c>
      <c r="G686" s="1" t="s">
        <v>21</v>
      </c>
      <c r="H686" s="1">
        <v>15</v>
      </c>
      <c r="I686" s="1">
        <v>339757</v>
      </c>
      <c r="J686" s="1" t="s">
        <v>744</v>
      </c>
      <c r="K686" s="1" t="s">
        <v>51</v>
      </c>
      <c r="L686" s="1" t="s">
        <v>218</v>
      </c>
      <c r="M686" s="1">
        <v>1</v>
      </c>
      <c r="N686" s="2">
        <v>29.93</v>
      </c>
      <c r="O686" s="3">
        <v>38</v>
      </c>
      <c r="P686" s="1">
        <v>1</v>
      </c>
      <c r="Q686" s="1">
        <v>9</v>
      </c>
      <c r="R686" s="1">
        <v>200010020276</v>
      </c>
      <c r="S686" s="1">
        <v>29</v>
      </c>
      <c r="T686" s="1">
        <v>1</v>
      </c>
      <c r="U686" s="1">
        <v>6</v>
      </c>
      <c r="V686">
        <f t="shared" si="10"/>
        <v>38</v>
      </c>
    </row>
    <row r="687" spans="1:22" ht="13" x14ac:dyDescent="0.15">
      <c r="A687" s="4">
        <v>44776</v>
      </c>
      <c r="B687" s="5">
        <v>0.44354166666666667</v>
      </c>
      <c r="C687" s="1">
        <v>1557</v>
      </c>
      <c r="D687" s="1">
        <v>13002595</v>
      </c>
      <c r="E687" s="1">
        <v>13</v>
      </c>
      <c r="F687" s="1">
        <v>22589</v>
      </c>
      <c r="G687" s="1" t="s">
        <v>21</v>
      </c>
      <c r="H687" s="1">
        <v>15</v>
      </c>
      <c r="I687" s="1">
        <v>339757</v>
      </c>
      <c r="J687" s="1" t="s">
        <v>744</v>
      </c>
      <c r="K687" s="1" t="s">
        <v>51</v>
      </c>
      <c r="L687" s="1" t="s">
        <v>218</v>
      </c>
      <c r="M687" s="1">
        <v>1</v>
      </c>
      <c r="N687" s="2">
        <v>29.93</v>
      </c>
      <c r="O687" s="3">
        <v>38</v>
      </c>
      <c r="P687" s="1">
        <v>1</v>
      </c>
      <c r="Q687" s="1">
        <v>9</v>
      </c>
      <c r="R687" s="1">
        <v>200010020276</v>
      </c>
      <c r="S687" s="1">
        <v>29</v>
      </c>
      <c r="T687" s="1">
        <v>1</v>
      </c>
      <c r="U687" s="1">
        <v>7</v>
      </c>
      <c r="V687">
        <f t="shared" si="10"/>
        <v>38</v>
      </c>
    </row>
    <row r="688" spans="1:22" ht="13" x14ac:dyDescent="0.15">
      <c r="A688" s="4">
        <v>44776</v>
      </c>
      <c r="B688" s="5">
        <v>0.44354166666666667</v>
      </c>
      <c r="C688" s="1">
        <v>1557</v>
      </c>
      <c r="D688" s="1">
        <v>13002595</v>
      </c>
      <c r="E688" s="1">
        <v>13</v>
      </c>
      <c r="F688" s="1">
        <v>22589</v>
      </c>
      <c r="G688" s="1" t="s">
        <v>21</v>
      </c>
      <c r="H688" s="1">
        <v>15</v>
      </c>
      <c r="I688" s="1">
        <v>339757</v>
      </c>
      <c r="J688" s="1" t="s">
        <v>744</v>
      </c>
      <c r="K688" s="1" t="s">
        <v>51</v>
      </c>
      <c r="L688" s="1" t="s">
        <v>218</v>
      </c>
      <c r="M688" s="1">
        <v>1</v>
      </c>
      <c r="N688" s="2">
        <v>29.93</v>
      </c>
      <c r="O688" s="3">
        <v>38</v>
      </c>
      <c r="P688" s="1">
        <v>1</v>
      </c>
      <c r="Q688" s="1">
        <v>9</v>
      </c>
      <c r="R688" s="1">
        <v>200010020276</v>
      </c>
      <c r="S688" s="1">
        <v>29</v>
      </c>
      <c r="T688" s="1">
        <v>1</v>
      </c>
      <c r="U688" s="1">
        <v>8</v>
      </c>
      <c r="V688">
        <f t="shared" si="10"/>
        <v>38</v>
      </c>
    </row>
    <row r="689" spans="1:22" ht="13" x14ac:dyDescent="0.15">
      <c r="A689" s="4">
        <v>44776</v>
      </c>
      <c r="B689" s="5">
        <v>0.44354166666666667</v>
      </c>
      <c r="C689" s="1">
        <v>1557</v>
      </c>
      <c r="D689" s="1">
        <v>13002595</v>
      </c>
      <c r="E689" s="1">
        <v>13</v>
      </c>
      <c r="F689" s="1">
        <v>22589</v>
      </c>
      <c r="G689" s="1" t="s">
        <v>21</v>
      </c>
      <c r="H689" s="1">
        <v>15</v>
      </c>
      <c r="I689" s="1">
        <v>339757</v>
      </c>
      <c r="J689" s="1" t="s">
        <v>744</v>
      </c>
      <c r="K689" s="1" t="s">
        <v>51</v>
      </c>
      <c r="L689" s="1" t="s">
        <v>218</v>
      </c>
      <c r="M689" s="1">
        <v>1</v>
      </c>
      <c r="N689" s="2">
        <v>29.93</v>
      </c>
      <c r="O689" s="3">
        <v>38</v>
      </c>
      <c r="P689" s="1">
        <v>1</v>
      </c>
      <c r="Q689" s="1">
        <v>9</v>
      </c>
      <c r="R689" s="1">
        <v>200010020276</v>
      </c>
      <c r="S689" s="1">
        <v>29</v>
      </c>
      <c r="T689" s="1">
        <v>1</v>
      </c>
      <c r="U689" s="1">
        <v>9</v>
      </c>
      <c r="V689">
        <f t="shared" si="10"/>
        <v>38</v>
      </c>
    </row>
    <row r="690" spans="1:22" ht="13" x14ac:dyDescent="0.15">
      <c r="A690" s="4">
        <v>44776</v>
      </c>
      <c r="B690" s="5">
        <v>0.44354166666666667</v>
      </c>
      <c r="C690" s="1">
        <v>1557</v>
      </c>
      <c r="D690" s="1">
        <v>13002595</v>
      </c>
      <c r="E690" s="1">
        <v>13</v>
      </c>
      <c r="F690" s="1">
        <v>22589</v>
      </c>
      <c r="G690" s="1" t="s">
        <v>21</v>
      </c>
      <c r="H690" s="1">
        <v>15</v>
      </c>
      <c r="I690" s="1">
        <v>339757</v>
      </c>
      <c r="J690" s="1" t="s">
        <v>744</v>
      </c>
      <c r="K690" s="1" t="s">
        <v>51</v>
      </c>
      <c r="L690" s="1" t="s">
        <v>218</v>
      </c>
      <c r="M690" s="1">
        <v>1</v>
      </c>
      <c r="N690" s="2">
        <v>29.93</v>
      </c>
      <c r="O690" s="3">
        <v>38</v>
      </c>
      <c r="P690" s="1">
        <v>1</v>
      </c>
      <c r="Q690" s="1">
        <v>9</v>
      </c>
      <c r="R690" s="1">
        <v>200010020276</v>
      </c>
      <c r="S690" s="1">
        <v>29</v>
      </c>
      <c r="T690" s="1">
        <v>1</v>
      </c>
      <c r="U690" s="1">
        <v>10</v>
      </c>
      <c r="V690">
        <f t="shared" si="10"/>
        <v>38</v>
      </c>
    </row>
    <row r="691" spans="1:22" ht="13" x14ac:dyDescent="0.15">
      <c r="A691" s="4">
        <v>44776</v>
      </c>
      <c r="B691" s="5">
        <v>0.44354166666666667</v>
      </c>
      <c r="C691" s="1">
        <v>1557</v>
      </c>
      <c r="D691" s="1">
        <v>13002595</v>
      </c>
      <c r="E691" s="1">
        <v>13</v>
      </c>
      <c r="F691" s="1">
        <v>22589</v>
      </c>
      <c r="G691" s="1" t="s">
        <v>21</v>
      </c>
      <c r="H691" s="1">
        <v>15</v>
      </c>
      <c r="I691" s="1">
        <v>339757</v>
      </c>
      <c r="J691" s="1" t="s">
        <v>744</v>
      </c>
      <c r="K691" s="1" t="s">
        <v>51</v>
      </c>
      <c r="L691" s="1" t="s">
        <v>218</v>
      </c>
      <c r="M691" s="1">
        <v>1</v>
      </c>
      <c r="N691" s="2">
        <v>29.93</v>
      </c>
      <c r="O691" s="3">
        <v>38</v>
      </c>
      <c r="P691" s="1">
        <v>1</v>
      </c>
      <c r="Q691" s="1">
        <v>9</v>
      </c>
      <c r="R691" s="1">
        <v>200010020276</v>
      </c>
      <c r="S691" s="1">
        <v>29</v>
      </c>
      <c r="T691" s="1">
        <v>1</v>
      </c>
      <c r="U691" s="1">
        <v>11</v>
      </c>
      <c r="V691">
        <f t="shared" si="10"/>
        <v>38</v>
      </c>
    </row>
    <row r="692" spans="1:22" ht="13" x14ac:dyDescent="0.15">
      <c r="A692" s="4">
        <v>44776</v>
      </c>
      <c r="B692" s="5">
        <v>0.44354166666666667</v>
      </c>
      <c r="C692" s="1">
        <v>1557</v>
      </c>
      <c r="D692" s="1">
        <v>13002595</v>
      </c>
      <c r="E692" s="1">
        <v>13</v>
      </c>
      <c r="F692" s="1">
        <v>22589</v>
      </c>
      <c r="G692" s="1" t="s">
        <v>21</v>
      </c>
      <c r="H692" s="1">
        <v>15</v>
      </c>
      <c r="I692" s="1">
        <v>344752</v>
      </c>
      <c r="J692" s="1" t="s">
        <v>745</v>
      </c>
      <c r="K692" s="1" t="s">
        <v>64</v>
      </c>
      <c r="L692" s="1" t="s">
        <v>746</v>
      </c>
      <c r="M692" s="1">
        <v>1</v>
      </c>
      <c r="N692" s="2">
        <v>40.880000000000003</v>
      </c>
      <c r="O692" s="3">
        <v>66</v>
      </c>
      <c r="P692" s="1">
        <v>3</v>
      </c>
      <c r="Q692" s="1">
        <v>9</v>
      </c>
      <c r="R692" s="1">
        <v>200010020276</v>
      </c>
      <c r="S692" s="1">
        <v>29</v>
      </c>
      <c r="T692" s="1">
        <v>1</v>
      </c>
      <c r="U692" s="1">
        <v>1</v>
      </c>
      <c r="V692">
        <f t="shared" si="10"/>
        <v>66</v>
      </c>
    </row>
    <row r="693" spans="1:22" ht="13" x14ac:dyDescent="0.15">
      <c r="A693" s="4">
        <v>44776</v>
      </c>
      <c r="B693" s="5">
        <v>0.48781249999999998</v>
      </c>
      <c r="C693" s="1">
        <v>1570</v>
      </c>
      <c r="D693" s="1">
        <v>13002595</v>
      </c>
      <c r="E693" s="1">
        <v>13</v>
      </c>
      <c r="F693" s="1">
        <v>22589</v>
      </c>
      <c r="G693" s="1" t="s">
        <v>21</v>
      </c>
      <c r="H693" s="1">
        <v>18</v>
      </c>
      <c r="I693" s="1">
        <v>344752</v>
      </c>
      <c r="J693" s="1" t="s">
        <v>745</v>
      </c>
      <c r="K693" s="1" t="s">
        <v>64</v>
      </c>
      <c r="L693" s="1" t="s">
        <v>746</v>
      </c>
      <c r="M693" s="1">
        <v>1</v>
      </c>
      <c r="N693" s="2">
        <v>40.880000000000003</v>
      </c>
      <c r="O693" s="3">
        <v>66</v>
      </c>
      <c r="P693" s="1">
        <v>3</v>
      </c>
      <c r="Q693" s="1">
        <v>9</v>
      </c>
      <c r="R693" s="1">
        <v>200010026823</v>
      </c>
      <c r="S693" s="1">
        <v>29</v>
      </c>
      <c r="T693" s="1">
        <v>1</v>
      </c>
      <c r="U693" s="1">
        <v>2</v>
      </c>
      <c r="V693">
        <f t="shared" si="10"/>
        <v>66</v>
      </c>
    </row>
    <row r="694" spans="1:22" ht="13" x14ac:dyDescent="0.15">
      <c r="A694" s="4">
        <v>44776</v>
      </c>
      <c r="B694" s="5">
        <v>0.48781249999999998</v>
      </c>
      <c r="C694" s="1">
        <v>1570</v>
      </c>
      <c r="D694" s="1">
        <v>13002595</v>
      </c>
      <c r="E694" s="1">
        <v>13</v>
      </c>
      <c r="F694" s="1">
        <v>22589</v>
      </c>
      <c r="G694" s="1" t="s">
        <v>21</v>
      </c>
      <c r="H694" s="1">
        <v>18</v>
      </c>
      <c r="I694" s="1">
        <v>344752</v>
      </c>
      <c r="J694" s="1" t="s">
        <v>745</v>
      </c>
      <c r="K694" s="1" t="s">
        <v>64</v>
      </c>
      <c r="L694" s="1" t="s">
        <v>746</v>
      </c>
      <c r="M694" s="1">
        <v>1</v>
      </c>
      <c r="N694" s="2">
        <v>40.880000000000003</v>
      </c>
      <c r="O694" s="3">
        <v>66</v>
      </c>
      <c r="P694" s="1">
        <v>3</v>
      </c>
      <c r="Q694" s="1">
        <v>9</v>
      </c>
      <c r="R694" s="1">
        <v>200010026823</v>
      </c>
      <c r="S694" s="1">
        <v>29</v>
      </c>
      <c r="T694" s="1">
        <v>1</v>
      </c>
      <c r="U694" s="1">
        <v>3</v>
      </c>
      <c r="V694">
        <f t="shared" si="10"/>
        <v>66</v>
      </c>
    </row>
    <row r="695" spans="1:22" ht="13" x14ac:dyDescent="0.15">
      <c r="A695" s="4">
        <v>44776</v>
      </c>
      <c r="B695" s="5">
        <v>0.60665509259259254</v>
      </c>
      <c r="C695" s="1">
        <v>1609</v>
      </c>
      <c r="D695" s="1">
        <v>13002595</v>
      </c>
      <c r="E695" s="1">
        <v>13</v>
      </c>
      <c r="F695" s="1">
        <v>22589</v>
      </c>
      <c r="G695" s="1" t="s">
        <v>21</v>
      </c>
      <c r="H695" s="1">
        <v>18</v>
      </c>
      <c r="I695" s="1">
        <v>344752</v>
      </c>
      <c r="J695" s="1" t="s">
        <v>745</v>
      </c>
      <c r="K695" s="1" t="s">
        <v>64</v>
      </c>
      <c r="L695" s="1" t="s">
        <v>746</v>
      </c>
      <c r="M695" s="1">
        <v>1</v>
      </c>
      <c r="N695" s="2">
        <v>40.880000000000003</v>
      </c>
      <c r="O695" s="3">
        <v>66</v>
      </c>
      <c r="P695" s="1">
        <v>0</v>
      </c>
      <c r="Q695" s="1" t="s">
        <v>25</v>
      </c>
      <c r="R695" s="1" t="s">
        <v>25</v>
      </c>
      <c r="S695" s="1">
        <v>29</v>
      </c>
      <c r="T695" s="1">
        <v>1</v>
      </c>
      <c r="U695" s="1">
        <v>2</v>
      </c>
      <c r="V695">
        <f t="shared" si="10"/>
        <v>66</v>
      </c>
    </row>
    <row r="696" spans="1:22" ht="13" x14ac:dyDescent="0.15">
      <c r="A696" s="4">
        <v>44776</v>
      </c>
      <c r="B696" s="5">
        <v>0.44538194444444446</v>
      </c>
      <c r="C696" s="1">
        <v>1558</v>
      </c>
      <c r="D696" s="1">
        <v>13002595</v>
      </c>
      <c r="E696" s="1">
        <v>13</v>
      </c>
      <c r="F696" s="1">
        <v>22589</v>
      </c>
      <c r="G696" s="1" t="s">
        <v>21</v>
      </c>
      <c r="H696" s="1">
        <v>18</v>
      </c>
      <c r="I696" s="1">
        <v>641</v>
      </c>
      <c r="J696" s="1" t="s">
        <v>747</v>
      </c>
      <c r="K696" s="1" t="s">
        <v>51</v>
      </c>
      <c r="L696" s="1" t="s">
        <v>531</v>
      </c>
      <c r="M696" s="1">
        <v>1</v>
      </c>
      <c r="N696" s="2">
        <v>357.99</v>
      </c>
      <c r="O696" s="3">
        <v>473</v>
      </c>
      <c r="P696" s="1">
        <v>33</v>
      </c>
      <c r="Q696" s="1">
        <v>9</v>
      </c>
      <c r="R696" s="1">
        <v>200010007499</v>
      </c>
      <c r="S696" s="1">
        <v>29</v>
      </c>
      <c r="T696" s="1">
        <v>1</v>
      </c>
      <c r="U696" s="1">
        <v>1</v>
      </c>
      <c r="V696">
        <f t="shared" si="10"/>
        <v>473</v>
      </c>
    </row>
    <row r="697" spans="1:22" ht="13" x14ac:dyDescent="0.15">
      <c r="A697" s="4">
        <v>44776</v>
      </c>
      <c r="B697" s="5">
        <v>0.44743055555555555</v>
      </c>
      <c r="C697" s="1">
        <v>1559</v>
      </c>
      <c r="D697" s="1">
        <v>13002595</v>
      </c>
      <c r="E697" s="1">
        <v>13</v>
      </c>
      <c r="F697" s="1">
        <v>22589</v>
      </c>
      <c r="G697" s="1" t="s">
        <v>21</v>
      </c>
      <c r="H697" s="1">
        <v>15</v>
      </c>
      <c r="I697" s="1">
        <v>82067</v>
      </c>
      <c r="J697" s="1" t="s">
        <v>748</v>
      </c>
      <c r="K697" s="1" t="s">
        <v>51</v>
      </c>
      <c r="L697" s="1" t="s">
        <v>175</v>
      </c>
      <c r="M697" s="1">
        <v>1</v>
      </c>
      <c r="N697" s="2">
        <v>31.24</v>
      </c>
      <c r="O697" s="3">
        <v>39</v>
      </c>
      <c r="P697" s="1">
        <v>0</v>
      </c>
      <c r="Q697" s="1" t="s">
        <v>25</v>
      </c>
      <c r="R697" s="1" t="s">
        <v>25</v>
      </c>
      <c r="S697" s="1">
        <v>29</v>
      </c>
      <c r="T697" s="1">
        <v>1</v>
      </c>
      <c r="U697" s="1">
        <v>1</v>
      </c>
      <c r="V697">
        <f t="shared" si="10"/>
        <v>39</v>
      </c>
    </row>
    <row r="698" spans="1:22" ht="13" x14ac:dyDescent="0.15">
      <c r="A698" s="4">
        <v>44776</v>
      </c>
      <c r="B698" s="5">
        <v>0.44743055555555555</v>
      </c>
      <c r="C698" s="1">
        <v>1559</v>
      </c>
      <c r="D698" s="1">
        <v>13002595</v>
      </c>
      <c r="E698" s="1">
        <v>13</v>
      </c>
      <c r="F698" s="1">
        <v>22589</v>
      </c>
      <c r="G698" s="1" t="s">
        <v>21</v>
      </c>
      <c r="H698" s="1">
        <v>15</v>
      </c>
      <c r="I698" s="1">
        <v>101391</v>
      </c>
      <c r="J698" s="1" t="s">
        <v>749</v>
      </c>
      <c r="K698" s="1" t="s">
        <v>29</v>
      </c>
      <c r="L698" s="1" t="s">
        <v>750</v>
      </c>
      <c r="M698" s="1">
        <v>1</v>
      </c>
      <c r="N698" s="2">
        <v>190.49</v>
      </c>
      <c r="O698" s="3">
        <v>261</v>
      </c>
      <c r="P698" s="1">
        <v>0</v>
      </c>
      <c r="Q698" s="1" t="s">
        <v>25</v>
      </c>
      <c r="R698" s="1" t="s">
        <v>25</v>
      </c>
      <c r="S698" s="1">
        <v>29</v>
      </c>
      <c r="T698" s="1">
        <v>1</v>
      </c>
      <c r="U698" s="1">
        <v>2</v>
      </c>
      <c r="V698">
        <f t="shared" si="10"/>
        <v>261</v>
      </c>
    </row>
    <row r="699" spans="1:22" ht="13" x14ac:dyDescent="0.15">
      <c r="A699" s="4">
        <v>44776</v>
      </c>
      <c r="B699" s="5">
        <v>0.45534722222222224</v>
      </c>
      <c r="C699" s="1">
        <v>1560</v>
      </c>
      <c r="D699" s="1">
        <v>13002595</v>
      </c>
      <c r="E699" s="1">
        <v>13</v>
      </c>
      <c r="F699" s="1">
        <v>22589</v>
      </c>
      <c r="G699" s="1" t="s">
        <v>21</v>
      </c>
      <c r="H699" s="1">
        <v>15</v>
      </c>
      <c r="I699" s="1">
        <v>418134</v>
      </c>
      <c r="J699" s="1" t="s">
        <v>418</v>
      </c>
      <c r="K699" s="1" t="s">
        <v>51</v>
      </c>
      <c r="L699" s="1" t="s">
        <v>76</v>
      </c>
      <c r="M699" s="1">
        <v>1</v>
      </c>
      <c r="N699" s="2">
        <v>30.25</v>
      </c>
      <c r="O699" s="3">
        <v>35</v>
      </c>
      <c r="P699" s="1">
        <v>2</v>
      </c>
      <c r="Q699" s="1">
        <v>9</v>
      </c>
      <c r="R699" s="1">
        <v>200010006106</v>
      </c>
      <c r="S699" s="1">
        <v>29</v>
      </c>
      <c r="T699" s="1">
        <v>1</v>
      </c>
      <c r="U699" s="1">
        <v>1</v>
      </c>
      <c r="V699">
        <f t="shared" si="10"/>
        <v>35</v>
      </c>
    </row>
    <row r="700" spans="1:22" ht="13" x14ac:dyDescent="0.15">
      <c r="A700" s="4">
        <v>44776</v>
      </c>
      <c r="B700" s="5">
        <v>0.45534722222222224</v>
      </c>
      <c r="C700" s="1">
        <v>1560</v>
      </c>
      <c r="D700" s="1">
        <v>13002595</v>
      </c>
      <c r="E700" s="1">
        <v>13</v>
      </c>
      <c r="F700" s="1">
        <v>22589</v>
      </c>
      <c r="G700" s="1" t="s">
        <v>21</v>
      </c>
      <c r="H700" s="1">
        <v>15</v>
      </c>
      <c r="I700" s="1">
        <v>418134</v>
      </c>
      <c r="J700" s="1" t="s">
        <v>418</v>
      </c>
      <c r="K700" s="1" t="s">
        <v>29</v>
      </c>
      <c r="L700" s="1" t="s">
        <v>335</v>
      </c>
      <c r="M700" s="1">
        <v>1</v>
      </c>
      <c r="N700" s="2">
        <v>30.54</v>
      </c>
      <c r="O700" s="3">
        <v>36</v>
      </c>
      <c r="P700" s="1">
        <v>2</v>
      </c>
      <c r="Q700" s="1">
        <v>9</v>
      </c>
      <c r="R700" s="1">
        <v>200010006106</v>
      </c>
      <c r="S700" s="1">
        <v>29</v>
      </c>
      <c r="T700" s="1">
        <v>1</v>
      </c>
      <c r="U700" s="1">
        <v>2</v>
      </c>
      <c r="V700">
        <f t="shared" si="10"/>
        <v>36</v>
      </c>
    </row>
    <row r="701" spans="1:22" ht="13" x14ac:dyDescent="0.15">
      <c r="A701" s="4">
        <v>44776</v>
      </c>
      <c r="B701" s="5">
        <v>0.52491898148148153</v>
      </c>
      <c r="C701" s="1">
        <v>1584</v>
      </c>
      <c r="D701" s="1">
        <v>13002595</v>
      </c>
      <c r="E701" s="1">
        <v>13</v>
      </c>
      <c r="F701" s="1">
        <v>22589</v>
      </c>
      <c r="G701" s="1" t="s">
        <v>21</v>
      </c>
      <c r="H701" s="1">
        <v>15</v>
      </c>
      <c r="I701" s="1">
        <v>418134</v>
      </c>
      <c r="J701" s="1" t="s">
        <v>418</v>
      </c>
      <c r="K701" s="1" t="s">
        <v>29</v>
      </c>
      <c r="L701" s="1" t="s">
        <v>335</v>
      </c>
      <c r="M701" s="1">
        <v>1</v>
      </c>
      <c r="N701" s="2">
        <v>30.54</v>
      </c>
      <c r="O701" s="3">
        <v>36</v>
      </c>
      <c r="P701" s="1">
        <v>2</v>
      </c>
      <c r="Q701" s="1">
        <v>9</v>
      </c>
      <c r="R701" s="1">
        <v>200010010278</v>
      </c>
      <c r="S701" s="1">
        <v>29</v>
      </c>
      <c r="T701" s="1">
        <v>1</v>
      </c>
      <c r="U701" s="1">
        <v>1</v>
      </c>
      <c r="V701">
        <f t="shared" si="10"/>
        <v>36</v>
      </c>
    </row>
    <row r="702" spans="1:22" ht="13" x14ac:dyDescent="0.15">
      <c r="A702" s="4">
        <v>44776</v>
      </c>
      <c r="B702" s="5">
        <v>0.6519328703703704</v>
      </c>
      <c r="C702" s="1">
        <v>1618</v>
      </c>
      <c r="D702" s="1">
        <v>13002595</v>
      </c>
      <c r="E702" s="1">
        <v>13</v>
      </c>
      <c r="F702" s="1">
        <v>22589</v>
      </c>
      <c r="G702" s="1" t="s">
        <v>21</v>
      </c>
      <c r="H702" s="1">
        <v>18</v>
      </c>
      <c r="I702" s="1">
        <v>418134</v>
      </c>
      <c r="J702" s="1" t="s">
        <v>418</v>
      </c>
      <c r="K702" s="1" t="s">
        <v>29</v>
      </c>
      <c r="L702" s="1" t="s">
        <v>335</v>
      </c>
      <c r="M702" s="1">
        <v>1</v>
      </c>
      <c r="N702" s="2">
        <v>30.54</v>
      </c>
      <c r="O702" s="3">
        <v>36</v>
      </c>
      <c r="P702" s="1">
        <v>2</v>
      </c>
      <c r="Q702" s="1">
        <v>9</v>
      </c>
      <c r="R702" s="1">
        <v>200010004049</v>
      </c>
      <c r="S702" s="1">
        <v>29</v>
      </c>
      <c r="T702" s="1">
        <v>1</v>
      </c>
      <c r="U702" s="1">
        <v>3</v>
      </c>
      <c r="V702">
        <f t="shared" si="10"/>
        <v>36</v>
      </c>
    </row>
    <row r="703" spans="1:22" ht="13" x14ac:dyDescent="0.15">
      <c r="A703" s="4">
        <v>44776</v>
      </c>
      <c r="B703" s="5">
        <v>0.45534722222222224</v>
      </c>
      <c r="C703" s="1">
        <v>1560</v>
      </c>
      <c r="D703" s="1">
        <v>13002595</v>
      </c>
      <c r="E703" s="1">
        <v>13</v>
      </c>
      <c r="F703" s="1">
        <v>22589</v>
      </c>
      <c r="G703" s="1" t="s">
        <v>21</v>
      </c>
      <c r="H703" s="1">
        <v>15</v>
      </c>
      <c r="I703" s="1">
        <v>277903</v>
      </c>
      <c r="J703" s="1" t="s">
        <v>751</v>
      </c>
      <c r="K703" s="1" t="s">
        <v>64</v>
      </c>
      <c r="L703" s="1" t="s">
        <v>752</v>
      </c>
      <c r="M703" s="1">
        <v>1</v>
      </c>
      <c r="N703" s="2">
        <v>343.33</v>
      </c>
      <c r="O703" s="3">
        <v>505</v>
      </c>
      <c r="P703" s="1">
        <v>50</v>
      </c>
      <c r="Q703" s="1">
        <v>9</v>
      </c>
      <c r="R703" s="1">
        <v>200010006106</v>
      </c>
      <c r="S703" s="1">
        <v>29</v>
      </c>
      <c r="T703" s="1">
        <v>1</v>
      </c>
      <c r="U703" s="1">
        <v>3</v>
      </c>
      <c r="V703">
        <f t="shared" si="10"/>
        <v>505</v>
      </c>
    </row>
    <row r="704" spans="1:22" ht="13" x14ac:dyDescent="0.15">
      <c r="A704" s="4">
        <v>44776</v>
      </c>
      <c r="B704" s="5">
        <v>0.45681712962962961</v>
      </c>
      <c r="C704" s="1">
        <v>1561</v>
      </c>
      <c r="D704" s="1">
        <v>13002595</v>
      </c>
      <c r="E704" s="1">
        <v>13</v>
      </c>
      <c r="F704" s="1">
        <v>22589</v>
      </c>
      <c r="G704" s="1" t="s">
        <v>21</v>
      </c>
      <c r="H704" s="1">
        <v>18</v>
      </c>
      <c r="I704" s="1">
        <v>274699</v>
      </c>
      <c r="J704" s="1" t="s">
        <v>753</v>
      </c>
      <c r="K704" s="1" t="s">
        <v>51</v>
      </c>
      <c r="L704" s="1" t="s">
        <v>754</v>
      </c>
      <c r="M704" s="1">
        <v>1</v>
      </c>
      <c r="N704" s="2">
        <v>284.35000000000002</v>
      </c>
      <c r="O704" s="3">
        <v>353</v>
      </c>
      <c r="P704" s="1">
        <v>45.26</v>
      </c>
      <c r="Q704" s="1">
        <v>925</v>
      </c>
      <c r="R704" s="1">
        <v>200000000492</v>
      </c>
      <c r="S704" s="1">
        <v>29</v>
      </c>
      <c r="T704" s="1">
        <v>1</v>
      </c>
      <c r="U704" s="1">
        <v>1</v>
      </c>
      <c r="V704">
        <f t="shared" si="10"/>
        <v>353</v>
      </c>
    </row>
    <row r="705" spans="1:22" ht="13" x14ac:dyDescent="0.15">
      <c r="A705" s="4">
        <v>44776</v>
      </c>
      <c r="B705" s="5">
        <v>0.45681712962962961</v>
      </c>
      <c r="C705" s="1">
        <v>1561</v>
      </c>
      <c r="D705" s="1">
        <v>13002595</v>
      </c>
      <c r="E705" s="1">
        <v>13</v>
      </c>
      <c r="F705" s="1">
        <v>22589</v>
      </c>
      <c r="G705" s="1" t="s">
        <v>21</v>
      </c>
      <c r="H705" s="1">
        <v>18</v>
      </c>
      <c r="I705" s="1">
        <v>48192</v>
      </c>
      <c r="J705" s="1" t="s">
        <v>176</v>
      </c>
      <c r="K705" s="1" t="s">
        <v>58</v>
      </c>
      <c r="L705" s="1" t="s">
        <v>177</v>
      </c>
      <c r="M705" s="1">
        <v>1</v>
      </c>
      <c r="N705" s="2">
        <v>22.43</v>
      </c>
      <c r="O705" s="3">
        <v>37</v>
      </c>
      <c r="P705" s="1">
        <v>4.74</v>
      </c>
      <c r="Q705" s="1">
        <v>925</v>
      </c>
      <c r="R705" s="1">
        <v>200000000492</v>
      </c>
      <c r="S705" s="1">
        <v>29</v>
      </c>
      <c r="T705" s="1">
        <v>1</v>
      </c>
      <c r="U705" s="1">
        <v>2</v>
      </c>
      <c r="V705">
        <f t="shared" si="10"/>
        <v>37</v>
      </c>
    </row>
    <row r="706" spans="1:22" ht="13" x14ac:dyDescent="0.15">
      <c r="A706" s="4">
        <v>44776</v>
      </c>
      <c r="B706" s="5">
        <v>0.56975694444444447</v>
      </c>
      <c r="C706" s="1">
        <v>1601</v>
      </c>
      <c r="D706" s="1">
        <v>13002595</v>
      </c>
      <c r="E706" s="1">
        <v>13</v>
      </c>
      <c r="F706" s="1">
        <v>22589</v>
      </c>
      <c r="G706" s="1" t="s">
        <v>21</v>
      </c>
      <c r="H706" s="1">
        <v>15</v>
      </c>
      <c r="I706" s="1">
        <v>48192</v>
      </c>
      <c r="J706" s="1" t="s">
        <v>176</v>
      </c>
      <c r="K706" s="1" t="s">
        <v>58</v>
      </c>
      <c r="L706" s="1" t="s">
        <v>177</v>
      </c>
      <c r="M706" s="1">
        <v>1</v>
      </c>
      <c r="N706" s="2">
        <v>22.43</v>
      </c>
      <c r="O706" s="3">
        <v>37</v>
      </c>
      <c r="P706" s="1">
        <v>0</v>
      </c>
      <c r="Q706" s="1" t="s">
        <v>25</v>
      </c>
      <c r="R706" s="1" t="s">
        <v>25</v>
      </c>
      <c r="S706" s="1">
        <v>29</v>
      </c>
      <c r="T706" s="1">
        <v>1</v>
      </c>
      <c r="U706" s="1">
        <v>2</v>
      </c>
      <c r="V706">
        <f t="shared" si="10"/>
        <v>37</v>
      </c>
    </row>
    <row r="707" spans="1:22" ht="13" x14ac:dyDescent="0.15">
      <c r="A707" s="4">
        <v>44776</v>
      </c>
      <c r="B707" s="5">
        <v>0.82486111111111116</v>
      </c>
      <c r="C707" s="1">
        <v>1659</v>
      </c>
      <c r="D707" s="1">
        <v>13002595</v>
      </c>
      <c r="E707" s="1">
        <v>13</v>
      </c>
      <c r="F707" s="1">
        <v>22589</v>
      </c>
      <c r="G707" s="1" t="s">
        <v>21</v>
      </c>
      <c r="H707" s="1">
        <v>15</v>
      </c>
      <c r="I707" s="1">
        <v>48192</v>
      </c>
      <c r="J707" s="1" t="s">
        <v>176</v>
      </c>
      <c r="K707" s="1" t="s">
        <v>58</v>
      </c>
      <c r="L707" s="1" t="s">
        <v>177</v>
      </c>
      <c r="M707" s="1">
        <v>1</v>
      </c>
      <c r="N707" s="2">
        <v>22.43</v>
      </c>
      <c r="O707" s="3">
        <v>37</v>
      </c>
      <c r="P707" s="1">
        <v>0</v>
      </c>
      <c r="Q707" s="1" t="s">
        <v>25</v>
      </c>
      <c r="R707" s="1" t="s">
        <v>25</v>
      </c>
      <c r="S707" s="1">
        <v>29</v>
      </c>
      <c r="T707" s="1">
        <v>1</v>
      </c>
      <c r="U707" s="1">
        <v>2</v>
      </c>
      <c r="V707">
        <f t="shared" ref="V707:V770" si="11">O707*M707</f>
        <v>37</v>
      </c>
    </row>
    <row r="708" spans="1:22" ht="13" x14ac:dyDescent="0.15">
      <c r="A708" s="4">
        <v>44776</v>
      </c>
      <c r="B708" s="5">
        <v>0.45870370370370372</v>
      </c>
      <c r="C708" s="1">
        <v>1562</v>
      </c>
      <c r="D708" s="1">
        <v>13002595</v>
      </c>
      <c r="E708" s="1">
        <v>13</v>
      </c>
      <c r="F708" s="1">
        <v>22589</v>
      </c>
      <c r="G708" s="1" t="s">
        <v>21</v>
      </c>
      <c r="H708" s="1">
        <v>15</v>
      </c>
      <c r="I708" s="1">
        <v>1177</v>
      </c>
      <c r="J708" s="1" t="s">
        <v>755</v>
      </c>
      <c r="K708" s="1" t="s">
        <v>51</v>
      </c>
      <c r="L708" s="1" t="s">
        <v>756</v>
      </c>
      <c r="M708" s="1">
        <v>1</v>
      </c>
      <c r="N708" s="2">
        <v>107.44</v>
      </c>
      <c r="O708" s="3">
        <v>127</v>
      </c>
      <c r="P708" s="1">
        <v>6</v>
      </c>
      <c r="Q708" s="1">
        <v>9</v>
      </c>
      <c r="R708" s="1">
        <v>200010009864</v>
      </c>
      <c r="S708" s="1">
        <v>29</v>
      </c>
      <c r="T708" s="1">
        <v>1</v>
      </c>
      <c r="U708" s="1">
        <v>2</v>
      </c>
      <c r="V708">
        <f t="shared" si="11"/>
        <v>127</v>
      </c>
    </row>
    <row r="709" spans="1:22" ht="13" x14ac:dyDescent="0.15">
      <c r="A709" s="4">
        <v>44776</v>
      </c>
      <c r="B709" s="5">
        <v>0.45870370370370372</v>
      </c>
      <c r="C709" s="1">
        <v>1562</v>
      </c>
      <c r="D709" s="1">
        <v>13002595</v>
      </c>
      <c r="E709" s="1">
        <v>13</v>
      </c>
      <c r="F709" s="1">
        <v>22589</v>
      </c>
      <c r="G709" s="1" t="s">
        <v>21</v>
      </c>
      <c r="H709" s="1">
        <v>15</v>
      </c>
      <c r="I709" s="1">
        <v>468466</v>
      </c>
      <c r="J709" s="1" t="s">
        <v>128</v>
      </c>
      <c r="K709" s="1" t="s">
        <v>51</v>
      </c>
      <c r="L709" s="1" t="s">
        <v>129</v>
      </c>
      <c r="M709" s="1">
        <v>1</v>
      </c>
      <c r="N709" s="2">
        <v>666.45</v>
      </c>
      <c r="O709" s="3">
        <v>739</v>
      </c>
      <c r="P709" s="1">
        <v>22</v>
      </c>
      <c r="Q709" s="1">
        <v>9</v>
      </c>
      <c r="R709" s="1">
        <v>200010009864</v>
      </c>
      <c r="S709" s="1">
        <v>29</v>
      </c>
      <c r="T709" s="1">
        <v>1</v>
      </c>
      <c r="U709" s="1">
        <v>1</v>
      </c>
      <c r="V709">
        <f t="shared" si="11"/>
        <v>739</v>
      </c>
    </row>
    <row r="710" spans="1:22" ht="13" x14ac:dyDescent="0.15">
      <c r="A710" s="4">
        <v>44776</v>
      </c>
      <c r="B710" s="5">
        <v>0.46251157407407406</v>
      </c>
      <c r="C710" s="1">
        <v>1563</v>
      </c>
      <c r="D710" s="1">
        <v>13002595</v>
      </c>
      <c r="E710" s="1">
        <v>13</v>
      </c>
      <c r="F710" s="1">
        <v>22589</v>
      </c>
      <c r="G710" s="1" t="s">
        <v>21</v>
      </c>
      <c r="H710" s="1">
        <v>18</v>
      </c>
      <c r="I710" s="1">
        <v>385739</v>
      </c>
      <c r="J710" s="1" t="s">
        <v>757</v>
      </c>
      <c r="K710" s="1" t="s">
        <v>48</v>
      </c>
      <c r="L710" s="1" t="s">
        <v>272</v>
      </c>
      <c r="M710" s="1">
        <v>1</v>
      </c>
      <c r="N710" s="2">
        <v>871.09</v>
      </c>
      <c r="O710" s="3">
        <v>1124</v>
      </c>
      <c r="P710" s="1">
        <v>78</v>
      </c>
      <c r="Q710" s="1">
        <v>9</v>
      </c>
      <c r="R710" s="1">
        <v>200010012606</v>
      </c>
      <c r="S710" s="1">
        <v>29</v>
      </c>
      <c r="T710" s="1">
        <v>1</v>
      </c>
      <c r="U710" s="1">
        <v>1</v>
      </c>
      <c r="V710">
        <f t="shared" si="11"/>
        <v>1124</v>
      </c>
    </row>
    <row r="711" spans="1:22" ht="13" x14ac:dyDescent="0.15">
      <c r="A711" s="4">
        <v>44776</v>
      </c>
      <c r="B711" s="5">
        <v>0.46812500000000001</v>
      </c>
      <c r="C711" s="1">
        <v>1564</v>
      </c>
      <c r="D711" s="1">
        <v>13002595</v>
      </c>
      <c r="E711" s="1">
        <v>13</v>
      </c>
      <c r="F711" s="1">
        <v>22589</v>
      </c>
      <c r="G711" s="1" t="s">
        <v>21</v>
      </c>
      <c r="H711" s="1">
        <v>18</v>
      </c>
      <c r="I711" s="1">
        <v>13803</v>
      </c>
      <c r="J711" s="1" t="s">
        <v>758</v>
      </c>
      <c r="K711" s="1" t="s">
        <v>34</v>
      </c>
      <c r="L711" s="1" t="s">
        <v>759</v>
      </c>
      <c r="M711" s="1">
        <v>1</v>
      </c>
      <c r="N711" s="2">
        <v>215.39</v>
      </c>
      <c r="O711" s="3">
        <v>328</v>
      </c>
      <c r="P711" s="1">
        <v>32</v>
      </c>
      <c r="Q711" s="1">
        <v>9</v>
      </c>
      <c r="R711" s="1">
        <v>200010013081</v>
      </c>
      <c r="S711" s="1">
        <v>29</v>
      </c>
      <c r="T711" s="1">
        <v>1</v>
      </c>
      <c r="U711" s="1">
        <v>1</v>
      </c>
      <c r="V711">
        <f t="shared" si="11"/>
        <v>328</v>
      </c>
    </row>
    <row r="712" spans="1:22" ht="13" x14ac:dyDescent="0.15">
      <c r="A712" s="4">
        <v>44776</v>
      </c>
      <c r="B712" s="5">
        <v>0.46812500000000001</v>
      </c>
      <c r="C712" s="1">
        <v>1564</v>
      </c>
      <c r="D712" s="1">
        <v>13002595</v>
      </c>
      <c r="E712" s="1">
        <v>13</v>
      </c>
      <c r="F712" s="1">
        <v>22589</v>
      </c>
      <c r="G712" s="1" t="s">
        <v>21</v>
      </c>
      <c r="H712" s="1">
        <v>18</v>
      </c>
      <c r="I712" s="1">
        <v>144840</v>
      </c>
      <c r="J712" s="1" t="s">
        <v>760</v>
      </c>
      <c r="K712" s="1" t="s">
        <v>29</v>
      </c>
      <c r="L712" s="1" t="s">
        <v>761</v>
      </c>
      <c r="M712" s="1">
        <v>1</v>
      </c>
      <c r="N712" s="2">
        <v>337.91</v>
      </c>
      <c r="O712" s="3">
        <v>447</v>
      </c>
      <c r="P712" s="1">
        <v>31</v>
      </c>
      <c r="Q712" s="1">
        <v>9</v>
      </c>
      <c r="R712" s="1">
        <v>200010013081</v>
      </c>
      <c r="S712" s="1">
        <v>29</v>
      </c>
      <c r="T712" s="1">
        <v>1</v>
      </c>
      <c r="U712" s="1">
        <v>3</v>
      </c>
      <c r="V712">
        <f t="shared" si="11"/>
        <v>447</v>
      </c>
    </row>
    <row r="713" spans="1:22" ht="13" x14ac:dyDescent="0.15">
      <c r="A713" s="4">
        <v>44776</v>
      </c>
      <c r="B713" s="5">
        <v>0.46812500000000001</v>
      </c>
      <c r="C713" s="1">
        <v>1564</v>
      </c>
      <c r="D713" s="1">
        <v>13002595</v>
      </c>
      <c r="E713" s="1">
        <v>13</v>
      </c>
      <c r="F713" s="1">
        <v>22589</v>
      </c>
      <c r="G713" s="1" t="s">
        <v>21</v>
      </c>
      <c r="H713" s="1">
        <v>18</v>
      </c>
      <c r="I713" s="1">
        <v>338370</v>
      </c>
      <c r="J713" s="1" t="s">
        <v>762</v>
      </c>
      <c r="K713" s="1" t="s">
        <v>61</v>
      </c>
      <c r="L713" s="1" t="s">
        <v>276</v>
      </c>
      <c r="M713" s="1">
        <v>1</v>
      </c>
      <c r="N713" s="2">
        <v>2609.1999999999998</v>
      </c>
      <c r="O713" s="3">
        <v>3053</v>
      </c>
      <c r="P713" s="1">
        <v>305</v>
      </c>
      <c r="Q713" s="1">
        <v>9</v>
      </c>
      <c r="R713" s="1">
        <v>200010013081</v>
      </c>
      <c r="S713" s="1">
        <v>29</v>
      </c>
      <c r="T713" s="1">
        <v>1</v>
      </c>
      <c r="U713" s="1">
        <v>2</v>
      </c>
      <c r="V713">
        <f t="shared" si="11"/>
        <v>3053</v>
      </c>
    </row>
    <row r="714" spans="1:22" ht="13" x14ac:dyDescent="0.15">
      <c r="A714" s="4">
        <v>44776</v>
      </c>
      <c r="B714" s="5">
        <v>0.47420138888888891</v>
      </c>
      <c r="C714" s="1">
        <v>1565</v>
      </c>
      <c r="D714" s="1">
        <v>13002595</v>
      </c>
      <c r="E714" s="1">
        <v>13</v>
      </c>
      <c r="F714" s="1">
        <v>22589</v>
      </c>
      <c r="G714" s="1" t="s">
        <v>21</v>
      </c>
      <c r="H714" s="1">
        <v>18</v>
      </c>
      <c r="I714" s="1">
        <v>22338</v>
      </c>
      <c r="J714" s="1" t="s">
        <v>763</v>
      </c>
      <c r="K714" s="1" t="s">
        <v>34</v>
      </c>
      <c r="L714" s="1" t="s">
        <v>244</v>
      </c>
      <c r="M714" s="1">
        <v>0.66666667000000002</v>
      </c>
      <c r="N714" s="2">
        <v>877.54</v>
      </c>
      <c r="O714" s="3">
        <v>1133</v>
      </c>
      <c r="P714" s="1">
        <v>0</v>
      </c>
      <c r="Q714" s="1" t="s">
        <v>25</v>
      </c>
      <c r="R714" s="1" t="s">
        <v>25</v>
      </c>
      <c r="S714" s="1">
        <v>29</v>
      </c>
      <c r="T714" s="1">
        <v>1</v>
      </c>
      <c r="U714" s="1">
        <v>3</v>
      </c>
      <c r="V714">
        <f t="shared" si="11"/>
        <v>755.33333711</v>
      </c>
    </row>
    <row r="715" spans="1:22" ht="13" x14ac:dyDescent="0.15">
      <c r="A715" s="4">
        <v>44776</v>
      </c>
      <c r="B715" s="5">
        <v>0.47420138888888891</v>
      </c>
      <c r="C715" s="1">
        <v>1565</v>
      </c>
      <c r="D715" s="1">
        <v>13002595</v>
      </c>
      <c r="E715" s="1">
        <v>13</v>
      </c>
      <c r="F715" s="1">
        <v>22589</v>
      </c>
      <c r="G715" s="1" t="s">
        <v>21</v>
      </c>
      <c r="H715" s="1">
        <v>18</v>
      </c>
      <c r="I715" s="1">
        <v>446021</v>
      </c>
      <c r="J715" s="1" t="s">
        <v>239</v>
      </c>
      <c r="K715" s="1" t="s">
        <v>23</v>
      </c>
      <c r="L715" s="1" t="s">
        <v>97</v>
      </c>
      <c r="M715" s="1">
        <v>1</v>
      </c>
      <c r="N715" s="2">
        <v>23.38</v>
      </c>
      <c r="O715" s="3">
        <v>36</v>
      </c>
      <c r="P715" s="1">
        <v>0</v>
      </c>
      <c r="Q715" s="1" t="s">
        <v>25</v>
      </c>
      <c r="R715" s="1" t="s">
        <v>25</v>
      </c>
      <c r="S715" s="1">
        <v>29</v>
      </c>
      <c r="T715" s="1">
        <v>1</v>
      </c>
      <c r="U715" s="1">
        <v>2</v>
      </c>
      <c r="V715">
        <f t="shared" si="11"/>
        <v>36</v>
      </c>
    </row>
    <row r="716" spans="1:22" ht="13" x14ac:dyDescent="0.15">
      <c r="A716" s="4">
        <v>44776</v>
      </c>
      <c r="B716" s="5">
        <v>0.48996527777777776</v>
      </c>
      <c r="C716" s="1">
        <v>1571</v>
      </c>
      <c r="D716" s="1">
        <v>13002595</v>
      </c>
      <c r="E716" s="1">
        <v>13</v>
      </c>
      <c r="F716" s="1">
        <v>22589</v>
      </c>
      <c r="G716" s="1" t="s">
        <v>21</v>
      </c>
      <c r="H716" s="1">
        <v>18</v>
      </c>
      <c r="I716" s="1">
        <v>446021</v>
      </c>
      <c r="J716" s="1" t="s">
        <v>239</v>
      </c>
      <c r="K716" s="1" t="s">
        <v>23</v>
      </c>
      <c r="L716" s="1" t="s">
        <v>97</v>
      </c>
      <c r="M716" s="1">
        <v>1</v>
      </c>
      <c r="N716" s="2">
        <v>23.38</v>
      </c>
      <c r="O716" s="3">
        <v>36</v>
      </c>
      <c r="P716" s="1">
        <v>3</v>
      </c>
      <c r="Q716" s="1">
        <v>941</v>
      </c>
      <c r="R716" s="1">
        <v>200000000044</v>
      </c>
      <c r="S716" s="1">
        <v>29</v>
      </c>
      <c r="T716" s="1">
        <v>1</v>
      </c>
      <c r="U716" s="1">
        <v>4</v>
      </c>
      <c r="V716">
        <f t="shared" si="11"/>
        <v>36</v>
      </c>
    </row>
    <row r="717" spans="1:22" ht="13" x14ac:dyDescent="0.15">
      <c r="A717" s="4">
        <v>44776</v>
      </c>
      <c r="B717" s="5">
        <v>0.48996527777777776</v>
      </c>
      <c r="C717" s="1">
        <v>1571</v>
      </c>
      <c r="D717" s="1">
        <v>13002595</v>
      </c>
      <c r="E717" s="1">
        <v>13</v>
      </c>
      <c r="F717" s="1">
        <v>22589</v>
      </c>
      <c r="G717" s="1" t="s">
        <v>21</v>
      </c>
      <c r="H717" s="1">
        <v>18</v>
      </c>
      <c r="I717" s="1">
        <v>446021</v>
      </c>
      <c r="J717" s="1" t="s">
        <v>239</v>
      </c>
      <c r="K717" s="1" t="s">
        <v>23</v>
      </c>
      <c r="L717" s="1" t="s">
        <v>97</v>
      </c>
      <c r="M717" s="1">
        <v>1</v>
      </c>
      <c r="N717" s="2">
        <v>23.38</v>
      </c>
      <c r="O717" s="3">
        <v>36</v>
      </c>
      <c r="P717" s="1">
        <v>3</v>
      </c>
      <c r="Q717" s="1">
        <v>941</v>
      </c>
      <c r="R717" s="1">
        <v>200000000044</v>
      </c>
      <c r="S717" s="1">
        <v>29</v>
      </c>
      <c r="T717" s="1">
        <v>1</v>
      </c>
      <c r="U717" s="1">
        <v>5</v>
      </c>
      <c r="V717">
        <f t="shared" si="11"/>
        <v>36</v>
      </c>
    </row>
    <row r="718" spans="1:22" ht="13" x14ac:dyDescent="0.15">
      <c r="A718" s="4">
        <v>44776</v>
      </c>
      <c r="B718" s="5">
        <v>0.47420138888888891</v>
      </c>
      <c r="C718" s="1">
        <v>1565</v>
      </c>
      <c r="D718" s="1">
        <v>13002595</v>
      </c>
      <c r="E718" s="1">
        <v>13</v>
      </c>
      <c r="F718" s="1">
        <v>22589</v>
      </c>
      <c r="G718" s="1" t="s">
        <v>21</v>
      </c>
      <c r="H718" s="1">
        <v>18</v>
      </c>
      <c r="I718" s="1">
        <v>1504331</v>
      </c>
      <c r="J718" s="1" t="s">
        <v>143</v>
      </c>
      <c r="K718" s="1" t="s">
        <v>144</v>
      </c>
      <c r="L718" s="1" t="s">
        <v>97</v>
      </c>
      <c r="M718" s="1">
        <v>1</v>
      </c>
      <c r="N718" s="2">
        <v>0.01</v>
      </c>
      <c r="O718" s="3">
        <v>0.01</v>
      </c>
      <c r="P718" s="1">
        <v>0</v>
      </c>
      <c r="Q718" s="1" t="s">
        <v>25</v>
      </c>
      <c r="R718" s="1" t="s">
        <v>25</v>
      </c>
      <c r="S718" s="1">
        <v>29</v>
      </c>
      <c r="T718" s="1">
        <v>1</v>
      </c>
      <c r="U718" s="1">
        <v>1</v>
      </c>
      <c r="V718">
        <f t="shared" si="11"/>
        <v>0.01</v>
      </c>
    </row>
    <row r="719" spans="1:22" ht="13" x14ac:dyDescent="0.15">
      <c r="A719" s="4">
        <v>44776</v>
      </c>
      <c r="B719" s="5">
        <v>0.47851851851851851</v>
      </c>
      <c r="C719" s="1">
        <v>1567</v>
      </c>
      <c r="D719" s="1">
        <v>13002595</v>
      </c>
      <c r="E719" s="1">
        <v>13</v>
      </c>
      <c r="F719" s="1">
        <v>22589</v>
      </c>
      <c r="G719" s="1" t="s">
        <v>21</v>
      </c>
      <c r="H719" s="1">
        <v>18</v>
      </c>
      <c r="I719" s="1">
        <v>1504331</v>
      </c>
      <c r="J719" s="1" t="s">
        <v>143</v>
      </c>
      <c r="K719" s="1" t="s">
        <v>144</v>
      </c>
      <c r="L719" s="1" t="s">
        <v>97</v>
      </c>
      <c r="M719" s="1">
        <v>1</v>
      </c>
      <c r="N719" s="2">
        <v>0.01</v>
      </c>
      <c r="O719" s="3">
        <v>0.01</v>
      </c>
      <c r="P719" s="1">
        <v>0</v>
      </c>
      <c r="Q719" s="1" t="s">
        <v>25</v>
      </c>
      <c r="R719" s="1" t="s">
        <v>25</v>
      </c>
      <c r="S719" s="1">
        <v>29</v>
      </c>
      <c r="T719" s="1">
        <v>1</v>
      </c>
      <c r="U719" s="1">
        <v>2</v>
      </c>
      <c r="V719">
        <f t="shared" si="11"/>
        <v>0.01</v>
      </c>
    </row>
    <row r="720" spans="1:22" ht="13" x14ac:dyDescent="0.15">
      <c r="A720" s="4">
        <v>44776</v>
      </c>
      <c r="B720" s="5">
        <v>0.50773148148148151</v>
      </c>
      <c r="C720" s="1">
        <v>1577</v>
      </c>
      <c r="D720" s="1">
        <v>13002595</v>
      </c>
      <c r="E720" s="1">
        <v>13</v>
      </c>
      <c r="F720" s="1">
        <v>22589</v>
      </c>
      <c r="G720" s="1" t="s">
        <v>21</v>
      </c>
      <c r="H720" s="1">
        <v>18</v>
      </c>
      <c r="I720" s="1">
        <v>1504331</v>
      </c>
      <c r="J720" s="1" t="s">
        <v>143</v>
      </c>
      <c r="K720" s="1" t="s">
        <v>144</v>
      </c>
      <c r="L720" s="1" t="s">
        <v>97</v>
      </c>
      <c r="M720" s="1">
        <v>1</v>
      </c>
      <c r="N720" s="2">
        <v>0.01</v>
      </c>
      <c r="O720" s="3">
        <v>0.01</v>
      </c>
      <c r="P720" s="1">
        <v>0</v>
      </c>
      <c r="Q720" s="1" t="s">
        <v>25</v>
      </c>
      <c r="R720" s="1" t="s">
        <v>25</v>
      </c>
      <c r="S720" s="1">
        <v>29</v>
      </c>
      <c r="T720" s="1">
        <v>1</v>
      </c>
      <c r="U720" s="1">
        <v>2</v>
      </c>
      <c r="V720">
        <f t="shared" si="11"/>
        <v>0.01</v>
      </c>
    </row>
    <row r="721" spans="1:22" ht="13" x14ac:dyDescent="0.15">
      <c r="A721" s="4">
        <v>44776</v>
      </c>
      <c r="B721" s="5">
        <v>0.4768634259259259</v>
      </c>
      <c r="C721" s="1">
        <v>1566</v>
      </c>
      <c r="D721" s="1">
        <v>13002595</v>
      </c>
      <c r="E721" s="1">
        <v>13</v>
      </c>
      <c r="F721" s="1">
        <v>22589</v>
      </c>
      <c r="G721" s="1" t="s">
        <v>21</v>
      </c>
      <c r="H721" s="1">
        <v>15</v>
      </c>
      <c r="I721" s="1">
        <v>13670</v>
      </c>
      <c r="J721" s="1" t="s">
        <v>764</v>
      </c>
      <c r="K721" s="1" t="s">
        <v>34</v>
      </c>
      <c r="L721" s="1" t="s">
        <v>765</v>
      </c>
      <c r="M721" s="1">
        <v>1</v>
      </c>
      <c r="N721" s="2">
        <v>170.87</v>
      </c>
      <c r="O721" s="3">
        <v>206</v>
      </c>
      <c r="P721" s="1">
        <v>0</v>
      </c>
      <c r="Q721" s="1" t="s">
        <v>25</v>
      </c>
      <c r="R721" s="1" t="s">
        <v>25</v>
      </c>
      <c r="S721" s="1">
        <v>29</v>
      </c>
      <c r="T721" s="1">
        <v>1</v>
      </c>
      <c r="U721" s="1">
        <v>1</v>
      </c>
      <c r="V721">
        <f t="shared" si="11"/>
        <v>206</v>
      </c>
    </row>
    <row r="722" spans="1:22" ht="13" x14ac:dyDescent="0.15">
      <c r="A722" s="4">
        <v>44776</v>
      </c>
      <c r="B722" s="5">
        <v>0.47851851851851851</v>
      </c>
      <c r="C722" s="1">
        <v>1567</v>
      </c>
      <c r="D722" s="1">
        <v>13002595</v>
      </c>
      <c r="E722" s="1">
        <v>13</v>
      </c>
      <c r="F722" s="1">
        <v>22589</v>
      </c>
      <c r="G722" s="1" t="s">
        <v>21</v>
      </c>
      <c r="H722" s="1">
        <v>18</v>
      </c>
      <c r="I722" s="1">
        <v>11487</v>
      </c>
      <c r="J722" s="1" t="s">
        <v>766</v>
      </c>
      <c r="K722" s="1" t="s">
        <v>117</v>
      </c>
      <c r="L722" s="1" t="s">
        <v>506</v>
      </c>
      <c r="M722" s="1">
        <v>1</v>
      </c>
      <c r="N722" s="2">
        <v>155.28</v>
      </c>
      <c r="O722" s="3">
        <v>213</v>
      </c>
      <c r="P722" s="1">
        <v>0</v>
      </c>
      <c r="Q722" s="1" t="s">
        <v>25</v>
      </c>
      <c r="R722" s="1" t="s">
        <v>25</v>
      </c>
      <c r="S722" s="1">
        <v>29</v>
      </c>
      <c r="T722" s="1">
        <v>1</v>
      </c>
      <c r="U722" s="1">
        <v>1</v>
      </c>
      <c r="V722">
        <f t="shared" si="11"/>
        <v>213</v>
      </c>
    </row>
    <row r="723" spans="1:22" ht="13" x14ac:dyDescent="0.15">
      <c r="A723" s="4">
        <v>44776</v>
      </c>
      <c r="B723" s="5">
        <v>0.47851851851851851</v>
      </c>
      <c r="C723" s="1">
        <v>1567</v>
      </c>
      <c r="D723" s="1">
        <v>13002595</v>
      </c>
      <c r="E723" s="1">
        <v>13</v>
      </c>
      <c r="F723" s="1">
        <v>22589</v>
      </c>
      <c r="G723" s="1" t="s">
        <v>21</v>
      </c>
      <c r="H723" s="1">
        <v>18</v>
      </c>
      <c r="I723" s="1">
        <v>45314</v>
      </c>
      <c r="J723" s="1" t="s">
        <v>767</v>
      </c>
      <c r="K723" s="1" t="s">
        <v>252</v>
      </c>
      <c r="L723" s="1" t="s">
        <v>360</v>
      </c>
      <c r="M723" s="1">
        <v>1</v>
      </c>
      <c r="N723" s="2">
        <v>20.3</v>
      </c>
      <c r="O723" s="3">
        <v>33</v>
      </c>
      <c r="P723" s="1">
        <v>0</v>
      </c>
      <c r="Q723" s="1" t="s">
        <v>25</v>
      </c>
      <c r="R723" s="1" t="s">
        <v>25</v>
      </c>
      <c r="S723" s="1">
        <v>29</v>
      </c>
      <c r="T723" s="1">
        <v>1</v>
      </c>
      <c r="U723" s="1">
        <v>3</v>
      </c>
      <c r="V723">
        <f t="shared" si="11"/>
        <v>33</v>
      </c>
    </row>
    <row r="724" spans="1:22" ht="13" x14ac:dyDescent="0.15">
      <c r="A724" s="4">
        <v>44776</v>
      </c>
      <c r="B724" s="5">
        <v>0.53388888888888886</v>
      </c>
      <c r="C724" s="1">
        <v>1587</v>
      </c>
      <c r="D724" s="1">
        <v>13002595</v>
      </c>
      <c r="E724" s="1">
        <v>13</v>
      </c>
      <c r="F724" s="1">
        <v>22589</v>
      </c>
      <c r="G724" s="1" t="s">
        <v>21</v>
      </c>
      <c r="H724" s="1">
        <v>15</v>
      </c>
      <c r="I724" s="1">
        <v>45314</v>
      </c>
      <c r="J724" s="1" t="s">
        <v>767</v>
      </c>
      <c r="K724" s="1" t="s">
        <v>252</v>
      </c>
      <c r="L724" s="1" t="s">
        <v>360</v>
      </c>
      <c r="M724" s="1">
        <v>1</v>
      </c>
      <c r="N724" s="2">
        <v>20.3</v>
      </c>
      <c r="O724" s="3">
        <v>33</v>
      </c>
      <c r="P724" s="1">
        <v>0</v>
      </c>
      <c r="Q724" s="1" t="s">
        <v>25</v>
      </c>
      <c r="R724" s="1" t="s">
        <v>25</v>
      </c>
      <c r="S724" s="1">
        <v>29</v>
      </c>
      <c r="T724" s="1">
        <v>1</v>
      </c>
      <c r="U724" s="1">
        <v>6</v>
      </c>
      <c r="V724">
        <f t="shared" si="11"/>
        <v>33</v>
      </c>
    </row>
    <row r="725" spans="1:22" ht="13" x14ac:dyDescent="0.15">
      <c r="A725" s="4">
        <v>44776</v>
      </c>
      <c r="B725" s="5">
        <v>0.48194444444444445</v>
      </c>
      <c r="C725" s="1">
        <v>1568</v>
      </c>
      <c r="D725" s="1">
        <v>13002595</v>
      </c>
      <c r="E725" s="1">
        <v>13</v>
      </c>
      <c r="F725" s="1">
        <v>22589</v>
      </c>
      <c r="G725" s="1" t="s">
        <v>21</v>
      </c>
      <c r="H725" s="1">
        <v>18</v>
      </c>
      <c r="I725" s="1">
        <v>72392</v>
      </c>
      <c r="J725" s="1" t="s">
        <v>160</v>
      </c>
      <c r="K725" s="1" t="s">
        <v>51</v>
      </c>
      <c r="L725" s="1" t="s">
        <v>161</v>
      </c>
      <c r="M725" s="1">
        <v>1</v>
      </c>
      <c r="N725" s="2">
        <v>103.5</v>
      </c>
      <c r="O725" s="3">
        <v>122</v>
      </c>
      <c r="P725" s="1">
        <v>0</v>
      </c>
      <c r="Q725" s="1" t="s">
        <v>25</v>
      </c>
      <c r="R725" s="1" t="s">
        <v>25</v>
      </c>
      <c r="S725" s="1">
        <v>29</v>
      </c>
      <c r="T725" s="1">
        <v>1</v>
      </c>
      <c r="U725" s="1">
        <v>1</v>
      </c>
      <c r="V725">
        <f t="shared" si="11"/>
        <v>122</v>
      </c>
    </row>
    <row r="726" spans="1:22" ht="13" x14ac:dyDescent="0.15">
      <c r="A726" s="4">
        <v>44776</v>
      </c>
      <c r="B726" s="5">
        <v>0.72741898148148143</v>
      </c>
      <c r="C726" s="1">
        <v>1633</v>
      </c>
      <c r="D726" s="1">
        <v>13002595</v>
      </c>
      <c r="E726" s="1">
        <v>13</v>
      </c>
      <c r="F726" s="1">
        <v>22589</v>
      </c>
      <c r="G726" s="1" t="s">
        <v>21</v>
      </c>
      <c r="H726" s="1">
        <v>18</v>
      </c>
      <c r="I726" s="1">
        <v>72392</v>
      </c>
      <c r="J726" s="1" t="s">
        <v>160</v>
      </c>
      <c r="K726" s="1" t="s">
        <v>51</v>
      </c>
      <c r="L726" s="1" t="s">
        <v>161</v>
      </c>
      <c r="M726" s="1">
        <v>1</v>
      </c>
      <c r="N726" s="2">
        <v>103.5</v>
      </c>
      <c r="O726" s="3">
        <v>122</v>
      </c>
      <c r="P726" s="1">
        <v>0</v>
      </c>
      <c r="Q726" s="1" t="s">
        <v>25</v>
      </c>
      <c r="R726" s="1" t="s">
        <v>25</v>
      </c>
      <c r="S726" s="1">
        <v>29</v>
      </c>
      <c r="T726" s="1">
        <v>1</v>
      </c>
      <c r="U726" s="1">
        <v>1</v>
      </c>
      <c r="V726">
        <f t="shared" si="11"/>
        <v>122</v>
      </c>
    </row>
    <row r="727" spans="1:22" ht="13" x14ac:dyDescent="0.15">
      <c r="A727" s="4">
        <v>44776</v>
      </c>
      <c r="B727" s="5">
        <v>0.48405092592592591</v>
      </c>
      <c r="C727" s="1">
        <v>1569</v>
      </c>
      <c r="D727" s="1">
        <v>13002595</v>
      </c>
      <c r="E727" s="1">
        <v>13</v>
      </c>
      <c r="F727" s="1">
        <v>22589</v>
      </c>
      <c r="G727" s="1" t="s">
        <v>21</v>
      </c>
      <c r="H727" s="1">
        <v>18</v>
      </c>
      <c r="I727" s="1">
        <v>16909</v>
      </c>
      <c r="J727" s="1" t="s">
        <v>718</v>
      </c>
      <c r="K727" s="1" t="s">
        <v>51</v>
      </c>
      <c r="L727" s="1" t="s">
        <v>717</v>
      </c>
      <c r="M727" s="1">
        <v>0.49999999000000001</v>
      </c>
      <c r="N727" s="2">
        <v>918.14</v>
      </c>
      <c r="O727" s="3">
        <v>1185</v>
      </c>
      <c r="P727" s="1">
        <v>40.5</v>
      </c>
      <c r="Q727" s="1">
        <v>9</v>
      </c>
      <c r="R727" s="1">
        <v>200010017048</v>
      </c>
      <c r="S727" s="1">
        <v>29</v>
      </c>
      <c r="T727" s="1">
        <v>1</v>
      </c>
      <c r="U727" s="1">
        <v>1</v>
      </c>
      <c r="V727">
        <f t="shared" si="11"/>
        <v>592.49998815000004</v>
      </c>
    </row>
    <row r="728" spans="1:22" ht="13" x14ac:dyDescent="0.15">
      <c r="A728" s="4">
        <v>44776</v>
      </c>
      <c r="B728" s="5">
        <v>0.48405092592592591</v>
      </c>
      <c r="C728" s="1">
        <v>1569</v>
      </c>
      <c r="D728" s="1">
        <v>13002595</v>
      </c>
      <c r="E728" s="1">
        <v>13</v>
      </c>
      <c r="F728" s="1">
        <v>22589</v>
      </c>
      <c r="G728" s="1" t="s">
        <v>21</v>
      </c>
      <c r="H728" s="1">
        <v>18</v>
      </c>
      <c r="I728" s="1">
        <v>1177</v>
      </c>
      <c r="J728" s="1" t="s">
        <v>755</v>
      </c>
      <c r="K728" s="1" t="s">
        <v>51</v>
      </c>
      <c r="L728" s="1" t="s">
        <v>756</v>
      </c>
      <c r="M728" s="1">
        <v>1</v>
      </c>
      <c r="N728" s="2">
        <v>107.44</v>
      </c>
      <c r="O728" s="3">
        <v>127</v>
      </c>
      <c r="P728" s="1">
        <v>6</v>
      </c>
      <c r="Q728" s="1">
        <v>9</v>
      </c>
      <c r="R728" s="1">
        <v>200010017048</v>
      </c>
      <c r="S728" s="1">
        <v>29</v>
      </c>
      <c r="T728" s="1">
        <v>1</v>
      </c>
      <c r="U728" s="1">
        <v>3</v>
      </c>
      <c r="V728">
        <f t="shared" si="11"/>
        <v>127</v>
      </c>
    </row>
    <row r="729" spans="1:22" ht="13" x14ac:dyDescent="0.15">
      <c r="A729" s="4">
        <v>44776</v>
      </c>
      <c r="B729" s="5">
        <v>0.48405092592592591</v>
      </c>
      <c r="C729" s="1">
        <v>1569</v>
      </c>
      <c r="D729" s="1">
        <v>13002595</v>
      </c>
      <c r="E729" s="1">
        <v>13</v>
      </c>
      <c r="F729" s="1">
        <v>22589</v>
      </c>
      <c r="G729" s="1" t="s">
        <v>21</v>
      </c>
      <c r="H729" s="1">
        <v>18</v>
      </c>
      <c r="I729" s="1">
        <v>100370</v>
      </c>
      <c r="J729" s="1" t="s">
        <v>291</v>
      </c>
      <c r="K729" s="1" t="s">
        <v>117</v>
      </c>
      <c r="L729" s="1" t="s">
        <v>248</v>
      </c>
      <c r="M729" s="1">
        <v>1</v>
      </c>
      <c r="N729" s="2">
        <v>32.74</v>
      </c>
      <c r="O729" s="3">
        <v>41</v>
      </c>
      <c r="P729" s="1">
        <v>2</v>
      </c>
      <c r="Q729" s="1">
        <v>9</v>
      </c>
      <c r="R729" s="1">
        <v>200010017048</v>
      </c>
      <c r="S729" s="1">
        <v>29</v>
      </c>
      <c r="T729" s="1">
        <v>1</v>
      </c>
      <c r="U729" s="1">
        <v>2</v>
      </c>
      <c r="V729">
        <f t="shared" si="11"/>
        <v>41</v>
      </c>
    </row>
    <row r="730" spans="1:22" ht="13" x14ac:dyDescent="0.15">
      <c r="A730" s="4">
        <v>44776</v>
      </c>
      <c r="B730" s="5">
        <v>0.48781249999999998</v>
      </c>
      <c r="C730" s="1">
        <v>1570</v>
      </c>
      <c r="D730" s="1">
        <v>13002595</v>
      </c>
      <c r="E730" s="1">
        <v>13</v>
      </c>
      <c r="F730" s="1">
        <v>22589</v>
      </c>
      <c r="G730" s="1" t="s">
        <v>21</v>
      </c>
      <c r="H730" s="1">
        <v>18</v>
      </c>
      <c r="I730" s="1">
        <v>6678</v>
      </c>
      <c r="J730" s="1" t="s">
        <v>427</v>
      </c>
      <c r="K730" s="1" t="s">
        <v>51</v>
      </c>
      <c r="L730" s="1" t="s">
        <v>195</v>
      </c>
      <c r="M730" s="1">
        <v>1</v>
      </c>
      <c r="N730" s="2">
        <v>458.63</v>
      </c>
      <c r="O730" s="3">
        <v>588</v>
      </c>
      <c r="P730" s="1">
        <v>41</v>
      </c>
      <c r="Q730" s="1">
        <v>9</v>
      </c>
      <c r="R730" s="1">
        <v>200010026823</v>
      </c>
      <c r="S730" s="1">
        <v>29</v>
      </c>
      <c r="T730" s="1">
        <v>1</v>
      </c>
      <c r="U730" s="1">
        <v>4</v>
      </c>
      <c r="V730">
        <f t="shared" si="11"/>
        <v>588</v>
      </c>
    </row>
    <row r="731" spans="1:22" ht="13" x14ac:dyDescent="0.15">
      <c r="A731" s="4">
        <v>44776</v>
      </c>
      <c r="B731" s="5">
        <v>0.48781249999999998</v>
      </c>
      <c r="C731" s="1">
        <v>1570</v>
      </c>
      <c r="D731" s="1">
        <v>13002595</v>
      </c>
      <c r="E731" s="1">
        <v>13</v>
      </c>
      <c r="F731" s="1">
        <v>22589</v>
      </c>
      <c r="G731" s="1" t="s">
        <v>21</v>
      </c>
      <c r="H731" s="1">
        <v>18</v>
      </c>
      <c r="I731" s="1">
        <v>113562</v>
      </c>
      <c r="J731" s="1" t="s">
        <v>768</v>
      </c>
      <c r="K731" s="1" t="s">
        <v>34</v>
      </c>
      <c r="L731" s="1" t="s">
        <v>769</v>
      </c>
      <c r="M731" s="1">
        <v>1</v>
      </c>
      <c r="N731" s="2">
        <v>667.13</v>
      </c>
      <c r="O731" s="3">
        <v>861</v>
      </c>
      <c r="P731" s="1">
        <v>60</v>
      </c>
      <c r="Q731" s="1">
        <v>9</v>
      </c>
      <c r="R731" s="1">
        <v>200010026823</v>
      </c>
      <c r="S731" s="1">
        <v>29</v>
      </c>
      <c r="T731" s="1">
        <v>1</v>
      </c>
      <c r="U731" s="1">
        <v>5</v>
      </c>
      <c r="V731">
        <f t="shared" si="11"/>
        <v>861</v>
      </c>
    </row>
    <row r="732" spans="1:22" ht="13" x14ac:dyDescent="0.15">
      <c r="A732" s="4">
        <v>44776</v>
      </c>
      <c r="B732" s="5">
        <v>0.48781249999999998</v>
      </c>
      <c r="C732" s="1">
        <v>1570</v>
      </c>
      <c r="D732" s="1">
        <v>13002595</v>
      </c>
      <c r="E732" s="1">
        <v>13</v>
      </c>
      <c r="F732" s="1">
        <v>22589</v>
      </c>
      <c r="G732" s="1" t="s">
        <v>21</v>
      </c>
      <c r="H732" s="1">
        <v>18</v>
      </c>
      <c r="I732" s="1">
        <v>423346</v>
      </c>
      <c r="J732" s="1" t="s">
        <v>770</v>
      </c>
      <c r="K732" s="1" t="s">
        <v>23</v>
      </c>
      <c r="L732" s="1" t="s">
        <v>771</v>
      </c>
      <c r="M732" s="1">
        <v>1</v>
      </c>
      <c r="N732" s="2">
        <v>1399.32</v>
      </c>
      <c r="O732" s="3">
        <v>1750</v>
      </c>
      <c r="P732" s="1">
        <v>122</v>
      </c>
      <c r="Q732" s="1">
        <v>9</v>
      </c>
      <c r="R732" s="1">
        <v>200010026823</v>
      </c>
      <c r="S732" s="1">
        <v>29</v>
      </c>
      <c r="T732" s="1">
        <v>1</v>
      </c>
      <c r="U732" s="1">
        <v>1</v>
      </c>
      <c r="V732">
        <f t="shared" si="11"/>
        <v>1750</v>
      </c>
    </row>
    <row r="733" spans="1:22" ht="13" x14ac:dyDescent="0.15">
      <c r="A733" s="4">
        <v>44776</v>
      </c>
      <c r="B733" s="5">
        <v>0.48781249999999998</v>
      </c>
      <c r="C733" s="1">
        <v>1570</v>
      </c>
      <c r="D733" s="1">
        <v>13002595</v>
      </c>
      <c r="E733" s="1">
        <v>13</v>
      </c>
      <c r="F733" s="1">
        <v>22589</v>
      </c>
      <c r="G733" s="1" t="s">
        <v>21</v>
      </c>
      <c r="H733" s="1">
        <v>18</v>
      </c>
      <c r="I733" s="1">
        <v>443170</v>
      </c>
      <c r="J733" s="1" t="s">
        <v>115</v>
      </c>
      <c r="K733" s="1" t="s">
        <v>51</v>
      </c>
      <c r="L733" s="1" t="s">
        <v>52</v>
      </c>
      <c r="M733" s="1">
        <v>2</v>
      </c>
      <c r="N733" s="2">
        <v>56.55</v>
      </c>
      <c r="O733" s="3">
        <v>89</v>
      </c>
      <c r="P733" s="1">
        <v>17.34</v>
      </c>
      <c r="Q733" s="1">
        <v>9</v>
      </c>
      <c r="R733" s="1">
        <v>200010026823</v>
      </c>
      <c r="S733" s="1">
        <v>29</v>
      </c>
      <c r="T733" s="1">
        <v>1</v>
      </c>
      <c r="U733" s="1">
        <v>7</v>
      </c>
      <c r="V733">
        <f t="shared" si="11"/>
        <v>178</v>
      </c>
    </row>
    <row r="734" spans="1:22" ht="13" x14ac:dyDescent="0.15">
      <c r="A734" s="4">
        <v>44776</v>
      </c>
      <c r="B734" s="5">
        <v>0.48781249999999998</v>
      </c>
      <c r="C734" s="1">
        <v>1570</v>
      </c>
      <c r="D734" s="1">
        <v>13002595</v>
      </c>
      <c r="E734" s="1">
        <v>13</v>
      </c>
      <c r="F734" s="1">
        <v>22589</v>
      </c>
      <c r="G734" s="1" t="s">
        <v>21</v>
      </c>
      <c r="H734" s="1">
        <v>18</v>
      </c>
      <c r="I734" s="1">
        <v>443170</v>
      </c>
      <c r="J734" s="1" t="s">
        <v>115</v>
      </c>
      <c r="K734" s="1" t="s">
        <v>51</v>
      </c>
      <c r="L734" s="1" t="s">
        <v>52</v>
      </c>
      <c r="M734" s="1">
        <v>1</v>
      </c>
      <c r="N734" s="2">
        <v>56.55</v>
      </c>
      <c r="O734" s="3">
        <v>89</v>
      </c>
      <c r="P734" s="1">
        <v>8.66</v>
      </c>
      <c r="Q734" s="1">
        <v>9</v>
      </c>
      <c r="R734" s="1">
        <v>200010026823</v>
      </c>
      <c r="S734" s="1">
        <v>29</v>
      </c>
      <c r="T734" s="1">
        <v>1</v>
      </c>
      <c r="U734" s="1">
        <v>8</v>
      </c>
      <c r="V734">
        <f t="shared" si="11"/>
        <v>89</v>
      </c>
    </row>
    <row r="735" spans="1:22" ht="13" x14ac:dyDescent="0.15">
      <c r="A735" s="4">
        <v>44776</v>
      </c>
      <c r="B735" s="5">
        <v>0.48996527777777776</v>
      </c>
      <c r="C735" s="1">
        <v>1571</v>
      </c>
      <c r="D735" s="1">
        <v>13002595</v>
      </c>
      <c r="E735" s="1">
        <v>13</v>
      </c>
      <c r="F735" s="1">
        <v>22589</v>
      </c>
      <c r="G735" s="1" t="s">
        <v>21</v>
      </c>
      <c r="H735" s="1">
        <v>18</v>
      </c>
      <c r="I735" s="1">
        <v>31353</v>
      </c>
      <c r="J735" s="1" t="s">
        <v>772</v>
      </c>
      <c r="K735" s="1" t="s">
        <v>117</v>
      </c>
      <c r="L735" s="1" t="s">
        <v>773</v>
      </c>
      <c r="M735" s="1">
        <v>1</v>
      </c>
      <c r="N735" s="2">
        <v>282.94</v>
      </c>
      <c r="O735" s="3">
        <v>431</v>
      </c>
      <c r="P735" s="1">
        <v>43</v>
      </c>
      <c r="Q735" s="1">
        <v>941</v>
      </c>
      <c r="R735" s="1">
        <v>200000000044</v>
      </c>
      <c r="S735" s="1">
        <v>29</v>
      </c>
      <c r="T735" s="1">
        <v>1</v>
      </c>
      <c r="U735" s="1">
        <v>3</v>
      </c>
      <c r="V735">
        <f t="shared" si="11"/>
        <v>431</v>
      </c>
    </row>
    <row r="736" spans="1:22" ht="13" x14ac:dyDescent="0.15">
      <c r="A736" s="4">
        <v>44776</v>
      </c>
      <c r="B736" s="5">
        <v>0.48996527777777776</v>
      </c>
      <c r="C736" s="1">
        <v>1571</v>
      </c>
      <c r="D736" s="1">
        <v>13002595</v>
      </c>
      <c r="E736" s="1">
        <v>13</v>
      </c>
      <c r="F736" s="1">
        <v>22589</v>
      </c>
      <c r="G736" s="1" t="s">
        <v>21</v>
      </c>
      <c r="H736" s="1">
        <v>18</v>
      </c>
      <c r="I736" s="1">
        <v>394</v>
      </c>
      <c r="J736" s="1" t="s">
        <v>774</v>
      </c>
      <c r="K736" s="1" t="s">
        <v>34</v>
      </c>
      <c r="L736" s="1" t="s">
        <v>775</v>
      </c>
      <c r="M736" s="1">
        <v>1</v>
      </c>
      <c r="N736" s="2">
        <v>66.739999999999995</v>
      </c>
      <c r="O736" s="3">
        <v>83</v>
      </c>
      <c r="P736" s="1">
        <v>4</v>
      </c>
      <c r="Q736" s="1">
        <v>941</v>
      </c>
      <c r="R736" s="1">
        <v>200000000044</v>
      </c>
      <c r="S736" s="1">
        <v>29</v>
      </c>
      <c r="T736" s="1">
        <v>1</v>
      </c>
      <c r="U736" s="1">
        <v>1</v>
      </c>
      <c r="V736">
        <f t="shared" si="11"/>
        <v>83</v>
      </c>
    </row>
    <row r="737" spans="1:22" ht="13" x14ac:dyDescent="0.15">
      <c r="A737" s="4">
        <v>44776</v>
      </c>
      <c r="B737" s="5">
        <v>0.48996527777777776</v>
      </c>
      <c r="C737" s="1">
        <v>1571</v>
      </c>
      <c r="D737" s="1">
        <v>13002595</v>
      </c>
      <c r="E737" s="1">
        <v>13</v>
      </c>
      <c r="F737" s="1">
        <v>22589</v>
      </c>
      <c r="G737" s="1" t="s">
        <v>21</v>
      </c>
      <c r="H737" s="1">
        <v>18</v>
      </c>
      <c r="I737" s="1">
        <v>395</v>
      </c>
      <c r="J737" s="1" t="s">
        <v>776</v>
      </c>
      <c r="K737" s="1" t="s">
        <v>34</v>
      </c>
      <c r="L737" s="1" t="s">
        <v>775</v>
      </c>
      <c r="M737" s="1">
        <v>1</v>
      </c>
      <c r="N737" s="2">
        <v>61.75</v>
      </c>
      <c r="O737" s="3">
        <v>77</v>
      </c>
      <c r="P737" s="1">
        <v>3</v>
      </c>
      <c r="Q737" s="1">
        <v>941</v>
      </c>
      <c r="R737" s="1">
        <v>200000000044</v>
      </c>
      <c r="S737" s="1">
        <v>29</v>
      </c>
      <c r="T737" s="1">
        <v>1</v>
      </c>
      <c r="U737" s="1">
        <v>2</v>
      </c>
      <c r="V737">
        <f t="shared" si="11"/>
        <v>77</v>
      </c>
    </row>
    <row r="738" spans="1:22" ht="13" x14ac:dyDescent="0.15">
      <c r="A738" s="4">
        <v>44776</v>
      </c>
      <c r="B738" s="5">
        <v>0.4959027777777778</v>
      </c>
      <c r="C738" s="1">
        <v>1572</v>
      </c>
      <c r="D738" s="1">
        <v>13002595</v>
      </c>
      <c r="E738" s="1">
        <v>13</v>
      </c>
      <c r="F738" s="1">
        <v>22589</v>
      </c>
      <c r="G738" s="1" t="s">
        <v>21</v>
      </c>
      <c r="H738" s="1">
        <v>15</v>
      </c>
      <c r="I738" s="1">
        <v>18836</v>
      </c>
      <c r="J738" s="1" t="s">
        <v>517</v>
      </c>
      <c r="K738" s="1" t="s">
        <v>51</v>
      </c>
      <c r="L738" s="1" t="s">
        <v>67</v>
      </c>
      <c r="M738" s="1">
        <v>1</v>
      </c>
      <c r="N738" s="2">
        <v>109.1</v>
      </c>
      <c r="O738" s="3">
        <v>123</v>
      </c>
      <c r="P738" s="1">
        <v>8</v>
      </c>
      <c r="Q738" s="1">
        <v>9</v>
      </c>
      <c r="R738" s="1">
        <v>200010015452</v>
      </c>
      <c r="S738" s="1">
        <v>29</v>
      </c>
      <c r="T738" s="1">
        <v>1</v>
      </c>
      <c r="U738" s="1">
        <v>2</v>
      </c>
      <c r="V738">
        <f t="shared" si="11"/>
        <v>123</v>
      </c>
    </row>
    <row r="739" spans="1:22" ht="13" x14ac:dyDescent="0.15">
      <c r="A739" s="4">
        <v>44776</v>
      </c>
      <c r="B739" s="5">
        <v>0.54353009259259255</v>
      </c>
      <c r="C739" s="1">
        <v>1592</v>
      </c>
      <c r="D739" s="1">
        <v>13002595</v>
      </c>
      <c r="E739" s="1">
        <v>13</v>
      </c>
      <c r="F739" s="1">
        <v>22589</v>
      </c>
      <c r="G739" s="1" t="s">
        <v>21</v>
      </c>
      <c r="H739" s="1">
        <v>15</v>
      </c>
      <c r="I739" s="1">
        <v>18836</v>
      </c>
      <c r="J739" s="1" t="s">
        <v>517</v>
      </c>
      <c r="K739" s="1" t="s">
        <v>51</v>
      </c>
      <c r="L739" s="1" t="s">
        <v>67</v>
      </c>
      <c r="M739" s="1">
        <v>1</v>
      </c>
      <c r="N739" s="2">
        <v>109.1</v>
      </c>
      <c r="O739" s="3">
        <v>123</v>
      </c>
      <c r="P739" s="1">
        <v>14.82</v>
      </c>
      <c r="Q739" s="1">
        <v>925</v>
      </c>
      <c r="R739" s="1">
        <v>200000000492</v>
      </c>
      <c r="S739" s="1">
        <v>29</v>
      </c>
      <c r="T739" s="1">
        <v>1</v>
      </c>
      <c r="U739" s="1">
        <v>1</v>
      </c>
      <c r="V739">
        <f t="shared" si="11"/>
        <v>123</v>
      </c>
    </row>
    <row r="740" spans="1:22" ht="13" x14ac:dyDescent="0.15">
      <c r="A740" s="4">
        <v>44776</v>
      </c>
      <c r="B740" s="5">
        <v>0.4959027777777778</v>
      </c>
      <c r="C740" s="1">
        <v>1572</v>
      </c>
      <c r="D740" s="1">
        <v>13002595</v>
      </c>
      <c r="E740" s="1">
        <v>13</v>
      </c>
      <c r="F740" s="1">
        <v>22589</v>
      </c>
      <c r="G740" s="1" t="s">
        <v>21</v>
      </c>
      <c r="H740" s="1">
        <v>15</v>
      </c>
      <c r="I740" s="1">
        <v>22872</v>
      </c>
      <c r="J740" s="1" t="s">
        <v>777</v>
      </c>
      <c r="K740" s="1" t="s">
        <v>252</v>
      </c>
      <c r="L740" s="1" t="s">
        <v>74</v>
      </c>
      <c r="M740" s="1">
        <v>1</v>
      </c>
      <c r="N740" s="2">
        <v>21.29</v>
      </c>
      <c r="O740" s="3">
        <v>35</v>
      </c>
      <c r="P740" s="1">
        <v>3</v>
      </c>
      <c r="Q740" s="1">
        <v>9</v>
      </c>
      <c r="R740" s="1">
        <v>200010015452</v>
      </c>
      <c r="S740" s="1">
        <v>29</v>
      </c>
      <c r="T740" s="1">
        <v>1</v>
      </c>
      <c r="U740" s="1">
        <v>1</v>
      </c>
      <c r="V740">
        <f t="shared" si="11"/>
        <v>35</v>
      </c>
    </row>
    <row r="741" spans="1:22" ht="13" x14ac:dyDescent="0.15">
      <c r="A741" s="4">
        <v>44776</v>
      </c>
      <c r="B741" s="5">
        <v>0.49951388888888887</v>
      </c>
      <c r="C741" s="1">
        <v>1573</v>
      </c>
      <c r="D741" s="1">
        <v>13002595</v>
      </c>
      <c r="E741" s="1">
        <v>13</v>
      </c>
      <c r="F741" s="1">
        <v>22589</v>
      </c>
      <c r="G741" s="1" t="s">
        <v>21</v>
      </c>
      <c r="H741" s="1">
        <v>18</v>
      </c>
      <c r="I741" s="1">
        <v>25160</v>
      </c>
      <c r="J741" s="1" t="s">
        <v>778</v>
      </c>
      <c r="K741" s="1" t="s">
        <v>29</v>
      </c>
      <c r="L741" s="1" t="s">
        <v>779</v>
      </c>
      <c r="M741" s="1">
        <v>1</v>
      </c>
      <c r="N741" s="2">
        <v>1005.41</v>
      </c>
      <c r="O741" s="3">
        <v>1257</v>
      </c>
      <c r="P741" s="1">
        <v>87</v>
      </c>
      <c r="Q741" s="1">
        <v>9</v>
      </c>
      <c r="R741" s="1">
        <v>200010000795</v>
      </c>
      <c r="S741" s="1">
        <v>29</v>
      </c>
      <c r="T741" s="1">
        <v>1</v>
      </c>
      <c r="U741" s="1">
        <v>1</v>
      </c>
      <c r="V741">
        <f t="shared" si="11"/>
        <v>1257</v>
      </c>
    </row>
    <row r="742" spans="1:22" ht="13" x14ac:dyDescent="0.15">
      <c r="A742" s="4">
        <v>44776</v>
      </c>
      <c r="B742" s="5">
        <v>0.50384259259259256</v>
      </c>
      <c r="C742" s="1">
        <v>1574</v>
      </c>
      <c r="D742" s="1">
        <v>13002595</v>
      </c>
      <c r="E742" s="1">
        <v>13</v>
      </c>
      <c r="F742" s="1">
        <v>22589</v>
      </c>
      <c r="G742" s="1" t="s">
        <v>21</v>
      </c>
      <c r="H742" s="1">
        <v>18</v>
      </c>
      <c r="I742" s="1">
        <v>29373</v>
      </c>
      <c r="J742" s="1" t="s">
        <v>780</v>
      </c>
      <c r="K742" s="1" t="s">
        <v>51</v>
      </c>
      <c r="L742" s="1" t="s">
        <v>175</v>
      </c>
      <c r="M742" s="1">
        <v>1</v>
      </c>
      <c r="N742" s="2">
        <v>94.92</v>
      </c>
      <c r="O742" s="3">
        <v>120</v>
      </c>
      <c r="P742" s="1">
        <v>6</v>
      </c>
      <c r="Q742" s="1">
        <v>9</v>
      </c>
      <c r="R742" s="1">
        <v>200010010562</v>
      </c>
      <c r="S742" s="1">
        <v>29</v>
      </c>
      <c r="T742" s="1">
        <v>1</v>
      </c>
      <c r="U742" s="1">
        <v>1</v>
      </c>
      <c r="V742">
        <f t="shared" si="11"/>
        <v>120</v>
      </c>
    </row>
    <row r="743" spans="1:22" ht="13" x14ac:dyDescent="0.15">
      <c r="A743" s="4">
        <v>44776</v>
      </c>
      <c r="B743" s="5">
        <v>0.50604166666666661</v>
      </c>
      <c r="C743" s="1">
        <v>1575</v>
      </c>
      <c r="D743" s="1">
        <v>13002595</v>
      </c>
      <c r="E743" s="1">
        <v>13</v>
      </c>
      <c r="F743" s="1">
        <v>22589</v>
      </c>
      <c r="G743" s="1" t="s">
        <v>21</v>
      </c>
      <c r="H743" s="1">
        <v>18</v>
      </c>
      <c r="I743" s="1">
        <v>22533</v>
      </c>
      <c r="J743" s="1" t="s">
        <v>156</v>
      </c>
      <c r="K743" s="1" t="s">
        <v>466</v>
      </c>
      <c r="L743" s="1" t="s">
        <v>781</v>
      </c>
      <c r="M743" s="1">
        <v>1</v>
      </c>
      <c r="N743" s="2">
        <v>145.63999999999999</v>
      </c>
      <c r="O743" s="3">
        <v>160</v>
      </c>
      <c r="P743" s="1">
        <v>0</v>
      </c>
      <c r="Q743" s="1" t="s">
        <v>25</v>
      </c>
      <c r="R743" s="1" t="s">
        <v>25</v>
      </c>
      <c r="S743" s="1">
        <v>29</v>
      </c>
      <c r="T743" s="1">
        <v>2</v>
      </c>
      <c r="U743" s="1">
        <v>10</v>
      </c>
      <c r="V743">
        <f t="shared" si="11"/>
        <v>160</v>
      </c>
    </row>
    <row r="744" spans="1:22" ht="13" x14ac:dyDescent="0.15">
      <c r="A744" s="4">
        <v>44776</v>
      </c>
      <c r="B744" s="5">
        <v>0.50604166666666661</v>
      </c>
      <c r="C744" s="1">
        <v>1575</v>
      </c>
      <c r="D744" s="1">
        <v>13002595</v>
      </c>
      <c r="E744" s="1">
        <v>13</v>
      </c>
      <c r="F744" s="1">
        <v>22589</v>
      </c>
      <c r="G744" s="1" t="s">
        <v>21</v>
      </c>
      <c r="H744" s="1">
        <v>18</v>
      </c>
      <c r="I744" s="1">
        <v>22533</v>
      </c>
      <c r="J744" s="1" t="s">
        <v>156</v>
      </c>
      <c r="K744" s="1" t="s">
        <v>466</v>
      </c>
      <c r="L744" s="1" t="s">
        <v>781</v>
      </c>
      <c r="M744" s="1">
        <v>1</v>
      </c>
      <c r="N744" s="2">
        <v>145.63999999999999</v>
      </c>
      <c r="O744" s="3">
        <v>160</v>
      </c>
      <c r="P744" s="1">
        <v>0</v>
      </c>
      <c r="Q744" s="1" t="s">
        <v>25</v>
      </c>
      <c r="R744" s="1" t="s">
        <v>25</v>
      </c>
      <c r="S744" s="1">
        <v>29</v>
      </c>
      <c r="T744" s="1">
        <v>2</v>
      </c>
      <c r="U744" s="1">
        <v>11</v>
      </c>
      <c r="V744">
        <f t="shared" si="11"/>
        <v>160</v>
      </c>
    </row>
    <row r="745" spans="1:22" ht="13" x14ac:dyDescent="0.15">
      <c r="A745" s="4">
        <v>44776</v>
      </c>
      <c r="B745" s="5">
        <v>0.50604166666666661</v>
      </c>
      <c r="C745" s="1">
        <v>1575</v>
      </c>
      <c r="D745" s="1">
        <v>13002595</v>
      </c>
      <c r="E745" s="1">
        <v>13</v>
      </c>
      <c r="F745" s="1">
        <v>22589</v>
      </c>
      <c r="G745" s="1" t="s">
        <v>21</v>
      </c>
      <c r="H745" s="1">
        <v>18</v>
      </c>
      <c r="I745" s="1">
        <v>3770</v>
      </c>
      <c r="J745" s="1" t="s">
        <v>782</v>
      </c>
      <c r="K745" s="1" t="s">
        <v>466</v>
      </c>
      <c r="L745" s="1" t="s">
        <v>255</v>
      </c>
      <c r="M745" s="1">
        <v>1</v>
      </c>
      <c r="N745" s="2">
        <v>167.09</v>
      </c>
      <c r="O745" s="3">
        <v>175</v>
      </c>
      <c r="P745" s="1">
        <v>0</v>
      </c>
      <c r="Q745" s="1" t="s">
        <v>25</v>
      </c>
      <c r="R745" s="1" t="s">
        <v>25</v>
      </c>
      <c r="S745" s="1">
        <v>29</v>
      </c>
      <c r="T745" s="1">
        <v>2</v>
      </c>
      <c r="U745" s="1">
        <v>9</v>
      </c>
      <c r="V745">
        <f t="shared" si="11"/>
        <v>175</v>
      </c>
    </row>
    <row r="746" spans="1:22" ht="13" x14ac:dyDescent="0.15">
      <c r="A746" s="4">
        <v>44776</v>
      </c>
      <c r="B746" s="5">
        <v>0.50604166666666661</v>
      </c>
      <c r="C746" s="1">
        <v>1575</v>
      </c>
      <c r="D746" s="1">
        <v>13002595</v>
      </c>
      <c r="E746" s="1">
        <v>13</v>
      </c>
      <c r="F746" s="1">
        <v>22589</v>
      </c>
      <c r="G746" s="1" t="s">
        <v>21</v>
      </c>
      <c r="H746" s="1">
        <v>18</v>
      </c>
      <c r="I746" s="1">
        <v>298510</v>
      </c>
      <c r="J746" s="1" t="s">
        <v>229</v>
      </c>
      <c r="K746" s="1" t="s">
        <v>466</v>
      </c>
      <c r="L746" s="1" t="s">
        <v>230</v>
      </c>
      <c r="M746" s="1">
        <v>1</v>
      </c>
      <c r="N746" s="2">
        <v>64.680000000000007</v>
      </c>
      <c r="O746" s="3">
        <v>69</v>
      </c>
      <c r="P746" s="1">
        <v>0</v>
      </c>
      <c r="Q746" s="1" t="s">
        <v>25</v>
      </c>
      <c r="R746" s="1" t="s">
        <v>25</v>
      </c>
      <c r="S746" s="1">
        <v>29</v>
      </c>
      <c r="T746" s="1">
        <v>2</v>
      </c>
      <c r="U746" s="1">
        <v>15</v>
      </c>
      <c r="V746">
        <f t="shared" si="11"/>
        <v>69</v>
      </c>
    </row>
    <row r="747" spans="1:22" ht="13" x14ac:dyDescent="0.15">
      <c r="A747" s="4">
        <v>44776</v>
      </c>
      <c r="B747" s="5">
        <v>0.50604166666666661</v>
      </c>
      <c r="C747" s="1">
        <v>1575</v>
      </c>
      <c r="D747" s="1">
        <v>13002595</v>
      </c>
      <c r="E747" s="1">
        <v>13</v>
      </c>
      <c r="F747" s="1">
        <v>22589</v>
      </c>
      <c r="G747" s="1" t="s">
        <v>21</v>
      </c>
      <c r="H747" s="1">
        <v>18</v>
      </c>
      <c r="I747" s="1">
        <v>298510</v>
      </c>
      <c r="J747" s="1" t="s">
        <v>229</v>
      </c>
      <c r="K747" s="1" t="s">
        <v>466</v>
      </c>
      <c r="L747" s="1" t="s">
        <v>230</v>
      </c>
      <c r="M747" s="1">
        <v>1</v>
      </c>
      <c r="N747" s="2">
        <v>64.680000000000007</v>
      </c>
      <c r="O747" s="3">
        <v>69</v>
      </c>
      <c r="P747" s="1">
        <v>0</v>
      </c>
      <c r="Q747" s="1" t="s">
        <v>25</v>
      </c>
      <c r="R747" s="1" t="s">
        <v>25</v>
      </c>
      <c r="S747" s="1">
        <v>29</v>
      </c>
      <c r="T747" s="1">
        <v>2</v>
      </c>
      <c r="U747" s="1">
        <v>16</v>
      </c>
      <c r="V747">
        <f t="shared" si="11"/>
        <v>69</v>
      </c>
    </row>
    <row r="748" spans="1:22" ht="13" x14ac:dyDescent="0.15">
      <c r="A748" s="4">
        <v>44776</v>
      </c>
      <c r="B748" s="5">
        <v>0.50604166666666661</v>
      </c>
      <c r="C748" s="1">
        <v>1575</v>
      </c>
      <c r="D748" s="1">
        <v>13002595</v>
      </c>
      <c r="E748" s="1">
        <v>13</v>
      </c>
      <c r="F748" s="1">
        <v>22589</v>
      </c>
      <c r="G748" s="1" t="s">
        <v>21</v>
      </c>
      <c r="H748" s="1">
        <v>18</v>
      </c>
      <c r="I748" s="1">
        <v>430942</v>
      </c>
      <c r="J748" s="1" t="s">
        <v>783</v>
      </c>
      <c r="K748" s="1" t="s">
        <v>466</v>
      </c>
      <c r="L748" s="1" t="s">
        <v>104</v>
      </c>
      <c r="M748" s="1">
        <v>1</v>
      </c>
      <c r="N748" s="2">
        <v>67.760000000000005</v>
      </c>
      <c r="O748" s="3">
        <v>71</v>
      </c>
      <c r="P748" s="1">
        <v>0</v>
      </c>
      <c r="Q748" s="1" t="s">
        <v>25</v>
      </c>
      <c r="R748" s="1" t="s">
        <v>25</v>
      </c>
      <c r="S748" s="1">
        <v>29</v>
      </c>
      <c r="T748" s="1">
        <v>2</v>
      </c>
      <c r="U748" s="1">
        <v>4</v>
      </c>
      <c r="V748">
        <f t="shared" si="11"/>
        <v>71</v>
      </c>
    </row>
    <row r="749" spans="1:22" ht="13" x14ac:dyDescent="0.15">
      <c r="A749" s="4">
        <v>44776</v>
      </c>
      <c r="B749" s="5">
        <v>0.50604166666666661</v>
      </c>
      <c r="C749" s="1">
        <v>1575</v>
      </c>
      <c r="D749" s="1">
        <v>13002595</v>
      </c>
      <c r="E749" s="1">
        <v>13</v>
      </c>
      <c r="F749" s="1">
        <v>22589</v>
      </c>
      <c r="G749" s="1" t="s">
        <v>21</v>
      </c>
      <c r="H749" s="1">
        <v>18</v>
      </c>
      <c r="I749" s="1">
        <v>430942</v>
      </c>
      <c r="J749" s="1" t="s">
        <v>783</v>
      </c>
      <c r="K749" s="1" t="s">
        <v>466</v>
      </c>
      <c r="L749" s="1" t="s">
        <v>104</v>
      </c>
      <c r="M749" s="1">
        <v>1</v>
      </c>
      <c r="N749" s="2">
        <v>67.760000000000005</v>
      </c>
      <c r="O749" s="3">
        <v>71</v>
      </c>
      <c r="P749" s="1">
        <v>0</v>
      </c>
      <c r="Q749" s="1" t="s">
        <v>25</v>
      </c>
      <c r="R749" s="1" t="s">
        <v>25</v>
      </c>
      <c r="S749" s="1">
        <v>29</v>
      </c>
      <c r="T749" s="1">
        <v>2</v>
      </c>
      <c r="U749" s="1">
        <v>5</v>
      </c>
      <c r="V749">
        <f t="shared" si="11"/>
        <v>71</v>
      </c>
    </row>
    <row r="750" spans="1:22" ht="13" x14ac:dyDescent="0.15">
      <c r="A750" s="4">
        <v>44776</v>
      </c>
      <c r="B750" s="5">
        <v>0.50604166666666661</v>
      </c>
      <c r="C750" s="1">
        <v>1575</v>
      </c>
      <c r="D750" s="1">
        <v>13002595</v>
      </c>
      <c r="E750" s="1">
        <v>13</v>
      </c>
      <c r="F750" s="1">
        <v>22589</v>
      </c>
      <c r="G750" s="1" t="s">
        <v>21</v>
      </c>
      <c r="H750" s="1">
        <v>18</v>
      </c>
      <c r="I750" s="1">
        <v>430942</v>
      </c>
      <c r="J750" s="1" t="s">
        <v>783</v>
      </c>
      <c r="K750" s="1" t="s">
        <v>466</v>
      </c>
      <c r="L750" s="1" t="s">
        <v>104</v>
      </c>
      <c r="M750" s="1">
        <v>1</v>
      </c>
      <c r="N750" s="2">
        <v>67.760000000000005</v>
      </c>
      <c r="O750" s="3">
        <v>71</v>
      </c>
      <c r="P750" s="1">
        <v>0</v>
      </c>
      <c r="Q750" s="1" t="s">
        <v>25</v>
      </c>
      <c r="R750" s="1" t="s">
        <v>25</v>
      </c>
      <c r="S750" s="1">
        <v>29</v>
      </c>
      <c r="T750" s="1">
        <v>2</v>
      </c>
      <c r="U750" s="1">
        <v>6</v>
      </c>
      <c r="V750">
        <f t="shared" si="11"/>
        <v>71</v>
      </c>
    </row>
    <row r="751" spans="1:22" ht="13" x14ac:dyDescent="0.15">
      <c r="A751" s="4">
        <v>44776</v>
      </c>
      <c r="B751" s="5">
        <v>0.50604166666666661</v>
      </c>
      <c r="C751" s="1">
        <v>1575</v>
      </c>
      <c r="D751" s="1">
        <v>13002595</v>
      </c>
      <c r="E751" s="1">
        <v>13</v>
      </c>
      <c r="F751" s="1">
        <v>22589</v>
      </c>
      <c r="G751" s="1" t="s">
        <v>21</v>
      </c>
      <c r="H751" s="1">
        <v>18</v>
      </c>
      <c r="I751" s="1">
        <v>338370</v>
      </c>
      <c r="J751" s="1" t="s">
        <v>762</v>
      </c>
      <c r="K751" s="1" t="s">
        <v>466</v>
      </c>
      <c r="L751" s="1" t="s">
        <v>276</v>
      </c>
      <c r="M751" s="1">
        <v>1</v>
      </c>
      <c r="N751" s="2">
        <v>2814.35</v>
      </c>
      <c r="O751" s="3">
        <v>2947</v>
      </c>
      <c r="P751" s="1">
        <v>0</v>
      </c>
      <c r="Q751" s="1" t="s">
        <v>25</v>
      </c>
      <c r="R751" s="1" t="s">
        <v>25</v>
      </c>
      <c r="S751" s="1">
        <v>29</v>
      </c>
      <c r="T751" s="1">
        <v>2</v>
      </c>
      <c r="U751" s="1">
        <v>7</v>
      </c>
      <c r="V751">
        <f t="shared" si="11"/>
        <v>2947</v>
      </c>
    </row>
    <row r="752" spans="1:22" ht="13" x14ac:dyDescent="0.15">
      <c r="A752" s="4">
        <v>44776</v>
      </c>
      <c r="B752" s="5">
        <v>0.50604166666666661</v>
      </c>
      <c r="C752" s="1">
        <v>1575</v>
      </c>
      <c r="D752" s="1">
        <v>13002595</v>
      </c>
      <c r="E752" s="1">
        <v>13</v>
      </c>
      <c r="F752" s="1">
        <v>22589</v>
      </c>
      <c r="G752" s="1" t="s">
        <v>21</v>
      </c>
      <c r="H752" s="1">
        <v>18</v>
      </c>
      <c r="I752" s="1">
        <v>338370</v>
      </c>
      <c r="J752" s="1" t="s">
        <v>762</v>
      </c>
      <c r="K752" s="1" t="s">
        <v>466</v>
      </c>
      <c r="L752" s="1" t="s">
        <v>276</v>
      </c>
      <c r="M752" s="1">
        <v>1</v>
      </c>
      <c r="N752" s="2">
        <v>2814.35</v>
      </c>
      <c r="O752" s="3">
        <v>2947</v>
      </c>
      <c r="P752" s="1">
        <v>0</v>
      </c>
      <c r="Q752" s="1" t="s">
        <v>25</v>
      </c>
      <c r="R752" s="1" t="s">
        <v>25</v>
      </c>
      <c r="S752" s="1">
        <v>29</v>
      </c>
      <c r="T752" s="1">
        <v>2</v>
      </c>
      <c r="U752" s="1">
        <v>8</v>
      </c>
      <c r="V752">
        <f t="shared" si="11"/>
        <v>2947</v>
      </c>
    </row>
    <row r="753" spans="1:22" ht="13" x14ac:dyDescent="0.15">
      <c r="A753" s="4">
        <v>44776</v>
      </c>
      <c r="B753" s="5">
        <v>0.50604166666666661</v>
      </c>
      <c r="C753" s="1">
        <v>1575</v>
      </c>
      <c r="D753" s="1">
        <v>13002595</v>
      </c>
      <c r="E753" s="1">
        <v>13</v>
      </c>
      <c r="F753" s="1">
        <v>22589</v>
      </c>
      <c r="G753" s="1" t="s">
        <v>21</v>
      </c>
      <c r="H753" s="1">
        <v>18</v>
      </c>
      <c r="I753" s="1">
        <v>124404</v>
      </c>
      <c r="J753" s="1" t="s">
        <v>784</v>
      </c>
      <c r="K753" s="1" t="s">
        <v>466</v>
      </c>
      <c r="L753" s="1" t="s">
        <v>276</v>
      </c>
      <c r="M753" s="1">
        <v>1</v>
      </c>
      <c r="N753" s="2">
        <v>643.61</v>
      </c>
      <c r="O753" s="3">
        <v>674</v>
      </c>
      <c r="P753" s="1">
        <v>0</v>
      </c>
      <c r="Q753" s="1" t="s">
        <v>25</v>
      </c>
      <c r="R753" s="1" t="s">
        <v>25</v>
      </c>
      <c r="S753" s="1">
        <v>29</v>
      </c>
      <c r="T753" s="1">
        <v>2</v>
      </c>
      <c r="U753" s="1">
        <v>13</v>
      </c>
      <c r="V753">
        <f t="shared" si="11"/>
        <v>674</v>
      </c>
    </row>
    <row r="754" spans="1:22" ht="13" x14ac:dyDescent="0.15">
      <c r="A754" s="4">
        <v>44776</v>
      </c>
      <c r="B754" s="5">
        <v>0.50604166666666661</v>
      </c>
      <c r="C754" s="1">
        <v>1575</v>
      </c>
      <c r="D754" s="1">
        <v>13002595</v>
      </c>
      <c r="E754" s="1">
        <v>13</v>
      </c>
      <c r="F754" s="1">
        <v>22589</v>
      </c>
      <c r="G754" s="1" t="s">
        <v>21</v>
      </c>
      <c r="H754" s="1">
        <v>18</v>
      </c>
      <c r="I754" s="1">
        <v>124493</v>
      </c>
      <c r="J754" s="1" t="s">
        <v>785</v>
      </c>
      <c r="K754" s="1" t="s">
        <v>466</v>
      </c>
      <c r="L754" s="1" t="s">
        <v>276</v>
      </c>
      <c r="M754" s="1">
        <v>1</v>
      </c>
      <c r="N754" s="2">
        <v>886.16</v>
      </c>
      <c r="O754" s="3">
        <v>928</v>
      </c>
      <c r="P754" s="1">
        <v>0</v>
      </c>
      <c r="Q754" s="1" t="s">
        <v>25</v>
      </c>
      <c r="R754" s="1" t="s">
        <v>25</v>
      </c>
      <c r="S754" s="1">
        <v>29</v>
      </c>
      <c r="T754" s="1">
        <v>2</v>
      </c>
      <c r="U754" s="1">
        <v>12</v>
      </c>
      <c r="V754">
        <f t="shared" si="11"/>
        <v>928</v>
      </c>
    </row>
    <row r="755" spans="1:22" ht="13" x14ac:dyDescent="0.15">
      <c r="A755" s="4">
        <v>44776</v>
      </c>
      <c r="B755" s="5">
        <v>0.50604166666666661</v>
      </c>
      <c r="C755" s="1">
        <v>1575</v>
      </c>
      <c r="D755" s="1">
        <v>13002595</v>
      </c>
      <c r="E755" s="1">
        <v>13</v>
      </c>
      <c r="F755" s="1">
        <v>22589</v>
      </c>
      <c r="G755" s="1" t="s">
        <v>21</v>
      </c>
      <c r="H755" s="1">
        <v>18</v>
      </c>
      <c r="I755" s="1">
        <v>285448</v>
      </c>
      <c r="J755" s="1" t="s">
        <v>786</v>
      </c>
      <c r="K755" s="1" t="s">
        <v>466</v>
      </c>
      <c r="L755" s="1" t="s">
        <v>39</v>
      </c>
      <c r="M755" s="1">
        <v>1</v>
      </c>
      <c r="N755" s="2">
        <v>1032.3499999999999</v>
      </c>
      <c r="O755" s="3">
        <v>1081</v>
      </c>
      <c r="P755" s="1">
        <v>0</v>
      </c>
      <c r="Q755" s="1" t="s">
        <v>25</v>
      </c>
      <c r="R755" s="1" t="s">
        <v>25</v>
      </c>
      <c r="S755" s="1">
        <v>29</v>
      </c>
      <c r="T755" s="1">
        <v>2</v>
      </c>
      <c r="U755" s="1">
        <v>2</v>
      </c>
      <c r="V755">
        <f t="shared" si="11"/>
        <v>1081</v>
      </c>
    </row>
    <row r="756" spans="1:22" ht="13" x14ac:dyDescent="0.15">
      <c r="A756" s="4">
        <v>44776</v>
      </c>
      <c r="B756" s="5">
        <v>0.50604166666666661</v>
      </c>
      <c r="C756" s="1">
        <v>1575</v>
      </c>
      <c r="D756" s="1">
        <v>13002595</v>
      </c>
      <c r="E756" s="1">
        <v>13</v>
      </c>
      <c r="F756" s="1">
        <v>22589</v>
      </c>
      <c r="G756" s="1" t="s">
        <v>21</v>
      </c>
      <c r="H756" s="1">
        <v>18</v>
      </c>
      <c r="I756" s="1">
        <v>338488</v>
      </c>
      <c r="J756" s="1" t="s">
        <v>787</v>
      </c>
      <c r="K756" s="1" t="s">
        <v>466</v>
      </c>
      <c r="L756" s="1" t="s">
        <v>37</v>
      </c>
      <c r="M756" s="1">
        <v>1</v>
      </c>
      <c r="N756" s="2">
        <v>286.44</v>
      </c>
      <c r="O756" s="3">
        <v>300</v>
      </c>
      <c r="P756" s="1">
        <v>0</v>
      </c>
      <c r="Q756" s="1" t="s">
        <v>25</v>
      </c>
      <c r="R756" s="1" t="s">
        <v>25</v>
      </c>
      <c r="S756" s="1">
        <v>29</v>
      </c>
      <c r="T756" s="1">
        <v>2</v>
      </c>
      <c r="U756" s="1">
        <v>1</v>
      </c>
      <c r="V756">
        <f t="shared" si="11"/>
        <v>300</v>
      </c>
    </row>
    <row r="757" spans="1:22" ht="13" x14ac:dyDescent="0.15">
      <c r="A757" s="4">
        <v>44776</v>
      </c>
      <c r="B757" s="5">
        <v>0.50604166666666661</v>
      </c>
      <c r="C757" s="1">
        <v>1575</v>
      </c>
      <c r="D757" s="1">
        <v>13002595</v>
      </c>
      <c r="E757" s="1">
        <v>13</v>
      </c>
      <c r="F757" s="1">
        <v>22589</v>
      </c>
      <c r="G757" s="1" t="s">
        <v>21</v>
      </c>
      <c r="H757" s="1">
        <v>18</v>
      </c>
      <c r="I757" s="1">
        <v>381540</v>
      </c>
      <c r="J757" s="1" t="s">
        <v>788</v>
      </c>
      <c r="K757" s="1" t="s">
        <v>466</v>
      </c>
      <c r="L757" s="1" t="s">
        <v>789</v>
      </c>
      <c r="M757" s="1">
        <v>1</v>
      </c>
      <c r="N757" s="2">
        <v>3325.3</v>
      </c>
      <c r="O757" s="3">
        <v>3482</v>
      </c>
      <c r="P757" s="1">
        <v>0</v>
      </c>
      <c r="Q757" s="1" t="s">
        <v>25</v>
      </c>
      <c r="R757" s="1" t="s">
        <v>25</v>
      </c>
      <c r="S757" s="1">
        <v>29</v>
      </c>
      <c r="T757" s="1">
        <v>2</v>
      </c>
      <c r="U757" s="1">
        <v>3</v>
      </c>
      <c r="V757">
        <f t="shared" si="11"/>
        <v>3482</v>
      </c>
    </row>
    <row r="758" spans="1:22" ht="13" x14ac:dyDescent="0.15">
      <c r="A758" s="4">
        <v>44776</v>
      </c>
      <c r="B758" s="5">
        <v>0.50604166666666661</v>
      </c>
      <c r="C758" s="1">
        <v>1575</v>
      </c>
      <c r="D758" s="1">
        <v>13002595</v>
      </c>
      <c r="E758" s="1">
        <v>13</v>
      </c>
      <c r="F758" s="1">
        <v>22589</v>
      </c>
      <c r="G758" s="1" t="s">
        <v>21</v>
      </c>
      <c r="H758" s="1">
        <v>18</v>
      </c>
      <c r="I758" s="1">
        <v>1141</v>
      </c>
      <c r="J758" s="1" t="s">
        <v>790</v>
      </c>
      <c r="K758" s="1" t="s">
        <v>466</v>
      </c>
      <c r="L758" s="1" t="s">
        <v>791</v>
      </c>
      <c r="M758" s="1">
        <v>1</v>
      </c>
      <c r="N758" s="2">
        <v>446.93</v>
      </c>
      <c r="O758" s="3">
        <v>468</v>
      </c>
      <c r="P758" s="1">
        <v>0</v>
      </c>
      <c r="Q758" s="1" t="s">
        <v>25</v>
      </c>
      <c r="R758" s="1" t="s">
        <v>25</v>
      </c>
      <c r="S758" s="1">
        <v>29</v>
      </c>
      <c r="T758" s="1">
        <v>2</v>
      </c>
      <c r="U758" s="1">
        <v>14</v>
      </c>
      <c r="V758">
        <f t="shared" si="11"/>
        <v>468</v>
      </c>
    </row>
    <row r="759" spans="1:22" ht="13" x14ac:dyDescent="0.15">
      <c r="A759" s="4">
        <v>44776</v>
      </c>
      <c r="B759" s="5">
        <v>0.50671296296296298</v>
      </c>
      <c r="C759" s="1">
        <v>1576</v>
      </c>
      <c r="D759" s="1">
        <v>13002595</v>
      </c>
      <c r="E759" s="1">
        <v>13</v>
      </c>
      <c r="F759" s="1">
        <v>22589</v>
      </c>
      <c r="G759" s="1" t="s">
        <v>21</v>
      </c>
      <c r="H759" s="1">
        <v>18</v>
      </c>
      <c r="I759" s="1">
        <v>4773</v>
      </c>
      <c r="J759" s="1" t="s">
        <v>398</v>
      </c>
      <c r="K759" s="1" t="s">
        <v>45</v>
      </c>
      <c r="L759" s="1" t="s">
        <v>399</v>
      </c>
      <c r="M759" s="1">
        <v>1</v>
      </c>
      <c r="N759" s="2">
        <v>86.27</v>
      </c>
      <c r="O759" s="3">
        <v>105</v>
      </c>
      <c r="P759" s="1">
        <v>0</v>
      </c>
      <c r="Q759" s="1" t="s">
        <v>25</v>
      </c>
      <c r="R759" s="1" t="s">
        <v>25</v>
      </c>
      <c r="S759" s="1">
        <v>29</v>
      </c>
      <c r="T759" s="1">
        <v>1</v>
      </c>
      <c r="U759" s="1">
        <v>1</v>
      </c>
      <c r="V759">
        <f t="shared" si="11"/>
        <v>105</v>
      </c>
    </row>
    <row r="760" spans="1:22" ht="13" x14ac:dyDescent="0.15">
      <c r="A760" s="4">
        <v>44776</v>
      </c>
      <c r="B760" s="5">
        <v>0.50773148148148151</v>
      </c>
      <c r="C760" s="1">
        <v>1577</v>
      </c>
      <c r="D760" s="1">
        <v>13002595</v>
      </c>
      <c r="E760" s="1">
        <v>13</v>
      </c>
      <c r="F760" s="1">
        <v>22589</v>
      </c>
      <c r="G760" s="1" t="s">
        <v>21</v>
      </c>
      <c r="H760" s="1">
        <v>18</v>
      </c>
      <c r="I760" s="1">
        <v>379</v>
      </c>
      <c r="J760" s="1" t="s">
        <v>792</v>
      </c>
      <c r="K760" s="1" t="s">
        <v>141</v>
      </c>
      <c r="L760" s="1" t="s">
        <v>793</v>
      </c>
      <c r="M760" s="1">
        <v>1</v>
      </c>
      <c r="N760" s="2">
        <v>15.62</v>
      </c>
      <c r="O760" s="3">
        <v>26</v>
      </c>
      <c r="P760" s="1">
        <v>0</v>
      </c>
      <c r="Q760" s="1" t="s">
        <v>25</v>
      </c>
      <c r="R760" s="1" t="s">
        <v>25</v>
      </c>
      <c r="S760" s="1">
        <v>29</v>
      </c>
      <c r="T760" s="1">
        <v>1</v>
      </c>
      <c r="U760" s="1">
        <v>1</v>
      </c>
      <c r="V760">
        <f t="shared" si="11"/>
        <v>26</v>
      </c>
    </row>
    <row r="761" spans="1:22" ht="13" x14ac:dyDescent="0.15">
      <c r="A761" s="4">
        <v>44776</v>
      </c>
      <c r="B761" s="5">
        <v>0.5118287037037037</v>
      </c>
      <c r="C761" s="1">
        <v>1578</v>
      </c>
      <c r="D761" s="1">
        <v>13002595</v>
      </c>
      <c r="E761" s="1">
        <v>13</v>
      </c>
      <c r="F761" s="1">
        <v>22589</v>
      </c>
      <c r="G761" s="1" t="s">
        <v>21</v>
      </c>
      <c r="H761" s="1">
        <v>15</v>
      </c>
      <c r="I761" s="1">
        <v>52536</v>
      </c>
      <c r="J761" s="1" t="s">
        <v>794</v>
      </c>
      <c r="K761" s="1" t="s">
        <v>29</v>
      </c>
      <c r="L761" s="1" t="s">
        <v>795</v>
      </c>
      <c r="M761" s="1">
        <v>2</v>
      </c>
      <c r="N761" s="2">
        <v>157.02000000000001</v>
      </c>
      <c r="O761" s="3">
        <v>244</v>
      </c>
      <c r="P761" s="1">
        <v>48</v>
      </c>
      <c r="Q761" s="1">
        <v>9</v>
      </c>
      <c r="R761" s="1">
        <v>200010001782</v>
      </c>
      <c r="S761" s="1">
        <v>29</v>
      </c>
      <c r="T761" s="1">
        <v>1</v>
      </c>
      <c r="U761" s="1">
        <v>1</v>
      </c>
      <c r="V761">
        <f t="shared" si="11"/>
        <v>488</v>
      </c>
    </row>
    <row r="762" spans="1:22" ht="13" x14ac:dyDescent="0.15">
      <c r="A762" s="4">
        <v>44776</v>
      </c>
      <c r="B762" s="5">
        <v>0.5118287037037037</v>
      </c>
      <c r="C762" s="1">
        <v>1578</v>
      </c>
      <c r="D762" s="1">
        <v>13002595</v>
      </c>
      <c r="E762" s="1">
        <v>13</v>
      </c>
      <c r="F762" s="1">
        <v>22589</v>
      </c>
      <c r="G762" s="1" t="s">
        <v>21</v>
      </c>
      <c r="H762" s="1">
        <v>15</v>
      </c>
      <c r="I762" s="1">
        <v>255</v>
      </c>
      <c r="J762" s="1" t="s">
        <v>796</v>
      </c>
      <c r="K762" s="1" t="s">
        <v>23</v>
      </c>
      <c r="L762" s="1" t="s">
        <v>797</v>
      </c>
      <c r="M762" s="1">
        <v>1</v>
      </c>
      <c r="N762" s="2">
        <v>510.74</v>
      </c>
      <c r="O762" s="3">
        <v>659</v>
      </c>
      <c r="P762" s="1">
        <v>46</v>
      </c>
      <c r="Q762" s="1">
        <v>9</v>
      </c>
      <c r="R762" s="1">
        <v>200010001782</v>
      </c>
      <c r="S762" s="1">
        <v>29</v>
      </c>
      <c r="T762" s="1">
        <v>1</v>
      </c>
      <c r="U762" s="1">
        <v>2</v>
      </c>
      <c r="V762">
        <f t="shared" si="11"/>
        <v>659</v>
      </c>
    </row>
    <row r="763" spans="1:22" ht="13" x14ac:dyDescent="0.15">
      <c r="A763" s="4">
        <v>44776</v>
      </c>
      <c r="B763" s="5">
        <v>0.5118287037037037</v>
      </c>
      <c r="C763" s="1">
        <v>1578</v>
      </c>
      <c r="D763" s="1">
        <v>13002595</v>
      </c>
      <c r="E763" s="1">
        <v>13</v>
      </c>
      <c r="F763" s="1">
        <v>22589</v>
      </c>
      <c r="G763" s="1" t="s">
        <v>21</v>
      </c>
      <c r="H763" s="1">
        <v>15</v>
      </c>
      <c r="I763" s="1">
        <v>588818</v>
      </c>
      <c r="J763" s="1" t="s">
        <v>798</v>
      </c>
      <c r="K763" s="1" t="s">
        <v>29</v>
      </c>
      <c r="L763" s="1" t="s">
        <v>799</v>
      </c>
      <c r="M763" s="1">
        <v>1</v>
      </c>
      <c r="N763" s="2">
        <v>152.22</v>
      </c>
      <c r="O763" s="3">
        <v>183</v>
      </c>
      <c r="P763" s="1">
        <v>9</v>
      </c>
      <c r="Q763" s="1">
        <v>9</v>
      </c>
      <c r="R763" s="1">
        <v>200010001782</v>
      </c>
      <c r="S763" s="1">
        <v>29</v>
      </c>
      <c r="T763" s="1">
        <v>1</v>
      </c>
      <c r="U763" s="1">
        <v>3</v>
      </c>
      <c r="V763">
        <f t="shared" si="11"/>
        <v>183</v>
      </c>
    </row>
    <row r="764" spans="1:22" ht="13" x14ac:dyDescent="0.15">
      <c r="A764" s="4">
        <v>44776</v>
      </c>
      <c r="B764" s="5">
        <v>0.5125925925925926</v>
      </c>
      <c r="C764" s="1">
        <v>1579</v>
      </c>
      <c r="D764" s="1">
        <v>13002595</v>
      </c>
      <c r="E764" s="1">
        <v>13</v>
      </c>
      <c r="F764" s="1">
        <v>22589</v>
      </c>
      <c r="G764" s="1" t="s">
        <v>21</v>
      </c>
      <c r="H764" s="1">
        <v>15</v>
      </c>
      <c r="I764" s="1">
        <v>362139</v>
      </c>
      <c r="J764" s="1" t="s">
        <v>800</v>
      </c>
      <c r="K764" s="1" t="s">
        <v>141</v>
      </c>
      <c r="L764" s="1" t="s">
        <v>274</v>
      </c>
      <c r="M764" s="1">
        <v>1</v>
      </c>
      <c r="N764" s="2">
        <v>36.4</v>
      </c>
      <c r="O764" s="3">
        <v>56</v>
      </c>
      <c r="P764" s="1">
        <v>3</v>
      </c>
      <c r="Q764" s="1">
        <v>9</v>
      </c>
      <c r="R764" s="1">
        <v>200010022009</v>
      </c>
      <c r="S764" s="1">
        <v>29</v>
      </c>
      <c r="T764" s="1">
        <v>1</v>
      </c>
      <c r="U764" s="1">
        <v>1</v>
      </c>
      <c r="V764">
        <f t="shared" si="11"/>
        <v>56</v>
      </c>
    </row>
    <row r="765" spans="1:22" ht="13" x14ac:dyDescent="0.15">
      <c r="A765" s="4">
        <v>44776</v>
      </c>
      <c r="B765" s="5">
        <v>0.5125925925925926</v>
      </c>
      <c r="C765" s="1">
        <v>1579</v>
      </c>
      <c r="D765" s="1">
        <v>13002595</v>
      </c>
      <c r="E765" s="1">
        <v>13</v>
      </c>
      <c r="F765" s="1">
        <v>22589</v>
      </c>
      <c r="G765" s="1" t="s">
        <v>21</v>
      </c>
      <c r="H765" s="1">
        <v>15</v>
      </c>
      <c r="I765" s="1">
        <v>362139</v>
      </c>
      <c r="J765" s="1" t="s">
        <v>800</v>
      </c>
      <c r="K765" s="1" t="s">
        <v>45</v>
      </c>
      <c r="L765" s="1" t="s">
        <v>274</v>
      </c>
      <c r="M765" s="1">
        <v>1</v>
      </c>
      <c r="N765" s="2">
        <v>32.82</v>
      </c>
      <c r="O765" s="3">
        <v>50</v>
      </c>
      <c r="P765" s="1">
        <v>3</v>
      </c>
      <c r="Q765" s="1">
        <v>9</v>
      </c>
      <c r="R765" s="1">
        <v>200010022009</v>
      </c>
      <c r="S765" s="1">
        <v>29</v>
      </c>
      <c r="T765" s="1">
        <v>1</v>
      </c>
      <c r="U765" s="1">
        <v>2</v>
      </c>
      <c r="V765">
        <f t="shared" si="11"/>
        <v>50</v>
      </c>
    </row>
    <row r="766" spans="1:22" ht="13" x14ac:dyDescent="0.15">
      <c r="A766" s="4">
        <v>44776</v>
      </c>
      <c r="B766" s="5">
        <v>0.51296296296296295</v>
      </c>
      <c r="C766" s="1">
        <v>1580</v>
      </c>
      <c r="D766" s="1">
        <v>13002595</v>
      </c>
      <c r="E766" s="1">
        <v>13</v>
      </c>
      <c r="F766" s="1">
        <v>22589</v>
      </c>
      <c r="G766" s="1" t="s">
        <v>21</v>
      </c>
      <c r="H766" s="1">
        <v>15</v>
      </c>
      <c r="I766" s="1">
        <v>1873</v>
      </c>
      <c r="J766" s="1" t="s">
        <v>801</v>
      </c>
      <c r="K766" s="1" t="s">
        <v>45</v>
      </c>
      <c r="L766" s="1" t="s">
        <v>802</v>
      </c>
      <c r="M766" s="1">
        <v>1</v>
      </c>
      <c r="N766" s="2">
        <v>279.62</v>
      </c>
      <c r="O766" s="3">
        <v>378</v>
      </c>
      <c r="P766" s="1">
        <v>26</v>
      </c>
      <c r="Q766" s="1">
        <v>9</v>
      </c>
      <c r="R766" s="1">
        <v>200010001758</v>
      </c>
      <c r="S766" s="1">
        <v>29</v>
      </c>
      <c r="T766" s="1">
        <v>1</v>
      </c>
      <c r="U766" s="1">
        <v>1</v>
      </c>
      <c r="V766">
        <f t="shared" si="11"/>
        <v>378</v>
      </c>
    </row>
    <row r="767" spans="1:22" ht="13" x14ac:dyDescent="0.15">
      <c r="A767" s="4">
        <v>44776</v>
      </c>
      <c r="B767" s="5">
        <v>0.51966435185185189</v>
      </c>
      <c r="C767" s="1">
        <v>1581</v>
      </c>
      <c r="D767" s="1">
        <v>13002595</v>
      </c>
      <c r="E767" s="1">
        <v>13</v>
      </c>
      <c r="F767" s="1">
        <v>22589</v>
      </c>
      <c r="G767" s="1" t="s">
        <v>21</v>
      </c>
      <c r="H767" s="1">
        <v>18</v>
      </c>
      <c r="I767" s="1">
        <v>339843</v>
      </c>
      <c r="J767" s="1" t="s">
        <v>251</v>
      </c>
      <c r="K767" s="1" t="s">
        <v>252</v>
      </c>
      <c r="L767" s="1" t="s">
        <v>253</v>
      </c>
      <c r="M767" s="1">
        <v>1</v>
      </c>
      <c r="N767" s="2">
        <v>140.97</v>
      </c>
      <c r="O767" s="3">
        <v>219</v>
      </c>
      <c r="P767" s="1">
        <v>21</v>
      </c>
      <c r="Q767" s="1">
        <v>30</v>
      </c>
      <c r="R767" s="1">
        <v>200000000024</v>
      </c>
      <c r="S767" s="1">
        <v>29</v>
      </c>
      <c r="T767" s="1">
        <v>1</v>
      </c>
      <c r="U767" s="1">
        <v>1</v>
      </c>
      <c r="V767">
        <f t="shared" si="11"/>
        <v>219</v>
      </c>
    </row>
    <row r="768" spans="1:22" ht="13" x14ac:dyDescent="0.15">
      <c r="A768" s="4">
        <v>44776</v>
      </c>
      <c r="B768" s="5">
        <v>0.53063657407407405</v>
      </c>
      <c r="C768" s="1">
        <v>1586</v>
      </c>
      <c r="D768" s="1">
        <v>13002595</v>
      </c>
      <c r="E768" s="1">
        <v>13</v>
      </c>
      <c r="F768" s="1">
        <v>22589</v>
      </c>
      <c r="G768" s="1" t="s">
        <v>21</v>
      </c>
      <c r="H768" s="1">
        <v>15</v>
      </c>
      <c r="I768" s="1">
        <v>339843</v>
      </c>
      <c r="J768" s="1" t="s">
        <v>251</v>
      </c>
      <c r="K768" s="1" t="s">
        <v>252</v>
      </c>
      <c r="L768" s="1" t="s">
        <v>253</v>
      </c>
      <c r="M768" s="1">
        <v>1</v>
      </c>
      <c r="N768" s="2">
        <v>140.97</v>
      </c>
      <c r="O768" s="3">
        <v>219</v>
      </c>
      <c r="P768" s="1">
        <v>21</v>
      </c>
      <c r="Q768" s="1">
        <v>30</v>
      </c>
      <c r="R768" s="1">
        <v>200000000024</v>
      </c>
      <c r="S768" s="1">
        <v>29</v>
      </c>
      <c r="T768" s="1">
        <v>1</v>
      </c>
      <c r="U768" s="1">
        <v>3</v>
      </c>
      <c r="V768">
        <f t="shared" si="11"/>
        <v>219</v>
      </c>
    </row>
    <row r="769" spans="1:22" ht="13" x14ac:dyDescent="0.15">
      <c r="A769" s="4">
        <v>44776</v>
      </c>
      <c r="B769" s="5">
        <v>0.52075231481481477</v>
      </c>
      <c r="C769" s="1">
        <v>1582</v>
      </c>
      <c r="D769" s="1">
        <v>13002595</v>
      </c>
      <c r="E769" s="1">
        <v>13</v>
      </c>
      <c r="F769" s="1">
        <v>22589</v>
      </c>
      <c r="G769" s="1" t="s">
        <v>21</v>
      </c>
      <c r="H769" s="1">
        <v>18</v>
      </c>
      <c r="I769" s="1">
        <v>364619</v>
      </c>
      <c r="J769" s="1" t="s">
        <v>803</v>
      </c>
      <c r="K769" s="1" t="s">
        <v>51</v>
      </c>
      <c r="L769" s="1" t="s">
        <v>668</v>
      </c>
      <c r="M769" s="1">
        <v>0.01</v>
      </c>
      <c r="N769" s="2">
        <v>645.79</v>
      </c>
      <c r="O769" s="3">
        <v>918</v>
      </c>
      <c r="P769" s="1">
        <v>0.18</v>
      </c>
      <c r="Q769" s="1">
        <v>9</v>
      </c>
      <c r="R769" s="1">
        <v>200010022554</v>
      </c>
      <c r="S769" s="1">
        <v>29</v>
      </c>
      <c r="T769" s="1">
        <v>1</v>
      </c>
      <c r="U769" s="1">
        <v>2</v>
      </c>
      <c r="V769">
        <f t="shared" si="11"/>
        <v>9.18</v>
      </c>
    </row>
    <row r="770" spans="1:22" ht="13" x14ac:dyDescent="0.15">
      <c r="A770" s="4">
        <v>44776</v>
      </c>
      <c r="B770" s="5">
        <v>0.52075231481481477</v>
      </c>
      <c r="C770" s="1">
        <v>1582</v>
      </c>
      <c r="D770" s="1">
        <v>13002595</v>
      </c>
      <c r="E770" s="1">
        <v>13</v>
      </c>
      <c r="F770" s="1">
        <v>22589</v>
      </c>
      <c r="G770" s="1" t="s">
        <v>21</v>
      </c>
      <c r="H770" s="1">
        <v>18</v>
      </c>
      <c r="I770" s="1">
        <v>9957</v>
      </c>
      <c r="J770" s="1" t="s">
        <v>804</v>
      </c>
      <c r="K770" s="1" t="s">
        <v>61</v>
      </c>
      <c r="L770" s="1" t="s">
        <v>299</v>
      </c>
      <c r="M770" s="1">
        <v>0.1</v>
      </c>
      <c r="N770" s="2">
        <v>911.57</v>
      </c>
      <c r="O770" s="3">
        <v>1176</v>
      </c>
      <c r="P770" s="1">
        <v>7.6</v>
      </c>
      <c r="Q770" s="1">
        <v>9</v>
      </c>
      <c r="R770" s="1">
        <v>200010022554</v>
      </c>
      <c r="S770" s="1">
        <v>29</v>
      </c>
      <c r="T770" s="1">
        <v>1</v>
      </c>
      <c r="U770" s="1">
        <v>1</v>
      </c>
      <c r="V770">
        <f t="shared" si="11"/>
        <v>117.60000000000001</v>
      </c>
    </row>
    <row r="771" spans="1:22" ht="13" x14ac:dyDescent="0.15">
      <c r="A771" s="4">
        <v>44776</v>
      </c>
      <c r="B771" s="5">
        <v>0.52214120370370365</v>
      </c>
      <c r="C771" s="1">
        <v>1583</v>
      </c>
      <c r="D771" s="1">
        <v>13002595</v>
      </c>
      <c r="E771" s="1">
        <v>13</v>
      </c>
      <c r="F771" s="1">
        <v>22589</v>
      </c>
      <c r="G771" s="1" t="s">
        <v>21</v>
      </c>
      <c r="H771" s="1">
        <v>18</v>
      </c>
      <c r="I771" s="1">
        <v>299026</v>
      </c>
      <c r="J771" s="1" t="s">
        <v>805</v>
      </c>
      <c r="K771" s="1" t="s">
        <v>51</v>
      </c>
      <c r="L771" s="1" t="s">
        <v>80</v>
      </c>
      <c r="M771" s="1">
        <v>1</v>
      </c>
      <c r="N771" s="2">
        <v>157.66</v>
      </c>
      <c r="O771" s="3">
        <v>245</v>
      </c>
      <c r="P771" s="1">
        <v>0</v>
      </c>
      <c r="Q771" s="1" t="s">
        <v>25</v>
      </c>
      <c r="R771" s="1" t="s">
        <v>25</v>
      </c>
      <c r="S771" s="1">
        <v>29</v>
      </c>
      <c r="T771" s="1">
        <v>1</v>
      </c>
      <c r="U771" s="1">
        <v>1</v>
      </c>
      <c r="V771">
        <f t="shared" ref="V771:V834" si="12">O771*M771</f>
        <v>245</v>
      </c>
    </row>
    <row r="772" spans="1:22" ht="13" x14ac:dyDescent="0.15">
      <c r="A772" s="4">
        <v>44776</v>
      </c>
      <c r="B772" s="5">
        <v>0.52491898148148153</v>
      </c>
      <c r="C772" s="1">
        <v>1584</v>
      </c>
      <c r="D772" s="1">
        <v>13002595</v>
      </c>
      <c r="E772" s="1">
        <v>13</v>
      </c>
      <c r="F772" s="1">
        <v>22589</v>
      </c>
      <c r="G772" s="1" t="s">
        <v>21</v>
      </c>
      <c r="H772" s="1">
        <v>15</v>
      </c>
      <c r="I772" s="1">
        <v>303829</v>
      </c>
      <c r="J772" s="1" t="s">
        <v>806</v>
      </c>
      <c r="K772" s="1" t="s">
        <v>23</v>
      </c>
      <c r="L772" s="1" t="s">
        <v>37</v>
      </c>
      <c r="M772" s="1">
        <v>1</v>
      </c>
      <c r="N772" s="2">
        <v>226.01</v>
      </c>
      <c r="O772" s="3">
        <v>281</v>
      </c>
      <c r="P772" s="1">
        <v>14</v>
      </c>
      <c r="Q772" s="1">
        <v>9</v>
      </c>
      <c r="R772" s="1">
        <v>200010010278</v>
      </c>
      <c r="S772" s="1">
        <v>29</v>
      </c>
      <c r="T772" s="1">
        <v>1</v>
      </c>
      <c r="U772" s="1">
        <v>3</v>
      </c>
      <c r="V772">
        <f t="shared" si="12"/>
        <v>281</v>
      </c>
    </row>
    <row r="773" spans="1:22" ht="13" x14ac:dyDescent="0.15">
      <c r="A773" s="4">
        <v>44776</v>
      </c>
      <c r="B773" s="5">
        <v>0.52491898148148153</v>
      </c>
      <c r="C773" s="1">
        <v>1584</v>
      </c>
      <c r="D773" s="1">
        <v>13002595</v>
      </c>
      <c r="E773" s="1">
        <v>13</v>
      </c>
      <c r="F773" s="1">
        <v>22589</v>
      </c>
      <c r="G773" s="1" t="s">
        <v>21</v>
      </c>
      <c r="H773" s="1">
        <v>15</v>
      </c>
      <c r="I773" s="1">
        <v>74749</v>
      </c>
      <c r="J773" s="1" t="s">
        <v>807</v>
      </c>
      <c r="K773" s="1" t="s">
        <v>61</v>
      </c>
      <c r="L773" s="1" t="s">
        <v>261</v>
      </c>
      <c r="M773" s="1">
        <v>1</v>
      </c>
      <c r="N773" s="2">
        <v>29.48</v>
      </c>
      <c r="O773" s="3">
        <v>33</v>
      </c>
      <c r="P773" s="1">
        <v>1</v>
      </c>
      <c r="Q773" s="1">
        <v>9</v>
      </c>
      <c r="R773" s="1">
        <v>200010010278</v>
      </c>
      <c r="S773" s="1">
        <v>29</v>
      </c>
      <c r="T773" s="1">
        <v>1</v>
      </c>
      <c r="U773" s="1">
        <v>2</v>
      </c>
      <c r="V773">
        <f t="shared" si="12"/>
        <v>33</v>
      </c>
    </row>
    <row r="774" spans="1:22" ht="13" x14ac:dyDescent="0.15">
      <c r="A774" s="4">
        <v>44776</v>
      </c>
      <c r="B774" s="5">
        <v>0.55238425925925927</v>
      </c>
      <c r="C774" s="1">
        <v>1595</v>
      </c>
      <c r="D774" s="1">
        <v>13002595</v>
      </c>
      <c r="E774" s="1">
        <v>13</v>
      </c>
      <c r="F774" s="1">
        <v>22589</v>
      </c>
      <c r="G774" s="1" t="s">
        <v>21</v>
      </c>
      <c r="H774" s="1">
        <v>18</v>
      </c>
      <c r="I774" s="1">
        <v>74749</v>
      </c>
      <c r="J774" s="1" t="s">
        <v>807</v>
      </c>
      <c r="K774" s="1" t="s">
        <v>61</v>
      </c>
      <c r="L774" s="1" t="s">
        <v>261</v>
      </c>
      <c r="M774" s="1">
        <v>1</v>
      </c>
      <c r="N774" s="2">
        <v>29.48</v>
      </c>
      <c r="O774" s="3">
        <v>33</v>
      </c>
      <c r="P774" s="1">
        <v>0</v>
      </c>
      <c r="Q774" s="1" t="s">
        <v>25</v>
      </c>
      <c r="R774" s="1" t="s">
        <v>25</v>
      </c>
      <c r="S774" s="1">
        <v>29</v>
      </c>
      <c r="T774" s="1">
        <v>1</v>
      </c>
      <c r="U774" s="1">
        <v>1</v>
      </c>
      <c r="V774">
        <f t="shared" si="12"/>
        <v>33</v>
      </c>
    </row>
    <row r="775" spans="1:22" ht="13" x14ac:dyDescent="0.15">
      <c r="A775" s="4">
        <v>44776</v>
      </c>
      <c r="B775" s="5">
        <v>0.52645833333333336</v>
      </c>
      <c r="C775" s="1">
        <v>1585</v>
      </c>
      <c r="D775" s="1">
        <v>13002595</v>
      </c>
      <c r="E775" s="1">
        <v>13</v>
      </c>
      <c r="F775" s="1">
        <v>22589</v>
      </c>
      <c r="G775" s="1" t="s">
        <v>21</v>
      </c>
      <c r="H775" s="1">
        <v>18</v>
      </c>
      <c r="I775" s="1">
        <v>5874</v>
      </c>
      <c r="J775" s="1" t="s">
        <v>808</v>
      </c>
      <c r="K775" s="1" t="s">
        <v>110</v>
      </c>
      <c r="L775" s="1" t="s">
        <v>59</v>
      </c>
      <c r="M775" s="1">
        <v>1</v>
      </c>
      <c r="N775" s="2">
        <v>534.92999999999995</v>
      </c>
      <c r="O775" s="3">
        <v>592</v>
      </c>
      <c r="P775" s="1">
        <v>0</v>
      </c>
      <c r="Q775" s="1" t="s">
        <v>25</v>
      </c>
      <c r="R775" s="1" t="s">
        <v>25</v>
      </c>
      <c r="S775" s="1">
        <v>29</v>
      </c>
      <c r="T775" s="1">
        <v>1</v>
      </c>
      <c r="U775" s="1">
        <v>1</v>
      </c>
      <c r="V775">
        <f t="shared" si="12"/>
        <v>592</v>
      </c>
    </row>
    <row r="776" spans="1:22" ht="13" x14ac:dyDescent="0.15">
      <c r="A776" s="4">
        <v>44776</v>
      </c>
      <c r="B776" s="5">
        <v>0.53063657407407405</v>
      </c>
      <c r="C776" s="1">
        <v>1586</v>
      </c>
      <c r="D776" s="1">
        <v>13002595</v>
      </c>
      <c r="E776" s="1">
        <v>13</v>
      </c>
      <c r="F776" s="1">
        <v>22589</v>
      </c>
      <c r="G776" s="1" t="s">
        <v>21</v>
      </c>
      <c r="H776" s="1">
        <v>15</v>
      </c>
      <c r="I776" s="1">
        <v>99346</v>
      </c>
      <c r="J776" s="1" t="s">
        <v>809</v>
      </c>
      <c r="K776" s="1" t="s">
        <v>117</v>
      </c>
      <c r="L776" s="1" t="s">
        <v>810</v>
      </c>
      <c r="M776" s="1">
        <v>0.12</v>
      </c>
      <c r="N776" s="2">
        <v>364.98</v>
      </c>
      <c r="O776" s="3">
        <v>537</v>
      </c>
      <c r="P776" s="1">
        <v>0</v>
      </c>
      <c r="Q776" s="1" t="s">
        <v>25</v>
      </c>
      <c r="R776" s="1" t="s">
        <v>25</v>
      </c>
      <c r="S776" s="1">
        <v>29</v>
      </c>
      <c r="T776" s="1">
        <v>1</v>
      </c>
      <c r="U776" s="1">
        <v>2</v>
      </c>
      <c r="V776">
        <f t="shared" si="12"/>
        <v>64.44</v>
      </c>
    </row>
    <row r="777" spans="1:22" ht="13" x14ac:dyDescent="0.15">
      <c r="A777" s="4">
        <v>44776</v>
      </c>
      <c r="B777" s="5">
        <v>0.53063657407407405</v>
      </c>
      <c r="C777" s="1">
        <v>1586</v>
      </c>
      <c r="D777" s="1">
        <v>13002595</v>
      </c>
      <c r="E777" s="1">
        <v>13</v>
      </c>
      <c r="F777" s="1">
        <v>22589</v>
      </c>
      <c r="G777" s="1" t="s">
        <v>21</v>
      </c>
      <c r="H777" s="1">
        <v>15</v>
      </c>
      <c r="I777" s="1">
        <v>575493</v>
      </c>
      <c r="J777" s="1" t="s">
        <v>185</v>
      </c>
      <c r="K777" s="1" t="s">
        <v>34</v>
      </c>
      <c r="L777" s="1" t="s">
        <v>186</v>
      </c>
      <c r="M777" s="1">
        <v>1</v>
      </c>
      <c r="N777" s="2">
        <v>50.74</v>
      </c>
      <c r="O777" s="3">
        <v>83</v>
      </c>
      <c r="P777" s="1">
        <v>0</v>
      </c>
      <c r="Q777" s="1" t="s">
        <v>25</v>
      </c>
      <c r="R777" s="1" t="s">
        <v>25</v>
      </c>
      <c r="S777" s="1">
        <v>29</v>
      </c>
      <c r="T777" s="1">
        <v>1</v>
      </c>
      <c r="U777" s="1">
        <v>1</v>
      </c>
      <c r="V777">
        <f t="shared" si="12"/>
        <v>83</v>
      </c>
    </row>
    <row r="778" spans="1:22" ht="13" x14ac:dyDescent="0.15">
      <c r="A778" s="4">
        <v>44776</v>
      </c>
      <c r="B778" s="5">
        <v>0.53388888888888886</v>
      </c>
      <c r="C778" s="1">
        <v>1587</v>
      </c>
      <c r="D778" s="1">
        <v>13002595</v>
      </c>
      <c r="E778" s="1">
        <v>13</v>
      </c>
      <c r="F778" s="1">
        <v>22589</v>
      </c>
      <c r="G778" s="1" t="s">
        <v>21</v>
      </c>
      <c r="H778" s="1">
        <v>15</v>
      </c>
      <c r="I778" s="1">
        <v>7697</v>
      </c>
      <c r="J778" s="1" t="s">
        <v>68</v>
      </c>
      <c r="K778" s="1" t="s">
        <v>29</v>
      </c>
      <c r="L778" s="1" t="s">
        <v>69</v>
      </c>
      <c r="M778" s="1">
        <v>1</v>
      </c>
      <c r="N778" s="2">
        <v>247.35</v>
      </c>
      <c r="O778" s="3">
        <v>301</v>
      </c>
      <c r="P778" s="1">
        <v>0</v>
      </c>
      <c r="Q778" s="1" t="s">
        <v>25</v>
      </c>
      <c r="R778" s="1" t="s">
        <v>25</v>
      </c>
      <c r="S778" s="1">
        <v>29</v>
      </c>
      <c r="T778" s="1">
        <v>1</v>
      </c>
      <c r="U778" s="1">
        <v>2</v>
      </c>
      <c r="V778">
        <f t="shared" si="12"/>
        <v>301</v>
      </c>
    </row>
    <row r="779" spans="1:22" ht="13" x14ac:dyDescent="0.15">
      <c r="A779" s="4">
        <v>44776</v>
      </c>
      <c r="B779" s="5">
        <v>0.53388888888888886</v>
      </c>
      <c r="C779" s="1">
        <v>1587</v>
      </c>
      <c r="D779" s="1">
        <v>13002595</v>
      </c>
      <c r="E779" s="1">
        <v>13</v>
      </c>
      <c r="F779" s="1">
        <v>22589</v>
      </c>
      <c r="G779" s="1" t="s">
        <v>21</v>
      </c>
      <c r="H779" s="1">
        <v>15</v>
      </c>
      <c r="I779" s="1">
        <v>12822</v>
      </c>
      <c r="J779" s="1" t="s">
        <v>513</v>
      </c>
      <c r="K779" s="1" t="s">
        <v>23</v>
      </c>
      <c r="L779" s="1" t="s">
        <v>175</v>
      </c>
      <c r="M779" s="1">
        <v>1</v>
      </c>
      <c r="N779" s="2">
        <v>187.98</v>
      </c>
      <c r="O779" s="3">
        <v>258</v>
      </c>
      <c r="P779" s="1">
        <v>0</v>
      </c>
      <c r="Q779" s="1" t="s">
        <v>25</v>
      </c>
      <c r="R779" s="1" t="s">
        <v>25</v>
      </c>
      <c r="S779" s="1">
        <v>29</v>
      </c>
      <c r="T779" s="1">
        <v>1</v>
      </c>
      <c r="U779" s="1">
        <v>1</v>
      </c>
      <c r="V779">
        <f t="shared" si="12"/>
        <v>258</v>
      </c>
    </row>
    <row r="780" spans="1:22" ht="13" x14ac:dyDescent="0.15">
      <c r="A780" s="4">
        <v>44776</v>
      </c>
      <c r="B780" s="5">
        <v>0.53388888888888886</v>
      </c>
      <c r="C780" s="1">
        <v>1587</v>
      </c>
      <c r="D780" s="1">
        <v>13002595</v>
      </c>
      <c r="E780" s="1">
        <v>13</v>
      </c>
      <c r="F780" s="1">
        <v>22589</v>
      </c>
      <c r="G780" s="1" t="s">
        <v>21</v>
      </c>
      <c r="H780" s="1">
        <v>15</v>
      </c>
      <c r="I780" s="1">
        <v>157387</v>
      </c>
      <c r="J780" s="1" t="s">
        <v>811</v>
      </c>
      <c r="K780" s="1" t="s">
        <v>51</v>
      </c>
      <c r="L780" s="1" t="s">
        <v>812</v>
      </c>
      <c r="M780" s="1">
        <v>1</v>
      </c>
      <c r="N780" s="2">
        <v>132.28</v>
      </c>
      <c r="O780" s="3">
        <v>206</v>
      </c>
      <c r="P780" s="1">
        <v>0</v>
      </c>
      <c r="Q780" s="1" t="s">
        <v>25</v>
      </c>
      <c r="R780" s="1" t="s">
        <v>25</v>
      </c>
      <c r="S780" s="1">
        <v>29</v>
      </c>
      <c r="T780" s="1">
        <v>1</v>
      </c>
      <c r="U780" s="1">
        <v>7</v>
      </c>
      <c r="V780">
        <f t="shared" si="12"/>
        <v>206</v>
      </c>
    </row>
    <row r="781" spans="1:22" ht="13" x14ac:dyDescent="0.15">
      <c r="A781" s="4">
        <v>44776</v>
      </c>
      <c r="B781" s="5">
        <v>0.53388888888888886</v>
      </c>
      <c r="C781" s="1">
        <v>1587</v>
      </c>
      <c r="D781" s="1">
        <v>13002595</v>
      </c>
      <c r="E781" s="1">
        <v>13</v>
      </c>
      <c r="F781" s="1">
        <v>22589</v>
      </c>
      <c r="G781" s="1" t="s">
        <v>21</v>
      </c>
      <c r="H781" s="1">
        <v>15</v>
      </c>
      <c r="I781" s="1">
        <v>540835</v>
      </c>
      <c r="J781" s="1" t="s">
        <v>813</v>
      </c>
      <c r="K781" s="1" t="s">
        <v>34</v>
      </c>
      <c r="L781" s="1" t="s">
        <v>80</v>
      </c>
      <c r="M781" s="1">
        <v>1</v>
      </c>
      <c r="N781" s="2">
        <v>152.04</v>
      </c>
      <c r="O781" s="3">
        <v>236</v>
      </c>
      <c r="P781" s="1">
        <v>0</v>
      </c>
      <c r="Q781" s="1" t="s">
        <v>25</v>
      </c>
      <c r="R781" s="1" t="s">
        <v>25</v>
      </c>
      <c r="S781" s="1">
        <v>29</v>
      </c>
      <c r="T781" s="1">
        <v>1</v>
      </c>
      <c r="U781" s="1">
        <v>3</v>
      </c>
      <c r="V781">
        <f t="shared" si="12"/>
        <v>236</v>
      </c>
    </row>
    <row r="782" spans="1:22" ht="13" x14ac:dyDescent="0.15">
      <c r="A782" s="4">
        <v>44776</v>
      </c>
      <c r="B782" s="5">
        <v>0.53388888888888886</v>
      </c>
      <c r="C782" s="1">
        <v>1587</v>
      </c>
      <c r="D782" s="1">
        <v>13002595</v>
      </c>
      <c r="E782" s="1">
        <v>13</v>
      </c>
      <c r="F782" s="1">
        <v>22589</v>
      </c>
      <c r="G782" s="1" t="s">
        <v>21</v>
      </c>
      <c r="H782" s="1">
        <v>15</v>
      </c>
      <c r="I782" s="1">
        <v>13911</v>
      </c>
      <c r="J782" s="1" t="s">
        <v>814</v>
      </c>
      <c r="K782" s="1" t="s">
        <v>51</v>
      </c>
      <c r="L782" s="1" t="s">
        <v>80</v>
      </c>
      <c r="M782" s="1">
        <v>1</v>
      </c>
      <c r="N782" s="2">
        <v>66.2</v>
      </c>
      <c r="O782" s="3">
        <v>104</v>
      </c>
      <c r="P782" s="1">
        <v>0</v>
      </c>
      <c r="Q782" s="1" t="s">
        <v>25</v>
      </c>
      <c r="R782" s="1" t="s">
        <v>25</v>
      </c>
      <c r="S782" s="1">
        <v>29</v>
      </c>
      <c r="T782" s="1">
        <v>1</v>
      </c>
      <c r="U782" s="1">
        <v>5</v>
      </c>
      <c r="V782">
        <f t="shared" si="12"/>
        <v>104</v>
      </c>
    </row>
    <row r="783" spans="1:22" ht="13" x14ac:dyDescent="0.15">
      <c r="A783" s="4">
        <v>44776</v>
      </c>
      <c r="B783" s="5">
        <v>0.53388888888888886</v>
      </c>
      <c r="C783" s="1">
        <v>1587</v>
      </c>
      <c r="D783" s="1">
        <v>13002595</v>
      </c>
      <c r="E783" s="1">
        <v>13</v>
      </c>
      <c r="F783" s="1">
        <v>22589</v>
      </c>
      <c r="G783" s="1" t="s">
        <v>21</v>
      </c>
      <c r="H783" s="1">
        <v>15</v>
      </c>
      <c r="I783" s="1">
        <v>59689</v>
      </c>
      <c r="J783" s="1" t="s">
        <v>815</v>
      </c>
      <c r="K783" s="1" t="s">
        <v>64</v>
      </c>
      <c r="L783" s="1" t="s">
        <v>80</v>
      </c>
      <c r="M783" s="1">
        <v>1</v>
      </c>
      <c r="N783" s="2">
        <v>61.96</v>
      </c>
      <c r="O783" s="3">
        <v>98</v>
      </c>
      <c r="P783" s="1">
        <v>0</v>
      </c>
      <c r="Q783" s="1" t="s">
        <v>25</v>
      </c>
      <c r="R783" s="1" t="s">
        <v>25</v>
      </c>
      <c r="S783" s="1">
        <v>29</v>
      </c>
      <c r="T783" s="1">
        <v>1</v>
      </c>
      <c r="U783" s="1">
        <v>4</v>
      </c>
      <c r="V783">
        <f t="shared" si="12"/>
        <v>98</v>
      </c>
    </row>
    <row r="784" spans="1:22" ht="13" x14ac:dyDescent="0.15">
      <c r="A784" s="4">
        <v>44776</v>
      </c>
      <c r="B784" s="5">
        <v>0.53520833333333329</v>
      </c>
      <c r="C784" s="1">
        <v>1588</v>
      </c>
      <c r="D784" s="1">
        <v>13002595</v>
      </c>
      <c r="E784" s="1">
        <v>13</v>
      </c>
      <c r="F784" s="1">
        <v>22589</v>
      </c>
      <c r="G784" s="1" t="s">
        <v>21</v>
      </c>
      <c r="H784" s="1">
        <v>18</v>
      </c>
      <c r="I784" s="1">
        <v>339209</v>
      </c>
      <c r="J784" s="1" t="s">
        <v>816</v>
      </c>
      <c r="K784" s="1" t="s">
        <v>45</v>
      </c>
      <c r="L784" s="1" t="s">
        <v>37</v>
      </c>
      <c r="M784" s="1">
        <v>1</v>
      </c>
      <c r="N784" s="2">
        <v>309.10000000000002</v>
      </c>
      <c r="O784" s="3">
        <v>409</v>
      </c>
      <c r="P784" s="1">
        <v>0</v>
      </c>
      <c r="Q784" s="1" t="s">
        <v>25</v>
      </c>
      <c r="R784" s="1" t="s">
        <v>25</v>
      </c>
      <c r="S784" s="1">
        <v>29</v>
      </c>
      <c r="T784" s="1">
        <v>1</v>
      </c>
      <c r="U784" s="1">
        <v>1</v>
      </c>
      <c r="V784">
        <f t="shared" si="12"/>
        <v>409</v>
      </c>
    </row>
    <row r="785" spans="1:22" ht="13" x14ac:dyDescent="0.15">
      <c r="A785" s="4">
        <v>44776</v>
      </c>
      <c r="B785" s="5">
        <v>0.53577546296296297</v>
      </c>
      <c r="C785" s="1">
        <v>1589</v>
      </c>
      <c r="D785" s="1">
        <v>13002595</v>
      </c>
      <c r="E785" s="1">
        <v>13</v>
      </c>
      <c r="F785" s="1">
        <v>22589</v>
      </c>
      <c r="G785" s="1" t="s">
        <v>21</v>
      </c>
      <c r="H785" s="1">
        <v>15</v>
      </c>
      <c r="I785" s="1">
        <v>435135</v>
      </c>
      <c r="J785" s="1" t="s">
        <v>817</v>
      </c>
      <c r="K785" s="1" t="s">
        <v>29</v>
      </c>
      <c r="L785" s="1" t="s">
        <v>197</v>
      </c>
      <c r="M785" s="1">
        <v>1</v>
      </c>
      <c r="N785" s="2">
        <v>31.26</v>
      </c>
      <c r="O785" s="3">
        <v>48</v>
      </c>
      <c r="P785" s="1">
        <v>0</v>
      </c>
      <c r="Q785" s="1" t="s">
        <v>25</v>
      </c>
      <c r="R785" s="1" t="s">
        <v>25</v>
      </c>
      <c r="S785" s="1">
        <v>29</v>
      </c>
      <c r="T785" s="1">
        <v>1</v>
      </c>
      <c r="U785" s="1">
        <v>1</v>
      </c>
      <c r="V785">
        <f t="shared" si="12"/>
        <v>48</v>
      </c>
    </row>
    <row r="786" spans="1:22" ht="13" x14ac:dyDescent="0.15">
      <c r="A786" s="4">
        <v>44776</v>
      </c>
      <c r="B786" s="5">
        <v>0.53577546296296297</v>
      </c>
      <c r="C786" s="1">
        <v>1589</v>
      </c>
      <c r="D786" s="1">
        <v>13002595</v>
      </c>
      <c r="E786" s="1">
        <v>13</v>
      </c>
      <c r="F786" s="1">
        <v>22589</v>
      </c>
      <c r="G786" s="1" t="s">
        <v>21</v>
      </c>
      <c r="H786" s="1">
        <v>15</v>
      </c>
      <c r="I786" s="1">
        <v>435135</v>
      </c>
      <c r="J786" s="1" t="s">
        <v>817</v>
      </c>
      <c r="K786" s="1" t="s">
        <v>29</v>
      </c>
      <c r="L786" s="1" t="s">
        <v>197</v>
      </c>
      <c r="M786" s="1">
        <v>1</v>
      </c>
      <c r="N786" s="2">
        <v>31.26</v>
      </c>
      <c r="O786" s="3">
        <v>48</v>
      </c>
      <c r="P786" s="1">
        <v>0</v>
      </c>
      <c r="Q786" s="1" t="s">
        <v>25</v>
      </c>
      <c r="R786" s="1" t="s">
        <v>25</v>
      </c>
      <c r="S786" s="1">
        <v>29</v>
      </c>
      <c r="T786" s="1">
        <v>1</v>
      </c>
      <c r="U786" s="1">
        <v>2</v>
      </c>
      <c r="V786">
        <f t="shared" si="12"/>
        <v>48</v>
      </c>
    </row>
    <row r="787" spans="1:22" ht="13" x14ac:dyDescent="0.15">
      <c r="A787" s="4">
        <v>44776</v>
      </c>
      <c r="B787" s="5">
        <v>0.53886574074074078</v>
      </c>
      <c r="C787" s="1">
        <v>1590</v>
      </c>
      <c r="D787" s="1">
        <v>13002595</v>
      </c>
      <c r="E787" s="1">
        <v>13</v>
      </c>
      <c r="F787" s="1">
        <v>22589</v>
      </c>
      <c r="G787" s="1" t="s">
        <v>21</v>
      </c>
      <c r="H787" s="1">
        <v>18</v>
      </c>
      <c r="I787" s="1">
        <v>446025</v>
      </c>
      <c r="J787" s="1" t="s">
        <v>818</v>
      </c>
      <c r="K787" s="1" t="s">
        <v>23</v>
      </c>
      <c r="L787" s="1" t="s">
        <v>104</v>
      </c>
      <c r="M787" s="1">
        <v>1</v>
      </c>
      <c r="N787" s="2">
        <v>38.97</v>
      </c>
      <c r="O787" s="3">
        <v>47</v>
      </c>
      <c r="P787" s="1">
        <v>3</v>
      </c>
      <c r="Q787" s="1">
        <v>9</v>
      </c>
      <c r="R787" s="1">
        <v>200010022559</v>
      </c>
      <c r="S787" s="1">
        <v>29</v>
      </c>
      <c r="T787" s="1">
        <v>1</v>
      </c>
      <c r="U787" s="1">
        <v>2</v>
      </c>
      <c r="V787">
        <f t="shared" si="12"/>
        <v>47</v>
      </c>
    </row>
    <row r="788" spans="1:22" ht="13" x14ac:dyDescent="0.15">
      <c r="A788" s="4">
        <v>44776</v>
      </c>
      <c r="B788" s="5">
        <v>0.53886574074074078</v>
      </c>
      <c r="C788" s="1">
        <v>1590</v>
      </c>
      <c r="D788" s="1">
        <v>13002595</v>
      </c>
      <c r="E788" s="1">
        <v>13</v>
      </c>
      <c r="F788" s="1">
        <v>22589</v>
      </c>
      <c r="G788" s="1" t="s">
        <v>21</v>
      </c>
      <c r="H788" s="1">
        <v>18</v>
      </c>
      <c r="I788" s="1">
        <v>9594</v>
      </c>
      <c r="J788" s="1" t="s">
        <v>302</v>
      </c>
      <c r="K788" s="1" t="s">
        <v>23</v>
      </c>
      <c r="L788" s="1" t="s">
        <v>303</v>
      </c>
      <c r="M788" s="1">
        <v>1</v>
      </c>
      <c r="N788" s="2">
        <v>61.61</v>
      </c>
      <c r="O788" s="3">
        <v>74</v>
      </c>
      <c r="P788" s="1">
        <v>5</v>
      </c>
      <c r="Q788" s="1">
        <v>9</v>
      </c>
      <c r="R788" s="1">
        <v>200010022559</v>
      </c>
      <c r="S788" s="1">
        <v>29</v>
      </c>
      <c r="T788" s="1">
        <v>1</v>
      </c>
      <c r="U788" s="1">
        <v>3</v>
      </c>
      <c r="V788">
        <f t="shared" si="12"/>
        <v>74</v>
      </c>
    </row>
    <row r="789" spans="1:22" ht="13" x14ac:dyDescent="0.15">
      <c r="A789" s="4">
        <v>44776</v>
      </c>
      <c r="B789" s="5">
        <v>0.53886574074074078</v>
      </c>
      <c r="C789" s="1">
        <v>1590</v>
      </c>
      <c r="D789" s="1">
        <v>13002595</v>
      </c>
      <c r="E789" s="1">
        <v>13</v>
      </c>
      <c r="F789" s="1">
        <v>22589</v>
      </c>
      <c r="G789" s="1" t="s">
        <v>21</v>
      </c>
      <c r="H789" s="1">
        <v>18</v>
      </c>
      <c r="I789" s="1">
        <v>435842</v>
      </c>
      <c r="J789" s="1" t="s">
        <v>819</v>
      </c>
      <c r="K789" s="1" t="s">
        <v>51</v>
      </c>
      <c r="L789" s="1" t="s">
        <v>383</v>
      </c>
      <c r="M789" s="1">
        <v>1</v>
      </c>
      <c r="N789" s="2">
        <v>27.03</v>
      </c>
      <c r="O789" s="3">
        <v>42</v>
      </c>
      <c r="P789" s="1">
        <v>2</v>
      </c>
      <c r="Q789" s="1">
        <v>9</v>
      </c>
      <c r="R789" s="1">
        <v>200010022559</v>
      </c>
      <c r="S789" s="1">
        <v>29</v>
      </c>
      <c r="T789" s="1">
        <v>1</v>
      </c>
      <c r="U789" s="1">
        <v>1</v>
      </c>
      <c r="V789">
        <f t="shared" si="12"/>
        <v>42</v>
      </c>
    </row>
    <row r="790" spans="1:22" ht="13" x14ac:dyDescent="0.15">
      <c r="A790" s="4">
        <v>44776</v>
      </c>
      <c r="B790" s="5">
        <v>0.53950231481481481</v>
      </c>
      <c r="C790" s="1">
        <v>1591</v>
      </c>
      <c r="D790" s="1">
        <v>13002595</v>
      </c>
      <c r="E790" s="1">
        <v>13</v>
      </c>
      <c r="F790" s="1">
        <v>22589</v>
      </c>
      <c r="G790" s="1" t="s">
        <v>21</v>
      </c>
      <c r="H790" s="1">
        <v>18</v>
      </c>
      <c r="I790" s="1">
        <v>20089</v>
      </c>
      <c r="J790" s="1" t="s">
        <v>820</v>
      </c>
      <c r="K790" s="1" t="s">
        <v>23</v>
      </c>
      <c r="L790" s="1" t="s">
        <v>303</v>
      </c>
      <c r="M790" s="1">
        <v>1</v>
      </c>
      <c r="N790" s="2">
        <v>412.55</v>
      </c>
      <c r="O790" s="3">
        <v>545</v>
      </c>
      <c r="P790" s="1">
        <v>38</v>
      </c>
      <c r="Q790" s="1">
        <v>9</v>
      </c>
      <c r="R790" s="1">
        <v>200010022559</v>
      </c>
      <c r="S790" s="1">
        <v>29</v>
      </c>
      <c r="T790" s="1">
        <v>1</v>
      </c>
      <c r="U790" s="1">
        <v>1</v>
      </c>
      <c r="V790">
        <f t="shared" si="12"/>
        <v>545</v>
      </c>
    </row>
    <row r="791" spans="1:22" ht="13" x14ac:dyDescent="0.15">
      <c r="A791" s="4">
        <v>44776</v>
      </c>
      <c r="B791" s="5">
        <v>0.54353009259259255</v>
      </c>
      <c r="C791" s="1">
        <v>1592</v>
      </c>
      <c r="D791" s="1">
        <v>13002595</v>
      </c>
      <c r="E791" s="1">
        <v>13</v>
      </c>
      <c r="F791" s="1">
        <v>22589</v>
      </c>
      <c r="G791" s="1" t="s">
        <v>21</v>
      </c>
      <c r="H791" s="1">
        <v>15</v>
      </c>
      <c r="I791" s="1">
        <v>19568</v>
      </c>
      <c r="J791" s="1" t="s">
        <v>821</v>
      </c>
      <c r="K791" s="1" t="s">
        <v>51</v>
      </c>
      <c r="L791" s="1" t="s">
        <v>822</v>
      </c>
      <c r="M791" s="1">
        <v>1</v>
      </c>
      <c r="N791" s="2">
        <v>216.04</v>
      </c>
      <c r="O791" s="3">
        <v>292</v>
      </c>
      <c r="P791" s="1">
        <v>35.18</v>
      </c>
      <c r="Q791" s="1">
        <v>925</v>
      </c>
      <c r="R791" s="1">
        <v>200000000492</v>
      </c>
      <c r="S791" s="1">
        <v>29</v>
      </c>
      <c r="T791" s="1">
        <v>1</v>
      </c>
      <c r="U791" s="1">
        <v>2</v>
      </c>
      <c r="V791">
        <f t="shared" si="12"/>
        <v>292</v>
      </c>
    </row>
    <row r="792" spans="1:22" ht="13" x14ac:dyDescent="0.15">
      <c r="A792" s="4">
        <v>44776</v>
      </c>
      <c r="B792" s="5">
        <v>0.54693287037037042</v>
      </c>
      <c r="C792" s="1">
        <v>1593</v>
      </c>
      <c r="D792" s="1">
        <v>13002595</v>
      </c>
      <c r="E792" s="1">
        <v>13</v>
      </c>
      <c r="F792" s="1">
        <v>22589</v>
      </c>
      <c r="G792" s="1" t="s">
        <v>21</v>
      </c>
      <c r="H792" s="1">
        <v>18</v>
      </c>
      <c r="I792" s="1">
        <v>154751</v>
      </c>
      <c r="J792" s="1" t="s">
        <v>823</v>
      </c>
      <c r="K792" s="1" t="s">
        <v>23</v>
      </c>
      <c r="L792" s="1" t="s">
        <v>341</v>
      </c>
      <c r="M792" s="1">
        <v>1</v>
      </c>
      <c r="N792" s="2">
        <v>739.82</v>
      </c>
      <c r="O792" s="3">
        <v>955</v>
      </c>
      <c r="P792" s="1">
        <v>66</v>
      </c>
      <c r="Q792" s="1">
        <v>9</v>
      </c>
      <c r="R792" s="1">
        <v>200010000782</v>
      </c>
      <c r="S792" s="1">
        <v>29</v>
      </c>
      <c r="T792" s="1">
        <v>1</v>
      </c>
      <c r="U792" s="1">
        <v>1</v>
      </c>
      <c r="V792">
        <f t="shared" si="12"/>
        <v>955</v>
      </c>
    </row>
    <row r="793" spans="1:22" ht="13" x14ac:dyDescent="0.15">
      <c r="A793" s="4">
        <v>44776</v>
      </c>
      <c r="B793" s="5">
        <v>0.55040509259259263</v>
      </c>
      <c r="C793" s="1">
        <v>1594</v>
      </c>
      <c r="D793" s="1">
        <v>13002595</v>
      </c>
      <c r="E793" s="1">
        <v>13</v>
      </c>
      <c r="F793" s="1">
        <v>22589</v>
      </c>
      <c r="G793" s="1" t="s">
        <v>21</v>
      </c>
      <c r="H793" s="1">
        <v>15</v>
      </c>
      <c r="I793" s="1">
        <v>341339</v>
      </c>
      <c r="J793" s="1" t="s">
        <v>824</v>
      </c>
      <c r="K793" s="1" t="s">
        <v>117</v>
      </c>
      <c r="L793" s="1" t="s">
        <v>825</v>
      </c>
      <c r="M793" s="1">
        <v>1</v>
      </c>
      <c r="N793" s="2">
        <v>275</v>
      </c>
      <c r="O793" s="3">
        <v>372</v>
      </c>
      <c r="P793" s="1">
        <v>26</v>
      </c>
      <c r="Q793" s="1">
        <v>9</v>
      </c>
      <c r="R793" s="1">
        <v>200010020300</v>
      </c>
      <c r="S793" s="1">
        <v>29</v>
      </c>
      <c r="T793" s="1">
        <v>1</v>
      </c>
      <c r="U793" s="1">
        <v>1</v>
      </c>
      <c r="V793">
        <f t="shared" si="12"/>
        <v>372</v>
      </c>
    </row>
    <row r="794" spans="1:22" ht="13" x14ac:dyDescent="0.15">
      <c r="A794" s="4">
        <v>44776</v>
      </c>
      <c r="B794" s="5">
        <v>0.55040509259259263</v>
      </c>
      <c r="C794" s="1">
        <v>1594</v>
      </c>
      <c r="D794" s="1">
        <v>13002595</v>
      </c>
      <c r="E794" s="1">
        <v>13</v>
      </c>
      <c r="F794" s="1">
        <v>22589</v>
      </c>
      <c r="G794" s="1" t="s">
        <v>21</v>
      </c>
      <c r="H794" s="1">
        <v>15</v>
      </c>
      <c r="I794" s="1">
        <v>30028</v>
      </c>
      <c r="J794" s="1" t="s">
        <v>166</v>
      </c>
      <c r="K794" s="1" t="s">
        <v>51</v>
      </c>
      <c r="L794" s="1" t="s">
        <v>167</v>
      </c>
      <c r="M794" s="1">
        <v>4</v>
      </c>
      <c r="N794" s="2">
        <v>10.01</v>
      </c>
      <c r="O794" s="3">
        <v>17</v>
      </c>
      <c r="P794" s="1">
        <v>6.68</v>
      </c>
      <c r="Q794" s="1">
        <v>9</v>
      </c>
      <c r="R794" s="1">
        <v>200010020300</v>
      </c>
      <c r="S794" s="1">
        <v>29</v>
      </c>
      <c r="T794" s="1">
        <v>1</v>
      </c>
      <c r="U794" s="1">
        <v>2</v>
      </c>
      <c r="V794">
        <f t="shared" si="12"/>
        <v>68</v>
      </c>
    </row>
    <row r="795" spans="1:22" ht="13" x14ac:dyDescent="0.15">
      <c r="A795" s="4">
        <v>44776</v>
      </c>
      <c r="B795" s="5">
        <v>0.55040509259259263</v>
      </c>
      <c r="C795" s="1">
        <v>1594</v>
      </c>
      <c r="D795" s="1">
        <v>13002595</v>
      </c>
      <c r="E795" s="1">
        <v>13</v>
      </c>
      <c r="F795" s="1">
        <v>22589</v>
      </c>
      <c r="G795" s="1" t="s">
        <v>21</v>
      </c>
      <c r="H795" s="1">
        <v>15</v>
      </c>
      <c r="I795" s="1">
        <v>30028</v>
      </c>
      <c r="J795" s="1" t="s">
        <v>166</v>
      </c>
      <c r="K795" s="1" t="s">
        <v>51</v>
      </c>
      <c r="L795" s="1" t="s">
        <v>167</v>
      </c>
      <c r="M795" s="1">
        <v>2</v>
      </c>
      <c r="N795" s="2">
        <v>10.01</v>
      </c>
      <c r="O795" s="3">
        <v>17</v>
      </c>
      <c r="P795" s="1">
        <v>3.32</v>
      </c>
      <c r="Q795" s="1">
        <v>9</v>
      </c>
      <c r="R795" s="1">
        <v>200010020300</v>
      </c>
      <c r="S795" s="1">
        <v>29</v>
      </c>
      <c r="T795" s="1">
        <v>1</v>
      </c>
      <c r="U795" s="1">
        <v>3</v>
      </c>
      <c r="V795">
        <f t="shared" si="12"/>
        <v>34</v>
      </c>
    </row>
    <row r="796" spans="1:22" ht="13" x14ac:dyDescent="0.15">
      <c r="A796" s="4">
        <v>44776</v>
      </c>
      <c r="B796" s="5">
        <v>0.55040509259259263</v>
      </c>
      <c r="C796" s="1">
        <v>1594</v>
      </c>
      <c r="D796" s="1">
        <v>13002595</v>
      </c>
      <c r="E796" s="1">
        <v>13</v>
      </c>
      <c r="F796" s="1">
        <v>22589</v>
      </c>
      <c r="G796" s="1" t="s">
        <v>21</v>
      </c>
      <c r="H796" s="1">
        <v>15</v>
      </c>
      <c r="I796" s="1">
        <v>346984</v>
      </c>
      <c r="J796" s="1" t="s">
        <v>714</v>
      </c>
      <c r="K796" s="1" t="s">
        <v>51</v>
      </c>
      <c r="L796" s="1" t="s">
        <v>668</v>
      </c>
      <c r="M796" s="1">
        <v>0.01</v>
      </c>
      <c r="N796" s="2">
        <v>766.81</v>
      </c>
      <c r="O796" s="3">
        <v>1089</v>
      </c>
      <c r="P796" s="1">
        <v>0.89</v>
      </c>
      <c r="Q796" s="1">
        <v>9</v>
      </c>
      <c r="R796" s="1">
        <v>200010020300</v>
      </c>
      <c r="S796" s="1">
        <v>29</v>
      </c>
      <c r="T796" s="1">
        <v>1</v>
      </c>
      <c r="U796" s="1">
        <v>4</v>
      </c>
      <c r="V796">
        <f t="shared" si="12"/>
        <v>10.89</v>
      </c>
    </row>
    <row r="797" spans="1:22" ht="13" x14ac:dyDescent="0.15">
      <c r="A797" s="4">
        <v>44776</v>
      </c>
      <c r="B797" s="5">
        <v>0.56052083333333336</v>
      </c>
      <c r="C797" s="1">
        <v>1596</v>
      </c>
      <c r="D797" s="1">
        <v>13002595</v>
      </c>
      <c r="E797" s="1">
        <v>13</v>
      </c>
      <c r="F797" s="1">
        <v>22589</v>
      </c>
      <c r="G797" s="1" t="s">
        <v>21</v>
      </c>
      <c r="H797" s="1">
        <v>18</v>
      </c>
      <c r="I797" s="1">
        <v>100269</v>
      </c>
      <c r="J797" s="1" t="s">
        <v>435</v>
      </c>
      <c r="K797" s="1" t="s">
        <v>29</v>
      </c>
      <c r="L797" s="1" t="s">
        <v>436</v>
      </c>
      <c r="M797" s="1">
        <v>1</v>
      </c>
      <c r="N797" s="2">
        <v>724.63</v>
      </c>
      <c r="O797" s="3">
        <v>892</v>
      </c>
      <c r="P797" s="1">
        <v>24</v>
      </c>
      <c r="Q797" s="1">
        <v>925</v>
      </c>
      <c r="R797" s="1">
        <v>200000000492</v>
      </c>
      <c r="S797" s="1">
        <v>29</v>
      </c>
      <c r="T797" s="1">
        <v>1</v>
      </c>
      <c r="U797" s="1">
        <v>1</v>
      </c>
      <c r="V797">
        <f t="shared" si="12"/>
        <v>892</v>
      </c>
    </row>
    <row r="798" spans="1:22" ht="13" x14ac:dyDescent="0.15">
      <c r="A798" s="4">
        <v>44776</v>
      </c>
      <c r="B798" s="5">
        <v>0.56142361111111116</v>
      </c>
      <c r="C798" s="1">
        <v>1597</v>
      </c>
      <c r="D798" s="1">
        <v>13002595</v>
      </c>
      <c r="E798" s="1">
        <v>13</v>
      </c>
      <c r="F798" s="1">
        <v>22589</v>
      </c>
      <c r="G798" s="1" t="s">
        <v>21</v>
      </c>
      <c r="H798" s="1">
        <v>18</v>
      </c>
      <c r="I798" s="1">
        <v>108630</v>
      </c>
      <c r="J798" s="1" t="s">
        <v>826</v>
      </c>
      <c r="K798" s="1" t="s">
        <v>117</v>
      </c>
      <c r="L798" s="1" t="s">
        <v>810</v>
      </c>
      <c r="M798" s="1">
        <v>0.24</v>
      </c>
      <c r="N798" s="2">
        <v>1085.72</v>
      </c>
      <c r="O798" s="3">
        <v>1488</v>
      </c>
      <c r="P798" s="1">
        <v>35.119999999999997</v>
      </c>
      <c r="Q798" s="1">
        <v>9</v>
      </c>
      <c r="R798" s="1">
        <v>200010018142</v>
      </c>
      <c r="S798" s="1">
        <v>29</v>
      </c>
      <c r="T798" s="1">
        <v>1</v>
      </c>
      <c r="U798" s="1">
        <v>1</v>
      </c>
      <c r="V798">
        <f t="shared" si="12"/>
        <v>357.12</v>
      </c>
    </row>
    <row r="799" spans="1:22" ht="13" x14ac:dyDescent="0.15">
      <c r="A799" s="4">
        <v>44776</v>
      </c>
      <c r="B799" s="5">
        <v>0.56376157407407412</v>
      </c>
      <c r="C799" s="1">
        <v>1598</v>
      </c>
      <c r="D799" s="1">
        <v>13002595</v>
      </c>
      <c r="E799" s="1">
        <v>13</v>
      </c>
      <c r="F799" s="1">
        <v>22589</v>
      </c>
      <c r="G799" s="1" t="s">
        <v>21</v>
      </c>
      <c r="H799" s="1">
        <v>15</v>
      </c>
      <c r="I799" s="1">
        <v>9029</v>
      </c>
      <c r="J799" s="1" t="s">
        <v>827</v>
      </c>
      <c r="K799" s="1" t="s">
        <v>23</v>
      </c>
      <c r="L799" s="1" t="s">
        <v>734</v>
      </c>
      <c r="M799" s="1">
        <v>1</v>
      </c>
      <c r="N799" s="2">
        <v>110.23</v>
      </c>
      <c r="O799" s="3">
        <v>133</v>
      </c>
      <c r="P799" s="1">
        <v>6</v>
      </c>
      <c r="Q799" s="1">
        <v>9</v>
      </c>
      <c r="R799" s="1">
        <v>200010001803</v>
      </c>
      <c r="S799" s="1">
        <v>29</v>
      </c>
      <c r="T799" s="1">
        <v>1</v>
      </c>
      <c r="U799" s="1">
        <v>7</v>
      </c>
      <c r="V799">
        <f t="shared" si="12"/>
        <v>133</v>
      </c>
    </row>
    <row r="800" spans="1:22" ht="13" x14ac:dyDescent="0.15">
      <c r="A800" s="4">
        <v>44776</v>
      </c>
      <c r="B800" s="5">
        <v>0.56376157407407412</v>
      </c>
      <c r="C800" s="1">
        <v>1598</v>
      </c>
      <c r="D800" s="1">
        <v>13002595</v>
      </c>
      <c r="E800" s="1">
        <v>13</v>
      </c>
      <c r="F800" s="1">
        <v>22589</v>
      </c>
      <c r="G800" s="1" t="s">
        <v>21</v>
      </c>
      <c r="H800" s="1">
        <v>15</v>
      </c>
      <c r="I800" s="1">
        <v>434298</v>
      </c>
      <c r="J800" s="1" t="s">
        <v>828</v>
      </c>
      <c r="K800" s="1" t="s">
        <v>23</v>
      </c>
      <c r="L800" s="1" t="s">
        <v>76</v>
      </c>
      <c r="M800" s="1">
        <v>1</v>
      </c>
      <c r="N800" s="2">
        <v>87.66</v>
      </c>
      <c r="O800" s="3">
        <v>125</v>
      </c>
      <c r="P800" s="1">
        <v>8</v>
      </c>
      <c r="Q800" s="1">
        <v>9</v>
      </c>
      <c r="R800" s="1">
        <v>200010001803</v>
      </c>
      <c r="S800" s="1">
        <v>29</v>
      </c>
      <c r="T800" s="1">
        <v>1</v>
      </c>
      <c r="U800" s="1">
        <v>5</v>
      </c>
      <c r="V800">
        <f t="shared" si="12"/>
        <v>125</v>
      </c>
    </row>
    <row r="801" spans="1:22" ht="13" x14ac:dyDescent="0.15">
      <c r="A801" s="4">
        <v>44776</v>
      </c>
      <c r="B801" s="5">
        <v>0.56376157407407412</v>
      </c>
      <c r="C801" s="1">
        <v>1598</v>
      </c>
      <c r="D801" s="1">
        <v>13002595</v>
      </c>
      <c r="E801" s="1">
        <v>13</v>
      </c>
      <c r="F801" s="1">
        <v>22589</v>
      </c>
      <c r="G801" s="1" t="s">
        <v>21</v>
      </c>
      <c r="H801" s="1">
        <v>15</v>
      </c>
      <c r="I801" s="1">
        <v>434298</v>
      </c>
      <c r="J801" s="1" t="s">
        <v>828</v>
      </c>
      <c r="K801" s="1" t="s">
        <v>29</v>
      </c>
      <c r="L801" s="1" t="s">
        <v>335</v>
      </c>
      <c r="M801" s="1">
        <v>1</v>
      </c>
      <c r="N801" s="2">
        <v>85.97</v>
      </c>
      <c r="O801" s="3">
        <v>123</v>
      </c>
      <c r="P801" s="1">
        <v>8</v>
      </c>
      <c r="Q801" s="1">
        <v>9</v>
      </c>
      <c r="R801" s="1">
        <v>200010001803</v>
      </c>
      <c r="S801" s="1">
        <v>29</v>
      </c>
      <c r="T801" s="1">
        <v>1</v>
      </c>
      <c r="U801" s="1">
        <v>6</v>
      </c>
      <c r="V801">
        <f t="shared" si="12"/>
        <v>123</v>
      </c>
    </row>
    <row r="802" spans="1:22" ht="13" x14ac:dyDescent="0.15">
      <c r="A802" s="4">
        <v>44776</v>
      </c>
      <c r="B802" s="5">
        <v>0.56376157407407412</v>
      </c>
      <c r="C802" s="1">
        <v>1598</v>
      </c>
      <c r="D802" s="1">
        <v>13002595</v>
      </c>
      <c r="E802" s="1">
        <v>13</v>
      </c>
      <c r="F802" s="1">
        <v>22589</v>
      </c>
      <c r="G802" s="1" t="s">
        <v>21</v>
      </c>
      <c r="H802" s="1">
        <v>15</v>
      </c>
      <c r="I802" s="1">
        <v>393397</v>
      </c>
      <c r="J802" s="1" t="s">
        <v>334</v>
      </c>
      <c r="K802" s="1" t="s">
        <v>29</v>
      </c>
      <c r="L802" s="1" t="s">
        <v>335</v>
      </c>
      <c r="M802" s="1">
        <v>1</v>
      </c>
      <c r="N802" s="2">
        <v>20.079999999999998</v>
      </c>
      <c r="O802" s="3">
        <v>26</v>
      </c>
      <c r="P802" s="1">
        <v>1</v>
      </c>
      <c r="Q802" s="1">
        <v>9</v>
      </c>
      <c r="R802" s="1">
        <v>200010001803</v>
      </c>
      <c r="S802" s="1">
        <v>29</v>
      </c>
      <c r="T802" s="1">
        <v>1</v>
      </c>
      <c r="U802" s="1">
        <v>2</v>
      </c>
      <c r="V802">
        <f t="shared" si="12"/>
        <v>26</v>
      </c>
    </row>
    <row r="803" spans="1:22" ht="13" x14ac:dyDescent="0.15">
      <c r="A803" s="4">
        <v>44776</v>
      </c>
      <c r="B803" s="5">
        <v>0.56376157407407412</v>
      </c>
      <c r="C803" s="1">
        <v>1598</v>
      </c>
      <c r="D803" s="1">
        <v>13002595</v>
      </c>
      <c r="E803" s="1">
        <v>13</v>
      </c>
      <c r="F803" s="1">
        <v>22589</v>
      </c>
      <c r="G803" s="1" t="s">
        <v>21</v>
      </c>
      <c r="H803" s="1">
        <v>15</v>
      </c>
      <c r="I803" s="1">
        <v>393397</v>
      </c>
      <c r="J803" s="1" t="s">
        <v>334</v>
      </c>
      <c r="K803" s="1" t="s">
        <v>29</v>
      </c>
      <c r="L803" s="1" t="s">
        <v>335</v>
      </c>
      <c r="M803" s="1">
        <v>1</v>
      </c>
      <c r="N803" s="2">
        <v>20.079999999999998</v>
      </c>
      <c r="O803" s="3">
        <v>26</v>
      </c>
      <c r="P803" s="1">
        <v>1</v>
      </c>
      <c r="Q803" s="1">
        <v>9</v>
      </c>
      <c r="R803" s="1">
        <v>200010001803</v>
      </c>
      <c r="S803" s="1">
        <v>29</v>
      </c>
      <c r="T803" s="1">
        <v>1</v>
      </c>
      <c r="U803" s="1">
        <v>3</v>
      </c>
      <c r="V803">
        <f t="shared" si="12"/>
        <v>26</v>
      </c>
    </row>
    <row r="804" spans="1:22" ht="13" x14ac:dyDescent="0.15">
      <c r="A804" s="4">
        <v>44776</v>
      </c>
      <c r="B804" s="5">
        <v>0.56376157407407412</v>
      </c>
      <c r="C804" s="1">
        <v>1598</v>
      </c>
      <c r="D804" s="1">
        <v>13002595</v>
      </c>
      <c r="E804" s="1">
        <v>13</v>
      </c>
      <c r="F804" s="1">
        <v>22589</v>
      </c>
      <c r="G804" s="1" t="s">
        <v>21</v>
      </c>
      <c r="H804" s="1">
        <v>15</v>
      </c>
      <c r="I804" s="1">
        <v>393397</v>
      </c>
      <c r="J804" s="1" t="s">
        <v>334</v>
      </c>
      <c r="K804" s="1" t="s">
        <v>29</v>
      </c>
      <c r="L804" s="1" t="s">
        <v>335</v>
      </c>
      <c r="M804" s="1">
        <v>1</v>
      </c>
      <c r="N804" s="2">
        <v>20.079999999999998</v>
      </c>
      <c r="O804" s="3">
        <v>26</v>
      </c>
      <c r="P804" s="1">
        <v>1</v>
      </c>
      <c r="Q804" s="1">
        <v>9</v>
      </c>
      <c r="R804" s="1">
        <v>200010001803</v>
      </c>
      <c r="S804" s="1">
        <v>29</v>
      </c>
      <c r="T804" s="1">
        <v>1</v>
      </c>
      <c r="U804" s="1">
        <v>4</v>
      </c>
      <c r="V804">
        <f t="shared" si="12"/>
        <v>26</v>
      </c>
    </row>
    <row r="805" spans="1:22" ht="13" x14ac:dyDescent="0.15">
      <c r="A805" s="4">
        <v>44776</v>
      </c>
      <c r="B805" s="5">
        <v>0.57343750000000004</v>
      </c>
      <c r="C805" s="1">
        <v>1604</v>
      </c>
      <c r="D805" s="1">
        <v>13002595</v>
      </c>
      <c r="E805" s="1">
        <v>13</v>
      </c>
      <c r="F805" s="1">
        <v>22589</v>
      </c>
      <c r="G805" s="1" t="s">
        <v>21</v>
      </c>
      <c r="H805" s="1">
        <v>15</v>
      </c>
      <c r="I805" s="1">
        <v>393397</v>
      </c>
      <c r="J805" s="1" t="s">
        <v>334</v>
      </c>
      <c r="K805" s="1" t="s">
        <v>29</v>
      </c>
      <c r="L805" s="1" t="s">
        <v>335</v>
      </c>
      <c r="M805" s="1">
        <v>1</v>
      </c>
      <c r="N805" s="2">
        <v>20.079999999999998</v>
      </c>
      <c r="O805" s="3">
        <v>26</v>
      </c>
      <c r="P805" s="1">
        <v>1</v>
      </c>
      <c r="Q805" s="1">
        <v>9</v>
      </c>
      <c r="R805" s="1">
        <v>200010001680</v>
      </c>
      <c r="S805" s="1">
        <v>29</v>
      </c>
      <c r="T805" s="1">
        <v>1</v>
      </c>
      <c r="U805" s="1">
        <v>1</v>
      </c>
      <c r="V805">
        <f t="shared" si="12"/>
        <v>26</v>
      </c>
    </row>
    <row r="806" spans="1:22" ht="13" x14ac:dyDescent="0.15">
      <c r="A806" s="4">
        <v>44776</v>
      </c>
      <c r="B806" s="5">
        <v>0.57343750000000004</v>
      </c>
      <c r="C806" s="1">
        <v>1604</v>
      </c>
      <c r="D806" s="1">
        <v>13002595</v>
      </c>
      <c r="E806" s="1">
        <v>13</v>
      </c>
      <c r="F806" s="1">
        <v>22589</v>
      </c>
      <c r="G806" s="1" t="s">
        <v>21</v>
      </c>
      <c r="H806" s="1">
        <v>15</v>
      </c>
      <c r="I806" s="1">
        <v>393397</v>
      </c>
      <c r="J806" s="1" t="s">
        <v>334</v>
      </c>
      <c r="K806" s="1" t="s">
        <v>29</v>
      </c>
      <c r="L806" s="1" t="s">
        <v>335</v>
      </c>
      <c r="M806" s="1">
        <v>1</v>
      </c>
      <c r="N806" s="2">
        <v>20.079999999999998</v>
      </c>
      <c r="O806" s="3">
        <v>26</v>
      </c>
      <c r="P806" s="1">
        <v>1</v>
      </c>
      <c r="Q806" s="1">
        <v>9</v>
      </c>
      <c r="R806" s="1">
        <v>200010001680</v>
      </c>
      <c r="S806" s="1">
        <v>29</v>
      </c>
      <c r="T806" s="1">
        <v>1</v>
      </c>
      <c r="U806" s="1">
        <v>2</v>
      </c>
      <c r="V806">
        <f t="shared" si="12"/>
        <v>26</v>
      </c>
    </row>
    <row r="807" spans="1:22" ht="13" x14ac:dyDescent="0.15">
      <c r="A807" s="4">
        <v>44776</v>
      </c>
      <c r="B807" s="5">
        <v>0.6519328703703704</v>
      </c>
      <c r="C807" s="1">
        <v>1618</v>
      </c>
      <c r="D807" s="1">
        <v>13002595</v>
      </c>
      <c r="E807" s="1">
        <v>13</v>
      </c>
      <c r="F807" s="1">
        <v>22589</v>
      </c>
      <c r="G807" s="1" t="s">
        <v>21</v>
      </c>
      <c r="H807" s="1">
        <v>18</v>
      </c>
      <c r="I807" s="1">
        <v>393397</v>
      </c>
      <c r="J807" s="1" t="s">
        <v>334</v>
      </c>
      <c r="K807" s="1" t="s">
        <v>29</v>
      </c>
      <c r="L807" s="1" t="s">
        <v>335</v>
      </c>
      <c r="M807" s="1">
        <v>1</v>
      </c>
      <c r="N807" s="2">
        <v>20.079999999999998</v>
      </c>
      <c r="O807" s="3">
        <v>26</v>
      </c>
      <c r="P807" s="1">
        <v>1</v>
      </c>
      <c r="Q807" s="1">
        <v>9</v>
      </c>
      <c r="R807" s="1">
        <v>200010004049</v>
      </c>
      <c r="S807" s="1">
        <v>29</v>
      </c>
      <c r="T807" s="1">
        <v>1</v>
      </c>
      <c r="U807" s="1">
        <v>4</v>
      </c>
      <c r="V807">
        <f t="shared" si="12"/>
        <v>26</v>
      </c>
    </row>
    <row r="808" spans="1:22" ht="13" x14ac:dyDescent="0.15">
      <c r="A808" s="4">
        <v>44776</v>
      </c>
      <c r="B808" s="5">
        <v>0.56376157407407412</v>
      </c>
      <c r="C808" s="1">
        <v>1598</v>
      </c>
      <c r="D808" s="1">
        <v>13002595</v>
      </c>
      <c r="E808" s="1">
        <v>13</v>
      </c>
      <c r="F808" s="1">
        <v>22589</v>
      </c>
      <c r="G808" s="1" t="s">
        <v>21</v>
      </c>
      <c r="H808" s="1">
        <v>15</v>
      </c>
      <c r="I808" s="1">
        <v>348748</v>
      </c>
      <c r="J808" s="1" t="s">
        <v>260</v>
      </c>
      <c r="K808" s="1" t="s">
        <v>29</v>
      </c>
      <c r="L808" s="1" t="s">
        <v>261</v>
      </c>
      <c r="M808" s="1">
        <v>1</v>
      </c>
      <c r="N808" s="2">
        <v>56.03</v>
      </c>
      <c r="O808" s="3">
        <v>70</v>
      </c>
      <c r="P808" s="1">
        <v>3</v>
      </c>
      <c r="Q808" s="1">
        <v>9</v>
      </c>
      <c r="R808" s="1">
        <v>200010001803</v>
      </c>
      <c r="S808" s="1">
        <v>29</v>
      </c>
      <c r="T808" s="1">
        <v>1</v>
      </c>
      <c r="U808" s="1">
        <v>1</v>
      </c>
      <c r="V808">
        <f t="shared" si="12"/>
        <v>70</v>
      </c>
    </row>
    <row r="809" spans="1:22" ht="13" x14ac:dyDescent="0.15">
      <c r="A809" s="4">
        <v>44776</v>
      </c>
      <c r="B809" s="5">
        <v>0.56773148148148145</v>
      </c>
      <c r="C809" s="1">
        <v>1599</v>
      </c>
      <c r="D809" s="1">
        <v>13002595</v>
      </c>
      <c r="E809" s="1">
        <v>13</v>
      </c>
      <c r="F809" s="1">
        <v>22589</v>
      </c>
      <c r="G809" s="1" t="s">
        <v>21</v>
      </c>
      <c r="H809" s="1">
        <v>18</v>
      </c>
      <c r="I809" s="1">
        <v>290470</v>
      </c>
      <c r="J809" s="1" t="s">
        <v>296</v>
      </c>
      <c r="K809" s="1" t="s">
        <v>51</v>
      </c>
      <c r="L809" s="1" t="s">
        <v>297</v>
      </c>
      <c r="M809" s="1">
        <v>1</v>
      </c>
      <c r="N809" s="2">
        <v>373.44</v>
      </c>
      <c r="O809" s="3">
        <v>493</v>
      </c>
      <c r="P809" s="1">
        <v>0</v>
      </c>
      <c r="Q809" s="1" t="s">
        <v>25</v>
      </c>
      <c r="R809" s="1" t="s">
        <v>25</v>
      </c>
      <c r="S809" s="1">
        <v>29</v>
      </c>
      <c r="T809" s="1">
        <v>1</v>
      </c>
      <c r="U809" s="1">
        <v>1</v>
      </c>
      <c r="V809">
        <f t="shared" si="12"/>
        <v>493</v>
      </c>
    </row>
    <row r="810" spans="1:22" ht="13" x14ac:dyDescent="0.15">
      <c r="A810" s="4">
        <v>44776</v>
      </c>
      <c r="B810" s="5">
        <v>0.56773148148148145</v>
      </c>
      <c r="C810" s="1">
        <v>1599</v>
      </c>
      <c r="D810" s="1">
        <v>13002595</v>
      </c>
      <c r="E810" s="1">
        <v>13</v>
      </c>
      <c r="F810" s="1">
        <v>22589</v>
      </c>
      <c r="G810" s="1" t="s">
        <v>21</v>
      </c>
      <c r="H810" s="1">
        <v>18</v>
      </c>
      <c r="I810" s="1">
        <v>61029</v>
      </c>
      <c r="J810" s="1" t="s">
        <v>829</v>
      </c>
      <c r="K810" s="1" t="s">
        <v>23</v>
      </c>
      <c r="L810" s="1" t="s">
        <v>830</v>
      </c>
      <c r="M810" s="1">
        <v>1</v>
      </c>
      <c r="N810" s="2">
        <v>406.85</v>
      </c>
      <c r="O810" s="3">
        <v>490</v>
      </c>
      <c r="P810" s="1">
        <v>0</v>
      </c>
      <c r="Q810" s="1" t="s">
        <v>25</v>
      </c>
      <c r="R810" s="1" t="s">
        <v>25</v>
      </c>
      <c r="S810" s="1">
        <v>29</v>
      </c>
      <c r="T810" s="1">
        <v>1</v>
      </c>
      <c r="U810" s="1">
        <v>3</v>
      </c>
      <c r="V810">
        <f t="shared" si="12"/>
        <v>490</v>
      </c>
    </row>
    <row r="811" spans="1:22" ht="13" x14ac:dyDescent="0.15">
      <c r="A811" s="4">
        <v>44776</v>
      </c>
      <c r="B811" s="5">
        <v>0.56773148148148145</v>
      </c>
      <c r="C811" s="1">
        <v>1599</v>
      </c>
      <c r="D811" s="1">
        <v>13002595</v>
      </c>
      <c r="E811" s="1">
        <v>13</v>
      </c>
      <c r="F811" s="1">
        <v>22589</v>
      </c>
      <c r="G811" s="1" t="s">
        <v>21</v>
      </c>
      <c r="H811" s="1">
        <v>18</v>
      </c>
      <c r="I811" s="1">
        <v>61029</v>
      </c>
      <c r="J811" s="1" t="s">
        <v>829</v>
      </c>
      <c r="K811" s="1" t="s">
        <v>23</v>
      </c>
      <c r="L811" s="1" t="s">
        <v>830</v>
      </c>
      <c r="M811" s="1">
        <v>1</v>
      </c>
      <c r="N811" s="2">
        <v>406.85</v>
      </c>
      <c r="O811" s="3">
        <v>490</v>
      </c>
      <c r="P811" s="1">
        <v>0</v>
      </c>
      <c r="Q811" s="1" t="s">
        <v>25</v>
      </c>
      <c r="R811" s="1" t="s">
        <v>25</v>
      </c>
      <c r="S811" s="1">
        <v>29</v>
      </c>
      <c r="T811" s="1">
        <v>1</v>
      </c>
      <c r="U811" s="1">
        <v>4</v>
      </c>
      <c r="V811">
        <f t="shared" si="12"/>
        <v>490</v>
      </c>
    </row>
    <row r="812" spans="1:22" ht="13" x14ac:dyDescent="0.15">
      <c r="A812" s="4">
        <v>44776</v>
      </c>
      <c r="B812" s="5">
        <v>0.56773148148148145</v>
      </c>
      <c r="C812" s="1">
        <v>1599</v>
      </c>
      <c r="D812" s="1">
        <v>13002595</v>
      </c>
      <c r="E812" s="1">
        <v>13</v>
      </c>
      <c r="F812" s="1">
        <v>22589</v>
      </c>
      <c r="G812" s="1" t="s">
        <v>21</v>
      </c>
      <c r="H812" s="1">
        <v>18</v>
      </c>
      <c r="I812" s="1">
        <v>3037</v>
      </c>
      <c r="J812" s="1" t="s">
        <v>831</v>
      </c>
      <c r="K812" s="1" t="s">
        <v>34</v>
      </c>
      <c r="L812" s="1" t="s">
        <v>832</v>
      </c>
      <c r="M812" s="1">
        <v>1</v>
      </c>
      <c r="N812" s="2">
        <v>149.37</v>
      </c>
      <c r="O812" s="3">
        <v>217</v>
      </c>
      <c r="P812" s="1">
        <v>0</v>
      </c>
      <c r="Q812" s="1" t="s">
        <v>25</v>
      </c>
      <c r="R812" s="1" t="s">
        <v>25</v>
      </c>
      <c r="S812" s="1">
        <v>29</v>
      </c>
      <c r="T812" s="1">
        <v>1</v>
      </c>
      <c r="U812" s="1">
        <v>5</v>
      </c>
      <c r="V812">
        <f t="shared" si="12"/>
        <v>217</v>
      </c>
    </row>
    <row r="813" spans="1:22" ht="13" x14ac:dyDescent="0.15">
      <c r="A813" s="4">
        <v>44776</v>
      </c>
      <c r="B813" s="5">
        <v>0.56773148148148145</v>
      </c>
      <c r="C813" s="1">
        <v>1599</v>
      </c>
      <c r="D813" s="1">
        <v>13002595</v>
      </c>
      <c r="E813" s="1">
        <v>13</v>
      </c>
      <c r="F813" s="1">
        <v>22589</v>
      </c>
      <c r="G813" s="1" t="s">
        <v>21</v>
      </c>
      <c r="H813" s="1">
        <v>18</v>
      </c>
      <c r="I813" s="1">
        <v>157498</v>
      </c>
      <c r="J813" s="1" t="s">
        <v>833</v>
      </c>
      <c r="K813" s="1" t="s">
        <v>34</v>
      </c>
      <c r="L813" s="1" t="s">
        <v>125</v>
      </c>
      <c r="M813" s="1">
        <v>1</v>
      </c>
      <c r="N813" s="2">
        <v>161.84</v>
      </c>
      <c r="O813" s="3">
        <v>222</v>
      </c>
      <c r="P813" s="1">
        <v>0</v>
      </c>
      <c r="Q813" s="1" t="s">
        <v>25</v>
      </c>
      <c r="R813" s="1" t="s">
        <v>25</v>
      </c>
      <c r="S813" s="1">
        <v>29</v>
      </c>
      <c r="T813" s="1">
        <v>1</v>
      </c>
      <c r="U813" s="1">
        <v>2</v>
      </c>
      <c r="V813">
        <f t="shared" si="12"/>
        <v>222</v>
      </c>
    </row>
    <row r="814" spans="1:22" ht="13" x14ac:dyDescent="0.15">
      <c r="A814" s="4">
        <v>44776</v>
      </c>
      <c r="B814" s="5">
        <v>0.56918981481481479</v>
      </c>
      <c r="C814" s="1">
        <v>1600</v>
      </c>
      <c r="D814" s="1">
        <v>13002595</v>
      </c>
      <c r="E814" s="1">
        <v>13</v>
      </c>
      <c r="F814" s="1">
        <v>22589</v>
      </c>
      <c r="G814" s="1" t="s">
        <v>21</v>
      </c>
      <c r="H814" s="1">
        <v>15</v>
      </c>
      <c r="I814" s="1">
        <v>6402</v>
      </c>
      <c r="J814" s="1" t="s">
        <v>468</v>
      </c>
      <c r="K814" s="1" t="s">
        <v>45</v>
      </c>
      <c r="L814" s="1" t="s">
        <v>76</v>
      </c>
      <c r="M814" s="1">
        <v>2</v>
      </c>
      <c r="N814" s="2">
        <v>18.18</v>
      </c>
      <c r="O814" s="3">
        <v>30</v>
      </c>
      <c r="P814" s="1">
        <v>6</v>
      </c>
      <c r="Q814" s="1">
        <v>939</v>
      </c>
      <c r="R814" s="1">
        <v>200000000042</v>
      </c>
      <c r="S814" s="1">
        <v>29</v>
      </c>
      <c r="T814" s="1">
        <v>1</v>
      </c>
      <c r="U814" s="1">
        <v>4</v>
      </c>
      <c r="V814">
        <f t="shared" si="12"/>
        <v>60</v>
      </c>
    </row>
    <row r="815" spans="1:22" ht="13" x14ac:dyDescent="0.15">
      <c r="A815" s="4">
        <v>44776</v>
      </c>
      <c r="B815" s="5">
        <v>0.73636574074074079</v>
      </c>
      <c r="C815" s="1">
        <v>1638</v>
      </c>
      <c r="D815" s="1">
        <v>13002595</v>
      </c>
      <c r="E815" s="1">
        <v>13</v>
      </c>
      <c r="F815" s="1">
        <v>22589</v>
      </c>
      <c r="G815" s="1" t="s">
        <v>21</v>
      </c>
      <c r="H815" s="1">
        <v>18</v>
      </c>
      <c r="I815" s="1">
        <v>6402</v>
      </c>
      <c r="J815" s="1" t="s">
        <v>468</v>
      </c>
      <c r="K815" s="1" t="s">
        <v>45</v>
      </c>
      <c r="L815" s="1" t="s">
        <v>76</v>
      </c>
      <c r="M815" s="1">
        <v>1</v>
      </c>
      <c r="N815" s="2">
        <v>18.18</v>
      </c>
      <c r="O815" s="3">
        <v>30</v>
      </c>
      <c r="P815" s="1">
        <v>3</v>
      </c>
      <c r="Q815" s="1">
        <v>939</v>
      </c>
      <c r="R815" s="1">
        <v>200000000042</v>
      </c>
      <c r="S815" s="1">
        <v>29</v>
      </c>
      <c r="T815" s="1">
        <v>1</v>
      </c>
      <c r="U815" s="1">
        <v>4</v>
      </c>
      <c r="V815">
        <f t="shared" si="12"/>
        <v>30</v>
      </c>
    </row>
    <row r="816" spans="1:22" ht="13" x14ac:dyDescent="0.15">
      <c r="A816" s="4">
        <v>44776</v>
      </c>
      <c r="B816" s="5">
        <v>0.56918981481481479</v>
      </c>
      <c r="C816" s="1">
        <v>1600</v>
      </c>
      <c r="D816" s="1">
        <v>13002595</v>
      </c>
      <c r="E816" s="1">
        <v>13</v>
      </c>
      <c r="F816" s="1">
        <v>22589</v>
      </c>
      <c r="G816" s="1" t="s">
        <v>21</v>
      </c>
      <c r="H816" s="1">
        <v>15</v>
      </c>
      <c r="I816" s="1">
        <v>260840</v>
      </c>
      <c r="J816" s="1" t="s">
        <v>358</v>
      </c>
      <c r="K816" s="1" t="s">
        <v>51</v>
      </c>
      <c r="L816" s="1" t="s">
        <v>167</v>
      </c>
      <c r="M816" s="1">
        <v>1</v>
      </c>
      <c r="N816" s="2">
        <v>9.66</v>
      </c>
      <c r="O816" s="3">
        <v>16</v>
      </c>
      <c r="P816" s="1">
        <v>0</v>
      </c>
      <c r="Q816" s="1" t="s">
        <v>25</v>
      </c>
      <c r="R816" s="1" t="s">
        <v>25</v>
      </c>
      <c r="S816" s="1">
        <v>29</v>
      </c>
      <c r="T816" s="1">
        <v>1</v>
      </c>
      <c r="U816" s="1">
        <v>2</v>
      </c>
      <c r="V816">
        <f t="shared" si="12"/>
        <v>16</v>
      </c>
    </row>
    <row r="817" spans="1:22" ht="13" x14ac:dyDescent="0.15">
      <c r="A817" s="4">
        <v>44776</v>
      </c>
      <c r="B817" s="5">
        <v>0.56918981481481479</v>
      </c>
      <c r="C817" s="1">
        <v>1600</v>
      </c>
      <c r="D817" s="1">
        <v>13002595</v>
      </c>
      <c r="E817" s="1">
        <v>13</v>
      </c>
      <c r="F817" s="1">
        <v>22589</v>
      </c>
      <c r="G817" s="1" t="s">
        <v>21</v>
      </c>
      <c r="H817" s="1">
        <v>15</v>
      </c>
      <c r="I817" s="1">
        <v>564766</v>
      </c>
      <c r="J817" s="1" t="s">
        <v>834</v>
      </c>
      <c r="K817" s="1" t="s">
        <v>64</v>
      </c>
      <c r="L817" s="1" t="s">
        <v>509</v>
      </c>
      <c r="M817" s="1">
        <v>1</v>
      </c>
      <c r="N817" s="2">
        <v>6.44</v>
      </c>
      <c r="O817" s="3">
        <v>11</v>
      </c>
      <c r="P817" s="1">
        <v>0</v>
      </c>
      <c r="Q817" s="1" t="s">
        <v>25</v>
      </c>
      <c r="R817" s="1" t="s">
        <v>25</v>
      </c>
      <c r="S817" s="1">
        <v>29</v>
      </c>
      <c r="T817" s="1">
        <v>1</v>
      </c>
      <c r="U817" s="1">
        <v>3</v>
      </c>
      <c r="V817">
        <f t="shared" si="12"/>
        <v>11</v>
      </c>
    </row>
    <row r="818" spans="1:22" ht="13" x14ac:dyDescent="0.15">
      <c r="A818" s="4">
        <v>44776</v>
      </c>
      <c r="B818" s="5">
        <v>0.56918981481481479</v>
      </c>
      <c r="C818" s="1">
        <v>1600</v>
      </c>
      <c r="D818" s="1">
        <v>13002595</v>
      </c>
      <c r="E818" s="1">
        <v>13</v>
      </c>
      <c r="F818" s="1">
        <v>22589</v>
      </c>
      <c r="G818" s="1" t="s">
        <v>21</v>
      </c>
      <c r="H818" s="1">
        <v>15</v>
      </c>
      <c r="I818" s="1">
        <v>83202</v>
      </c>
      <c r="J818" s="1" t="s">
        <v>835</v>
      </c>
      <c r="K818" s="1" t="s">
        <v>51</v>
      </c>
      <c r="L818" s="1" t="s">
        <v>836</v>
      </c>
      <c r="M818" s="1">
        <v>1</v>
      </c>
      <c r="N818" s="2">
        <v>74.8</v>
      </c>
      <c r="O818" s="3">
        <v>118</v>
      </c>
      <c r="P818" s="1">
        <v>0</v>
      </c>
      <c r="Q818" s="1" t="s">
        <v>25</v>
      </c>
      <c r="R818" s="1" t="s">
        <v>25</v>
      </c>
      <c r="S818" s="1">
        <v>29</v>
      </c>
      <c r="T818" s="1">
        <v>1</v>
      </c>
      <c r="U818" s="1">
        <v>1</v>
      </c>
      <c r="V818">
        <f t="shared" si="12"/>
        <v>118</v>
      </c>
    </row>
    <row r="819" spans="1:22" ht="13" x14ac:dyDescent="0.15">
      <c r="A819" s="4">
        <v>44776</v>
      </c>
      <c r="B819" s="5">
        <v>0.56975694444444447</v>
      </c>
      <c r="C819" s="1">
        <v>1601</v>
      </c>
      <c r="D819" s="1">
        <v>13002595</v>
      </c>
      <c r="E819" s="1">
        <v>13</v>
      </c>
      <c r="F819" s="1">
        <v>22589</v>
      </c>
      <c r="G819" s="1" t="s">
        <v>21</v>
      </c>
      <c r="H819" s="1">
        <v>15</v>
      </c>
      <c r="I819" s="1">
        <v>463100</v>
      </c>
      <c r="J819" s="1" t="s">
        <v>411</v>
      </c>
      <c r="K819" s="1" t="s">
        <v>51</v>
      </c>
      <c r="L819" s="1" t="s">
        <v>35</v>
      </c>
      <c r="M819" s="1">
        <v>1</v>
      </c>
      <c r="N819" s="2">
        <v>47.5</v>
      </c>
      <c r="O819" s="3">
        <v>73</v>
      </c>
      <c r="P819" s="1">
        <v>0</v>
      </c>
      <c r="Q819" s="1" t="s">
        <v>25</v>
      </c>
      <c r="R819" s="1" t="s">
        <v>25</v>
      </c>
      <c r="S819" s="1">
        <v>29</v>
      </c>
      <c r="T819" s="1">
        <v>1</v>
      </c>
      <c r="U819" s="1">
        <v>1</v>
      </c>
      <c r="V819">
        <f t="shared" si="12"/>
        <v>73</v>
      </c>
    </row>
    <row r="820" spans="1:22" ht="13" x14ac:dyDescent="0.15">
      <c r="A820" s="4">
        <v>44776</v>
      </c>
      <c r="B820" s="5">
        <v>0.73636574074074079</v>
      </c>
      <c r="C820" s="1">
        <v>1638</v>
      </c>
      <c r="D820" s="1">
        <v>13002595</v>
      </c>
      <c r="E820" s="1">
        <v>13</v>
      </c>
      <c r="F820" s="1">
        <v>22589</v>
      </c>
      <c r="G820" s="1" t="s">
        <v>21</v>
      </c>
      <c r="H820" s="1">
        <v>18</v>
      </c>
      <c r="I820" s="1">
        <v>463100</v>
      </c>
      <c r="J820" s="1" t="s">
        <v>411</v>
      </c>
      <c r="K820" s="1" t="s">
        <v>51</v>
      </c>
      <c r="L820" s="1" t="s">
        <v>35</v>
      </c>
      <c r="M820" s="1">
        <v>1</v>
      </c>
      <c r="N820" s="2">
        <v>47.5</v>
      </c>
      <c r="O820" s="3">
        <v>73</v>
      </c>
      <c r="P820" s="1">
        <v>0</v>
      </c>
      <c r="Q820" s="1" t="s">
        <v>25</v>
      </c>
      <c r="R820" s="1" t="s">
        <v>25</v>
      </c>
      <c r="S820" s="1">
        <v>29</v>
      </c>
      <c r="T820" s="1">
        <v>1</v>
      </c>
      <c r="U820" s="1">
        <v>2</v>
      </c>
      <c r="V820">
        <f t="shared" si="12"/>
        <v>73</v>
      </c>
    </row>
    <row r="821" spans="1:22" ht="13" x14ac:dyDescent="0.15">
      <c r="A821" s="4">
        <v>44776</v>
      </c>
      <c r="B821" s="5">
        <v>0.57062500000000005</v>
      </c>
      <c r="C821" s="1">
        <v>1602</v>
      </c>
      <c r="D821" s="1">
        <v>13002595</v>
      </c>
      <c r="E821" s="1">
        <v>13</v>
      </c>
      <c r="F821" s="1">
        <v>22589</v>
      </c>
      <c r="G821" s="1" t="s">
        <v>21</v>
      </c>
      <c r="H821" s="1">
        <v>18</v>
      </c>
      <c r="I821" s="1">
        <v>418039</v>
      </c>
      <c r="J821" s="1" t="s">
        <v>702</v>
      </c>
      <c r="K821" s="1" t="s">
        <v>23</v>
      </c>
      <c r="L821" s="1" t="s">
        <v>703</v>
      </c>
      <c r="M821" s="1">
        <v>1</v>
      </c>
      <c r="N821" s="2">
        <v>257.92</v>
      </c>
      <c r="O821" s="3">
        <v>349</v>
      </c>
      <c r="P821" s="1">
        <v>24</v>
      </c>
      <c r="Q821" s="1">
        <v>9</v>
      </c>
      <c r="R821" s="1">
        <v>200010023583</v>
      </c>
      <c r="S821" s="1">
        <v>29</v>
      </c>
      <c r="T821" s="1">
        <v>1</v>
      </c>
      <c r="U821" s="1">
        <v>2</v>
      </c>
      <c r="V821">
        <f t="shared" si="12"/>
        <v>349</v>
      </c>
    </row>
    <row r="822" spans="1:22" ht="13" x14ac:dyDescent="0.15">
      <c r="A822" s="4">
        <v>44776</v>
      </c>
      <c r="B822" s="5">
        <v>0.57062500000000005</v>
      </c>
      <c r="C822" s="1">
        <v>1602</v>
      </c>
      <c r="D822" s="1">
        <v>13002595</v>
      </c>
      <c r="E822" s="1">
        <v>13</v>
      </c>
      <c r="F822" s="1">
        <v>22589</v>
      </c>
      <c r="G822" s="1" t="s">
        <v>21</v>
      </c>
      <c r="H822" s="1">
        <v>18</v>
      </c>
      <c r="I822" s="1">
        <v>384267</v>
      </c>
      <c r="J822" s="1" t="s">
        <v>385</v>
      </c>
      <c r="K822" s="1" t="s">
        <v>29</v>
      </c>
      <c r="L822" s="1" t="s">
        <v>35</v>
      </c>
      <c r="M822" s="1">
        <v>1</v>
      </c>
      <c r="N822" s="2">
        <v>256.69</v>
      </c>
      <c r="O822" s="3">
        <v>347</v>
      </c>
      <c r="P822" s="1">
        <v>24</v>
      </c>
      <c r="Q822" s="1">
        <v>9</v>
      </c>
      <c r="R822" s="1">
        <v>200010023583</v>
      </c>
      <c r="S822" s="1">
        <v>29</v>
      </c>
      <c r="T822" s="1">
        <v>1</v>
      </c>
      <c r="U822" s="1">
        <v>1</v>
      </c>
      <c r="V822">
        <f t="shared" si="12"/>
        <v>347</v>
      </c>
    </row>
    <row r="823" spans="1:22" ht="13" x14ac:dyDescent="0.15">
      <c r="A823" s="4">
        <v>44776</v>
      </c>
      <c r="B823" s="5">
        <v>0.57207175925925924</v>
      </c>
      <c r="C823" s="1">
        <v>1603</v>
      </c>
      <c r="D823" s="1">
        <v>13002595</v>
      </c>
      <c r="E823" s="1">
        <v>13</v>
      </c>
      <c r="F823" s="1">
        <v>22589</v>
      </c>
      <c r="G823" s="1" t="s">
        <v>21</v>
      </c>
      <c r="H823" s="1">
        <v>18</v>
      </c>
      <c r="I823" s="1">
        <v>298572</v>
      </c>
      <c r="J823" s="1" t="s">
        <v>837</v>
      </c>
      <c r="K823" s="1" t="s">
        <v>51</v>
      </c>
      <c r="L823" s="1" t="s">
        <v>80</v>
      </c>
      <c r="M823" s="1">
        <v>1</v>
      </c>
      <c r="N823" s="2">
        <v>351.42</v>
      </c>
      <c r="O823" s="3">
        <v>517</v>
      </c>
      <c r="P823" s="1">
        <v>51</v>
      </c>
      <c r="Q823" s="1">
        <v>9</v>
      </c>
      <c r="R823" s="1">
        <v>200010001680</v>
      </c>
      <c r="S823" s="1">
        <v>29</v>
      </c>
      <c r="T823" s="1">
        <v>1</v>
      </c>
      <c r="U823" s="1">
        <v>1</v>
      </c>
      <c r="V823">
        <f t="shared" si="12"/>
        <v>517</v>
      </c>
    </row>
    <row r="824" spans="1:22" ht="13" x14ac:dyDescent="0.15">
      <c r="A824" s="4">
        <v>44776</v>
      </c>
      <c r="B824" s="5">
        <v>0.57207175925925924</v>
      </c>
      <c r="C824" s="1">
        <v>1603</v>
      </c>
      <c r="D824" s="1">
        <v>13002595</v>
      </c>
      <c r="E824" s="1">
        <v>13</v>
      </c>
      <c r="F824" s="1">
        <v>22589</v>
      </c>
      <c r="G824" s="1" t="s">
        <v>21</v>
      </c>
      <c r="H824" s="1">
        <v>18</v>
      </c>
      <c r="I824" s="1">
        <v>298573</v>
      </c>
      <c r="J824" s="1" t="s">
        <v>838</v>
      </c>
      <c r="K824" s="1" t="s">
        <v>51</v>
      </c>
      <c r="L824" s="1" t="s">
        <v>80</v>
      </c>
      <c r="M824" s="1">
        <v>1</v>
      </c>
      <c r="N824" s="2">
        <v>319.07</v>
      </c>
      <c r="O824" s="3">
        <v>470</v>
      </c>
      <c r="P824" s="1">
        <v>47</v>
      </c>
      <c r="Q824" s="1">
        <v>9</v>
      </c>
      <c r="R824" s="1">
        <v>200010001680</v>
      </c>
      <c r="S824" s="1">
        <v>29</v>
      </c>
      <c r="T824" s="1">
        <v>1</v>
      </c>
      <c r="U824" s="1">
        <v>2</v>
      </c>
      <c r="V824">
        <f t="shared" si="12"/>
        <v>470</v>
      </c>
    </row>
    <row r="825" spans="1:22" ht="13" x14ac:dyDescent="0.15">
      <c r="A825" s="4">
        <v>44776</v>
      </c>
      <c r="B825" s="5">
        <v>0.57721064814814815</v>
      </c>
      <c r="C825" s="1">
        <v>1605</v>
      </c>
      <c r="D825" s="1">
        <v>13002595</v>
      </c>
      <c r="E825" s="1">
        <v>13</v>
      </c>
      <c r="F825" s="1">
        <v>22589</v>
      </c>
      <c r="G825" s="1" t="s">
        <v>21</v>
      </c>
      <c r="H825" s="1">
        <v>18</v>
      </c>
      <c r="I825" s="1">
        <v>23971</v>
      </c>
      <c r="J825" s="1" t="s">
        <v>839</v>
      </c>
      <c r="K825" s="1" t="s">
        <v>51</v>
      </c>
      <c r="L825" s="1" t="s">
        <v>840</v>
      </c>
      <c r="M825" s="1">
        <v>1</v>
      </c>
      <c r="N825" s="2">
        <v>1095.5999999999999</v>
      </c>
      <c r="O825" s="3">
        <v>1206</v>
      </c>
      <c r="P825" s="1">
        <v>0</v>
      </c>
      <c r="Q825" s="1" t="s">
        <v>25</v>
      </c>
      <c r="R825" s="1" t="s">
        <v>25</v>
      </c>
      <c r="S825" s="1">
        <v>29</v>
      </c>
      <c r="T825" s="1">
        <v>1</v>
      </c>
      <c r="U825" s="1">
        <v>6</v>
      </c>
      <c r="V825">
        <f t="shared" si="12"/>
        <v>1206</v>
      </c>
    </row>
    <row r="826" spans="1:22" ht="13" x14ac:dyDescent="0.15">
      <c r="A826" s="4">
        <v>44776</v>
      </c>
      <c r="B826" s="5">
        <v>0.57721064814814815</v>
      </c>
      <c r="C826" s="1">
        <v>1605</v>
      </c>
      <c r="D826" s="1">
        <v>13002595</v>
      </c>
      <c r="E826" s="1">
        <v>13</v>
      </c>
      <c r="F826" s="1">
        <v>22589</v>
      </c>
      <c r="G826" s="1" t="s">
        <v>21</v>
      </c>
      <c r="H826" s="1">
        <v>18</v>
      </c>
      <c r="I826" s="1">
        <v>47647</v>
      </c>
      <c r="J826" s="1" t="s">
        <v>841</v>
      </c>
      <c r="K826" s="1" t="s">
        <v>34</v>
      </c>
      <c r="L826" s="1" t="s">
        <v>842</v>
      </c>
      <c r="M826" s="1">
        <v>1</v>
      </c>
      <c r="N826" s="2">
        <v>562.03</v>
      </c>
      <c r="O826" s="3">
        <v>726</v>
      </c>
      <c r="P826" s="1">
        <v>0</v>
      </c>
      <c r="Q826" s="1" t="s">
        <v>25</v>
      </c>
      <c r="R826" s="1" t="s">
        <v>25</v>
      </c>
      <c r="S826" s="1">
        <v>29</v>
      </c>
      <c r="T826" s="1">
        <v>1</v>
      </c>
      <c r="U826" s="1">
        <v>1</v>
      </c>
      <c r="V826">
        <f t="shared" si="12"/>
        <v>726</v>
      </c>
    </row>
    <row r="827" spans="1:22" ht="13" x14ac:dyDescent="0.15">
      <c r="A827" s="4">
        <v>44776</v>
      </c>
      <c r="B827" s="5">
        <v>0.57721064814814815</v>
      </c>
      <c r="C827" s="1">
        <v>1605</v>
      </c>
      <c r="D827" s="1">
        <v>13002595</v>
      </c>
      <c r="E827" s="1">
        <v>13</v>
      </c>
      <c r="F827" s="1">
        <v>22589</v>
      </c>
      <c r="G827" s="1" t="s">
        <v>21</v>
      </c>
      <c r="H827" s="1">
        <v>18</v>
      </c>
      <c r="I827" s="1">
        <v>153278</v>
      </c>
      <c r="J827" s="1" t="s">
        <v>843</v>
      </c>
      <c r="K827" s="1" t="s">
        <v>23</v>
      </c>
      <c r="L827" s="1" t="s">
        <v>844</v>
      </c>
      <c r="M827" s="1">
        <v>1</v>
      </c>
      <c r="N827" s="2">
        <v>255.76</v>
      </c>
      <c r="O827" s="3">
        <v>313</v>
      </c>
      <c r="P827" s="1">
        <v>0</v>
      </c>
      <c r="Q827" s="1" t="s">
        <v>25</v>
      </c>
      <c r="R827" s="1" t="s">
        <v>25</v>
      </c>
      <c r="S827" s="1">
        <v>29</v>
      </c>
      <c r="T827" s="1">
        <v>1</v>
      </c>
      <c r="U827" s="1">
        <v>2</v>
      </c>
      <c r="V827">
        <f t="shared" si="12"/>
        <v>313</v>
      </c>
    </row>
    <row r="828" spans="1:22" ht="13" x14ac:dyDescent="0.15">
      <c r="A828" s="4">
        <v>44776</v>
      </c>
      <c r="B828" s="5">
        <v>0.57721064814814815</v>
      </c>
      <c r="C828" s="1">
        <v>1605</v>
      </c>
      <c r="D828" s="1">
        <v>13002595</v>
      </c>
      <c r="E828" s="1">
        <v>13</v>
      </c>
      <c r="F828" s="1">
        <v>22589</v>
      </c>
      <c r="G828" s="1" t="s">
        <v>21</v>
      </c>
      <c r="H828" s="1">
        <v>18</v>
      </c>
      <c r="I828" s="1">
        <v>345211</v>
      </c>
      <c r="J828" s="1" t="s">
        <v>92</v>
      </c>
      <c r="K828" s="1" t="s">
        <v>51</v>
      </c>
      <c r="L828" s="1" t="s">
        <v>93</v>
      </c>
      <c r="M828" s="1">
        <v>1</v>
      </c>
      <c r="N828" s="2">
        <v>25.71</v>
      </c>
      <c r="O828" s="3">
        <v>31</v>
      </c>
      <c r="P828" s="1">
        <v>0</v>
      </c>
      <c r="Q828" s="1" t="s">
        <v>25</v>
      </c>
      <c r="R828" s="1" t="s">
        <v>25</v>
      </c>
      <c r="S828" s="1">
        <v>29</v>
      </c>
      <c r="T828" s="1">
        <v>1</v>
      </c>
      <c r="U828" s="1">
        <v>3</v>
      </c>
      <c r="V828">
        <f t="shared" si="12"/>
        <v>31</v>
      </c>
    </row>
    <row r="829" spans="1:22" ht="13" x14ac:dyDescent="0.15">
      <c r="A829" s="4">
        <v>44776</v>
      </c>
      <c r="B829" s="5">
        <v>0.57721064814814815</v>
      </c>
      <c r="C829" s="1">
        <v>1605</v>
      </c>
      <c r="D829" s="1">
        <v>13002595</v>
      </c>
      <c r="E829" s="1">
        <v>13</v>
      </c>
      <c r="F829" s="1">
        <v>22589</v>
      </c>
      <c r="G829" s="1" t="s">
        <v>21</v>
      </c>
      <c r="H829" s="1">
        <v>18</v>
      </c>
      <c r="I829" s="1">
        <v>101272</v>
      </c>
      <c r="J829" s="1" t="s">
        <v>845</v>
      </c>
      <c r="K829" s="1" t="s">
        <v>51</v>
      </c>
      <c r="L829" s="1" t="s">
        <v>756</v>
      </c>
      <c r="M829" s="1">
        <v>1</v>
      </c>
      <c r="N829" s="2">
        <v>557.91999999999996</v>
      </c>
      <c r="O829" s="3">
        <v>720</v>
      </c>
      <c r="P829" s="1">
        <v>0</v>
      </c>
      <c r="Q829" s="1" t="s">
        <v>25</v>
      </c>
      <c r="R829" s="1" t="s">
        <v>25</v>
      </c>
      <c r="S829" s="1">
        <v>29</v>
      </c>
      <c r="T829" s="1">
        <v>1</v>
      </c>
      <c r="U829" s="1">
        <v>4</v>
      </c>
      <c r="V829">
        <f t="shared" si="12"/>
        <v>720</v>
      </c>
    </row>
    <row r="830" spans="1:22" ht="13" x14ac:dyDescent="0.15">
      <c r="A830" s="4">
        <v>44776</v>
      </c>
      <c r="B830" s="5">
        <v>0.57721064814814815</v>
      </c>
      <c r="C830" s="1">
        <v>1605</v>
      </c>
      <c r="D830" s="1">
        <v>13002595</v>
      </c>
      <c r="E830" s="1">
        <v>13</v>
      </c>
      <c r="F830" s="1">
        <v>22589</v>
      </c>
      <c r="G830" s="1" t="s">
        <v>21</v>
      </c>
      <c r="H830" s="1">
        <v>18</v>
      </c>
      <c r="I830" s="1">
        <v>1261</v>
      </c>
      <c r="J830" s="1" t="s">
        <v>846</v>
      </c>
      <c r="K830" s="1" t="s">
        <v>51</v>
      </c>
      <c r="L830" s="1" t="s">
        <v>297</v>
      </c>
      <c r="M830" s="1">
        <v>1</v>
      </c>
      <c r="N830" s="2">
        <v>67.510000000000005</v>
      </c>
      <c r="O830" s="3">
        <v>84</v>
      </c>
      <c r="P830" s="1">
        <v>0</v>
      </c>
      <c r="Q830" s="1" t="s">
        <v>25</v>
      </c>
      <c r="R830" s="1" t="s">
        <v>25</v>
      </c>
      <c r="S830" s="1">
        <v>29</v>
      </c>
      <c r="T830" s="1">
        <v>1</v>
      </c>
      <c r="U830" s="1">
        <v>5</v>
      </c>
      <c r="V830">
        <f t="shared" si="12"/>
        <v>84</v>
      </c>
    </row>
    <row r="831" spans="1:22" ht="13" x14ac:dyDescent="0.15">
      <c r="A831" s="4">
        <v>44776</v>
      </c>
      <c r="B831" s="5">
        <v>0.58226851851851846</v>
      </c>
      <c r="C831" s="1">
        <v>1606</v>
      </c>
      <c r="D831" s="1">
        <v>13002595</v>
      </c>
      <c r="E831" s="1">
        <v>13</v>
      </c>
      <c r="F831" s="1">
        <v>22589</v>
      </c>
      <c r="G831" s="1" t="s">
        <v>21</v>
      </c>
      <c r="H831" s="1">
        <v>18</v>
      </c>
      <c r="I831" s="1">
        <v>343815</v>
      </c>
      <c r="J831" s="1" t="s">
        <v>847</v>
      </c>
      <c r="K831" s="1" t="s">
        <v>58</v>
      </c>
      <c r="L831" s="1" t="s">
        <v>93</v>
      </c>
      <c r="M831" s="1">
        <v>1</v>
      </c>
      <c r="N831" s="2">
        <v>65.2</v>
      </c>
      <c r="O831" s="3">
        <v>84</v>
      </c>
      <c r="P831" s="1">
        <v>4</v>
      </c>
      <c r="Q831" s="1">
        <v>9</v>
      </c>
      <c r="R831" s="1">
        <v>200010020729</v>
      </c>
      <c r="S831" s="1">
        <v>29</v>
      </c>
      <c r="T831" s="1">
        <v>1</v>
      </c>
      <c r="U831" s="1">
        <v>1</v>
      </c>
      <c r="V831">
        <f t="shared" si="12"/>
        <v>84</v>
      </c>
    </row>
    <row r="832" spans="1:22" ht="13" x14ac:dyDescent="0.15">
      <c r="A832" s="4">
        <v>44776</v>
      </c>
      <c r="B832" s="5">
        <v>0.58226851851851846</v>
      </c>
      <c r="C832" s="1">
        <v>1606</v>
      </c>
      <c r="D832" s="1">
        <v>13002595</v>
      </c>
      <c r="E832" s="1">
        <v>13</v>
      </c>
      <c r="F832" s="1">
        <v>22589</v>
      </c>
      <c r="G832" s="1" t="s">
        <v>21</v>
      </c>
      <c r="H832" s="1">
        <v>18</v>
      </c>
      <c r="I832" s="1">
        <v>343815</v>
      </c>
      <c r="J832" s="1" t="s">
        <v>847</v>
      </c>
      <c r="K832" s="1" t="s">
        <v>58</v>
      </c>
      <c r="L832" s="1" t="s">
        <v>93</v>
      </c>
      <c r="M832" s="1">
        <v>1</v>
      </c>
      <c r="N832" s="2">
        <v>65.2</v>
      </c>
      <c r="O832" s="3">
        <v>84</v>
      </c>
      <c r="P832" s="1">
        <v>4</v>
      </c>
      <c r="Q832" s="1">
        <v>9</v>
      </c>
      <c r="R832" s="1">
        <v>200010020729</v>
      </c>
      <c r="S832" s="1">
        <v>29</v>
      </c>
      <c r="T832" s="1">
        <v>1</v>
      </c>
      <c r="U832" s="1">
        <v>2</v>
      </c>
      <c r="V832">
        <f t="shared" si="12"/>
        <v>84</v>
      </c>
    </row>
    <row r="833" spans="1:22" ht="13" x14ac:dyDescent="0.15">
      <c r="A833" s="4">
        <v>44776</v>
      </c>
      <c r="B833" s="5">
        <v>0.58226851851851846</v>
      </c>
      <c r="C833" s="1">
        <v>1606</v>
      </c>
      <c r="D833" s="1">
        <v>13002595</v>
      </c>
      <c r="E833" s="1">
        <v>13</v>
      </c>
      <c r="F833" s="1">
        <v>22589</v>
      </c>
      <c r="G833" s="1" t="s">
        <v>21</v>
      </c>
      <c r="H833" s="1">
        <v>18</v>
      </c>
      <c r="I833" s="1">
        <v>493753</v>
      </c>
      <c r="J833" s="1" t="s">
        <v>848</v>
      </c>
      <c r="K833" s="1" t="s">
        <v>51</v>
      </c>
      <c r="L833" s="1" t="s">
        <v>849</v>
      </c>
      <c r="M833" s="1">
        <v>1</v>
      </c>
      <c r="N833" s="2">
        <v>488.41</v>
      </c>
      <c r="O833" s="3">
        <v>562</v>
      </c>
      <c r="P833" s="1">
        <v>56</v>
      </c>
      <c r="Q833" s="1">
        <v>9</v>
      </c>
      <c r="R833" s="1">
        <v>200010020729</v>
      </c>
      <c r="S833" s="1">
        <v>29</v>
      </c>
      <c r="T833" s="1">
        <v>1</v>
      </c>
      <c r="U833" s="1">
        <v>3</v>
      </c>
      <c r="V833">
        <f t="shared" si="12"/>
        <v>562</v>
      </c>
    </row>
    <row r="834" spans="1:22" ht="13" x14ac:dyDescent="0.15">
      <c r="A834" s="4">
        <v>44776</v>
      </c>
      <c r="B834" s="5">
        <v>0.58453703703703708</v>
      </c>
      <c r="C834" s="1">
        <v>1607</v>
      </c>
      <c r="D834" s="1">
        <v>13002595</v>
      </c>
      <c r="E834" s="1">
        <v>13</v>
      </c>
      <c r="F834" s="1">
        <v>22589</v>
      </c>
      <c r="G834" s="1" t="s">
        <v>21</v>
      </c>
      <c r="H834" s="1">
        <v>15</v>
      </c>
      <c r="I834" s="1">
        <v>290468</v>
      </c>
      <c r="J834" s="1" t="s">
        <v>850</v>
      </c>
      <c r="K834" s="1" t="s">
        <v>51</v>
      </c>
      <c r="L834" s="1" t="s">
        <v>297</v>
      </c>
      <c r="M834" s="1">
        <v>1</v>
      </c>
      <c r="N834" s="2">
        <v>267.45</v>
      </c>
      <c r="O834" s="3">
        <v>362</v>
      </c>
      <c r="P834" s="1">
        <v>25</v>
      </c>
      <c r="Q834" s="1">
        <v>9</v>
      </c>
      <c r="R834" s="1">
        <v>200010016178</v>
      </c>
      <c r="S834" s="1">
        <v>29</v>
      </c>
      <c r="T834" s="1">
        <v>1</v>
      </c>
      <c r="U834" s="1">
        <v>1</v>
      </c>
      <c r="V834">
        <f t="shared" si="12"/>
        <v>362</v>
      </c>
    </row>
    <row r="835" spans="1:22" ht="13" x14ac:dyDescent="0.15">
      <c r="A835" s="4">
        <v>44776</v>
      </c>
      <c r="B835" s="5">
        <v>0.5942708333333333</v>
      </c>
      <c r="C835" s="1">
        <v>1608</v>
      </c>
      <c r="D835" s="1">
        <v>13002595</v>
      </c>
      <c r="E835" s="1">
        <v>13</v>
      </c>
      <c r="F835" s="1">
        <v>22589</v>
      </c>
      <c r="G835" s="1" t="s">
        <v>21</v>
      </c>
      <c r="H835" s="1">
        <v>18</v>
      </c>
      <c r="I835" s="1">
        <v>2448</v>
      </c>
      <c r="J835" s="1" t="s">
        <v>851</v>
      </c>
      <c r="K835" s="1" t="s">
        <v>23</v>
      </c>
      <c r="L835" s="1" t="s">
        <v>852</v>
      </c>
      <c r="M835" s="1">
        <v>1</v>
      </c>
      <c r="N835" s="2">
        <v>155.83000000000001</v>
      </c>
      <c r="O835" s="3">
        <v>214</v>
      </c>
      <c r="P835" s="1">
        <v>14</v>
      </c>
      <c r="Q835" s="1">
        <v>9</v>
      </c>
      <c r="R835" s="1">
        <v>200010020930</v>
      </c>
      <c r="S835" s="1">
        <v>29</v>
      </c>
      <c r="T835" s="1">
        <v>1</v>
      </c>
      <c r="U835" s="1">
        <v>2</v>
      </c>
      <c r="V835">
        <f t="shared" ref="V835:V898" si="13">O835*M835</f>
        <v>214</v>
      </c>
    </row>
    <row r="836" spans="1:22" ht="13" x14ac:dyDescent="0.15">
      <c r="A836" s="4">
        <v>44776</v>
      </c>
      <c r="B836" s="5">
        <v>0.5942708333333333</v>
      </c>
      <c r="C836" s="1">
        <v>1608</v>
      </c>
      <c r="D836" s="1">
        <v>13002595</v>
      </c>
      <c r="E836" s="1">
        <v>13</v>
      </c>
      <c r="F836" s="1">
        <v>22589</v>
      </c>
      <c r="G836" s="1" t="s">
        <v>21</v>
      </c>
      <c r="H836" s="1">
        <v>18</v>
      </c>
      <c r="I836" s="1">
        <v>345542</v>
      </c>
      <c r="J836" s="1" t="s">
        <v>384</v>
      </c>
      <c r="K836" s="1" t="s">
        <v>51</v>
      </c>
      <c r="L836" s="1" t="s">
        <v>76</v>
      </c>
      <c r="M836" s="1">
        <v>1</v>
      </c>
      <c r="N836" s="2">
        <v>15.18</v>
      </c>
      <c r="O836" s="3">
        <v>19</v>
      </c>
      <c r="P836" s="1">
        <v>0</v>
      </c>
      <c r="Q836" s="1" t="s">
        <v>25</v>
      </c>
      <c r="R836" s="1" t="s">
        <v>25</v>
      </c>
      <c r="S836" s="1">
        <v>29</v>
      </c>
      <c r="T836" s="1">
        <v>1</v>
      </c>
      <c r="U836" s="1">
        <v>1</v>
      </c>
      <c r="V836">
        <f t="shared" si="13"/>
        <v>19</v>
      </c>
    </row>
    <row r="837" spans="1:22" ht="13" x14ac:dyDescent="0.15">
      <c r="A837" s="4">
        <v>44776</v>
      </c>
      <c r="B837" s="5">
        <v>0.60665509259259254</v>
      </c>
      <c r="C837" s="1">
        <v>1609</v>
      </c>
      <c r="D837" s="1">
        <v>13002595</v>
      </c>
      <c r="E837" s="1">
        <v>13</v>
      </c>
      <c r="F837" s="1">
        <v>22589</v>
      </c>
      <c r="G837" s="1" t="s">
        <v>21</v>
      </c>
      <c r="H837" s="1">
        <v>18</v>
      </c>
      <c r="I837" s="1">
        <v>443168</v>
      </c>
      <c r="J837" s="1" t="s">
        <v>495</v>
      </c>
      <c r="K837" s="1" t="s">
        <v>51</v>
      </c>
      <c r="L837" s="1" t="s">
        <v>52</v>
      </c>
      <c r="M837" s="1">
        <v>1</v>
      </c>
      <c r="N837" s="2">
        <v>69.83</v>
      </c>
      <c r="O837" s="3">
        <v>110</v>
      </c>
      <c r="P837" s="1">
        <v>0</v>
      </c>
      <c r="Q837" s="1" t="s">
        <v>25</v>
      </c>
      <c r="R837" s="1" t="s">
        <v>25</v>
      </c>
      <c r="S837" s="1">
        <v>29</v>
      </c>
      <c r="T837" s="1">
        <v>1</v>
      </c>
      <c r="U837" s="1">
        <v>4</v>
      </c>
      <c r="V837">
        <f t="shared" si="13"/>
        <v>110</v>
      </c>
    </row>
    <row r="838" spans="1:22" ht="13" x14ac:dyDescent="0.15">
      <c r="A838" s="4">
        <v>44776</v>
      </c>
      <c r="B838" s="5">
        <v>0.69087962962962968</v>
      </c>
      <c r="C838" s="1">
        <v>1627</v>
      </c>
      <c r="D838" s="1">
        <v>13002595</v>
      </c>
      <c r="E838" s="1">
        <v>13</v>
      </c>
      <c r="F838" s="1">
        <v>22589</v>
      </c>
      <c r="G838" s="1" t="s">
        <v>21</v>
      </c>
      <c r="H838" s="1">
        <v>18</v>
      </c>
      <c r="I838" s="1">
        <v>443168</v>
      </c>
      <c r="J838" s="1" t="s">
        <v>495</v>
      </c>
      <c r="K838" s="1" t="s">
        <v>51</v>
      </c>
      <c r="L838" s="1" t="s">
        <v>52</v>
      </c>
      <c r="M838" s="1">
        <v>1</v>
      </c>
      <c r="N838" s="2">
        <v>69.83</v>
      </c>
      <c r="O838" s="3">
        <v>110</v>
      </c>
      <c r="P838" s="1">
        <v>11</v>
      </c>
      <c r="Q838" s="1">
        <v>9</v>
      </c>
      <c r="R838" s="1">
        <v>200010006183</v>
      </c>
      <c r="S838" s="1">
        <v>29</v>
      </c>
      <c r="T838" s="1">
        <v>1</v>
      </c>
      <c r="U838" s="1">
        <v>3</v>
      </c>
      <c r="V838">
        <f t="shared" si="13"/>
        <v>110</v>
      </c>
    </row>
    <row r="839" spans="1:22" ht="13" x14ac:dyDescent="0.15">
      <c r="A839" s="4">
        <v>44776</v>
      </c>
      <c r="B839" s="5">
        <v>0.60665509259259254</v>
      </c>
      <c r="C839" s="1">
        <v>1609</v>
      </c>
      <c r="D839" s="1">
        <v>13002595</v>
      </c>
      <c r="E839" s="1">
        <v>13</v>
      </c>
      <c r="F839" s="1">
        <v>22589</v>
      </c>
      <c r="G839" s="1" t="s">
        <v>21</v>
      </c>
      <c r="H839" s="1">
        <v>18</v>
      </c>
      <c r="I839" s="1">
        <v>345914</v>
      </c>
      <c r="J839" s="1" t="s">
        <v>853</v>
      </c>
      <c r="K839" s="1" t="s">
        <v>48</v>
      </c>
      <c r="L839" s="1" t="s">
        <v>173</v>
      </c>
      <c r="M839" s="1">
        <v>1</v>
      </c>
      <c r="N839" s="2">
        <v>27.41</v>
      </c>
      <c r="O839" s="3">
        <v>35</v>
      </c>
      <c r="P839" s="1">
        <v>0</v>
      </c>
      <c r="Q839" s="1" t="s">
        <v>25</v>
      </c>
      <c r="R839" s="1" t="s">
        <v>25</v>
      </c>
      <c r="S839" s="1">
        <v>29</v>
      </c>
      <c r="T839" s="1">
        <v>1</v>
      </c>
      <c r="U839" s="1">
        <v>3</v>
      </c>
      <c r="V839">
        <f t="shared" si="13"/>
        <v>35</v>
      </c>
    </row>
    <row r="840" spans="1:22" ht="13" x14ac:dyDescent="0.15">
      <c r="A840" s="4">
        <v>44776</v>
      </c>
      <c r="B840" s="5">
        <v>0.60665509259259254</v>
      </c>
      <c r="C840" s="1">
        <v>1609</v>
      </c>
      <c r="D840" s="1">
        <v>13002595</v>
      </c>
      <c r="E840" s="1">
        <v>13</v>
      </c>
      <c r="F840" s="1">
        <v>22589</v>
      </c>
      <c r="G840" s="1" t="s">
        <v>21</v>
      </c>
      <c r="H840" s="1">
        <v>18</v>
      </c>
      <c r="I840" s="1">
        <v>343363</v>
      </c>
      <c r="J840" s="1" t="s">
        <v>854</v>
      </c>
      <c r="K840" s="1" t="s">
        <v>34</v>
      </c>
      <c r="L840" s="1" t="s">
        <v>855</v>
      </c>
      <c r="M840" s="1">
        <v>1</v>
      </c>
      <c r="N840" s="2">
        <v>28.17</v>
      </c>
      <c r="O840" s="3">
        <v>37</v>
      </c>
      <c r="P840" s="1">
        <v>0</v>
      </c>
      <c r="Q840" s="1" t="s">
        <v>25</v>
      </c>
      <c r="R840" s="1" t="s">
        <v>25</v>
      </c>
      <c r="S840" s="1">
        <v>29</v>
      </c>
      <c r="T840" s="1">
        <v>1</v>
      </c>
      <c r="U840" s="1">
        <v>5</v>
      </c>
      <c r="V840">
        <f t="shared" si="13"/>
        <v>37</v>
      </c>
    </row>
    <row r="841" spans="1:22" ht="13" x14ac:dyDescent="0.15">
      <c r="A841" s="4">
        <v>44776</v>
      </c>
      <c r="B841" s="5">
        <v>0.60665509259259254</v>
      </c>
      <c r="C841" s="1">
        <v>1609</v>
      </c>
      <c r="D841" s="1">
        <v>13002595</v>
      </c>
      <c r="E841" s="1">
        <v>13</v>
      </c>
      <c r="F841" s="1">
        <v>22589</v>
      </c>
      <c r="G841" s="1" t="s">
        <v>21</v>
      </c>
      <c r="H841" s="1">
        <v>18</v>
      </c>
      <c r="I841" s="1">
        <v>343363</v>
      </c>
      <c r="J841" s="1" t="s">
        <v>854</v>
      </c>
      <c r="K841" s="1" t="s">
        <v>34</v>
      </c>
      <c r="L841" s="1" t="s">
        <v>855</v>
      </c>
      <c r="M841" s="1">
        <v>1</v>
      </c>
      <c r="N841" s="2">
        <v>28.17</v>
      </c>
      <c r="O841" s="3">
        <v>37</v>
      </c>
      <c r="P841" s="1">
        <v>0</v>
      </c>
      <c r="Q841" s="1" t="s">
        <v>25</v>
      </c>
      <c r="R841" s="1" t="s">
        <v>25</v>
      </c>
      <c r="S841" s="1">
        <v>29</v>
      </c>
      <c r="T841" s="1">
        <v>1</v>
      </c>
      <c r="U841" s="1">
        <v>6</v>
      </c>
      <c r="V841">
        <f t="shared" si="13"/>
        <v>37</v>
      </c>
    </row>
    <row r="842" spans="1:22" ht="13" x14ac:dyDescent="0.15">
      <c r="A842" s="4">
        <v>44776</v>
      </c>
      <c r="B842" s="5">
        <v>0.60665509259259254</v>
      </c>
      <c r="C842" s="1">
        <v>1609</v>
      </c>
      <c r="D842" s="1">
        <v>13002595</v>
      </c>
      <c r="E842" s="1">
        <v>13</v>
      </c>
      <c r="F842" s="1">
        <v>22589</v>
      </c>
      <c r="G842" s="1" t="s">
        <v>21</v>
      </c>
      <c r="H842" s="1">
        <v>18</v>
      </c>
      <c r="I842" s="1">
        <v>343363</v>
      </c>
      <c r="J842" s="1" t="s">
        <v>854</v>
      </c>
      <c r="K842" s="1" t="s">
        <v>34</v>
      </c>
      <c r="L842" s="1" t="s">
        <v>855</v>
      </c>
      <c r="M842" s="1">
        <v>1</v>
      </c>
      <c r="N842" s="2">
        <v>28.17</v>
      </c>
      <c r="O842" s="3">
        <v>37</v>
      </c>
      <c r="P842" s="1">
        <v>0</v>
      </c>
      <c r="Q842" s="1" t="s">
        <v>25</v>
      </c>
      <c r="R842" s="1" t="s">
        <v>25</v>
      </c>
      <c r="S842" s="1">
        <v>29</v>
      </c>
      <c r="T842" s="1">
        <v>1</v>
      </c>
      <c r="U842" s="1">
        <v>7</v>
      </c>
      <c r="V842">
        <f t="shared" si="13"/>
        <v>37</v>
      </c>
    </row>
    <row r="843" spans="1:22" ht="13" x14ac:dyDescent="0.15">
      <c r="A843" s="4">
        <v>44776</v>
      </c>
      <c r="B843" s="5">
        <v>0.60665509259259254</v>
      </c>
      <c r="C843" s="1">
        <v>1609</v>
      </c>
      <c r="D843" s="1">
        <v>13002595</v>
      </c>
      <c r="E843" s="1">
        <v>13</v>
      </c>
      <c r="F843" s="1">
        <v>22589</v>
      </c>
      <c r="G843" s="1" t="s">
        <v>21</v>
      </c>
      <c r="H843" s="1">
        <v>18</v>
      </c>
      <c r="I843" s="1">
        <v>343363</v>
      </c>
      <c r="J843" s="1" t="s">
        <v>854</v>
      </c>
      <c r="K843" s="1" t="s">
        <v>34</v>
      </c>
      <c r="L843" s="1" t="s">
        <v>855</v>
      </c>
      <c r="M843" s="1">
        <v>1</v>
      </c>
      <c r="N843" s="2">
        <v>28.17</v>
      </c>
      <c r="O843" s="3">
        <v>37</v>
      </c>
      <c r="P843" s="1">
        <v>0</v>
      </c>
      <c r="Q843" s="1" t="s">
        <v>25</v>
      </c>
      <c r="R843" s="1" t="s">
        <v>25</v>
      </c>
      <c r="S843" s="1">
        <v>29</v>
      </c>
      <c r="T843" s="1">
        <v>1</v>
      </c>
      <c r="U843" s="1">
        <v>8</v>
      </c>
      <c r="V843">
        <f t="shared" si="13"/>
        <v>37</v>
      </c>
    </row>
    <row r="844" spans="1:22" ht="13" x14ac:dyDescent="0.15">
      <c r="A844" s="4">
        <v>44776</v>
      </c>
      <c r="B844" s="5">
        <v>0.60665509259259254</v>
      </c>
      <c r="C844" s="1">
        <v>1609</v>
      </c>
      <c r="D844" s="1">
        <v>13002595</v>
      </c>
      <c r="E844" s="1">
        <v>13</v>
      </c>
      <c r="F844" s="1">
        <v>22589</v>
      </c>
      <c r="G844" s="1" t="s">
        <v>21</v>
      </c>
      <c r="H844" s="1">
        <v>18</v>
      </c>
      <c r="I844" s="1">
        <v>343363</v>
      </c>
      <c r="J844" s="1" t="s">
        <v>854</v>
      </c>
      <c r="K844" s="1" t="s">
        <v>34</v>
      </c>
      <c r="L844" s="1" t="s">
        <v>855</v>
      </c>
      <c r="M844" s="1">
        <v>1</v>
      </c>
      <c r="N844" s="2">
        <v>28.17</v>
      </c>
      <c r="O844" s="3">
        <v>37</v>
      </c>
      <c r="P844" s="1">
        <v>0</v>
      </c>
      <c r="Q844" s="1" t="s">
        <v>25</v>
      </c>
      <c r="R844" s="1" t="s">
        <v>25</v>
      </c>
      <c r="S844" s="1">
        <v>29</v>
      </c>
      <c r="T844" s="1">
        <v>1</v>
      </c>
      <c r="U844" s="1">
        <v>9</v>
      </c>
      <c r="V844">
        <f t="shared" si="13"/>
        <v>37</v>
      </c>
    </row>
    <row r="845" spans="1:22" ht="13" x14ac:dyDescent="0.15">
      <c r="A845" s="4">
        <v>44776</v>
      </c>
      <c r="B845" s="5">
        <v>0.60665509259259254</v>
      </c>
      <c r="C845" s="1">
        <v>1609</v>
      </c>
      <c r="D845" s="1">
        <v>13002595</v>
      </c>
      <c r="E845" s="1">
        <v>13</v>
      </c>
      <c r="F845" s="1">
        <v>22589</v>
      </c>
      <c r="G845" s="1" t="s">
        <v>21</v>
      </c>
      <c r="H845" s="1">
        <v>18</v>
      </c>
      <c r="I845" s="1">
        <v>343363</v>
      </c>
      <c r="J845" s="1" t="s">
        <v>854</v>
      </c>
      <c r="K845" s="1" t="s">
        <v>34</v>
      </c>
      <c r="L845" s="1" t="s">
        <v>855</v>
      </c>
      <c r="M845" s="1">
        <v>1</v>
      </c>
      <c r="N845" s="2">
        <v>28.17</v>
      </c>
      <c r="O845" s="3">
        <v>37</v>
      </c>
      <c r="P845" s="1">
        <v>0</v>
      </c>
      <c r="Q845" s="1" t="s">
        <v>25</v>
      </c>
      <c r="R845" s="1" t="s">
        <v>25</v>
      </c>
      <c r="S845" s="1">
        <v>29</v>
      </c>
      <c r="T845" s="1">
        <v>1</v>
      </c>
      <c r="U845" s="1">
        <v>10</v>
      </c>
      <c r="V845">
        <f t="shared" si="13"/>
        <v>37</v>
      </c>
    </row>
    <row r="846" spans="1:22" ht="13" x14ac:dyDescent="0.15">
      <c r="A846" s="4">
        <v>44776</v>
      </c>
      <c r="B846" s="5">
        <v>0.60665509259259254</v>
      </c>
      <c r="C846" s="1">
        <v>1609</v>
      </c>
      <c r="D846" s="1">
        <v>13002595</v>
      </c>
      <c r="E846" s="1">
        <v>13</v>
      </c>
      <c r="F846" s="1">
        <v>22589</v>
      </c>
      <c r="G846" s="1" t="s">
        <v>21</v>
      </c>
      <c r="H846" s="1">
        <v>18</v>
      </c>
      <c r="I846" s="1">
        <v>343363</v>
      </c>
      <c r="J846" s="1" t="s">
        <v>854</v>
      </c>
      <c r="K846" s="1" t="s">
        <v>34</v>
      </c>
      <c r="L846" s="1" t="s">
        <v>855</v>
      </c>
      <c r="M846" s="1">
        <v>1</v>
      </c>
      <c r="N846" s="2">
        <v>28.17</v>
      </c>
      <c r="O846" s="3">
        <v>37</v>
      </c>
      <c r="P846" s="1">
        <v>0</v>
      </c>
      <c r="Q846" s="1" t="s">
        <v>25</v>
      </c>
      <c r="R846" s="1" t="s">
        <v>25</v>
      </c>
      <c r="S846" s="1">
        <v>29</v>
      </c>
      <c r="T846" s="1">
        <v>1</v>
      </c>
      <c r="U846" s="1">
        <v>11</v>
      </c>
      <c r="V846">
        <f t="shared" si="13"/>
        <v>37</v>
      </c>
    </row>
    <row r="847" spans="1:22" ht="13" x14ac:dyDescent="0.15">
      <c r="A847" s="4">
        <v>44776</v>
      </c>
      <c r="B847" s="5">
        <v>0.60665509259259254</v>
      </c>
      <c r="C847" s="1">
        <v>1609</v>
      </c>
      <c r="D847" s="1">
        <v>13002595</v>
      </c>
      <c r="E847" s="1">
        <v>13</v>
      </c>
      <c r="F847" s="1">
        <v>22589</v>
      </c>
      <c r="G847" s="1" t="s">
        <v>21</v>
      </c>
      <c r="H847" s="1">
        <v>18</v>
      </c>
      <c r="I847" s="1">
        <v>343363</v>
      </c>
      <c r="J847" s="1" t="s">
        <v>854</v>
      </c>
      <c r="K847" s="1" t="s">
        <v>34</v>
      </c>
      <c r="L847" s="1" t="s">
        <v>855</v>
      </c>
      <c r="M847" s="1">
        <v>1</v>
      </c>
      <c r="N847" s="2">
        <v>28.17</v>
      </c>
      <c r="O847" s="3">
        <v>37</v>
      </c>
      <c r="P847" s="1">
        <v>0</v>
      </c>
      <c r="Q847" s="1" t="s">
        <v>25</v>
      </c>
      <c r="R847" s="1" t="s">
        <v>25</v>
      </c>
      <c r="S847" s="1">
        <v>29</v>
      </c>
      <c r="T847" s="1">
        <v>1</v>
      </c>
      <c r="U847" s="1">
        <v>12</v>
      </c>
      <c r="V847">
        <f t="shared" si="13"/>
        <v>37</v>
      </c>
    </row>
    <row r="848" spans="1:22" ht="13" x14ac:dyDescent="0.15">
      <c r="A848" s="4">
        <v>44776</v>
      </c>
      <c r="B848" s="5">
        <v>0.60665509259259254</v>
      </c>
      <c r="C848" s="1">
        <v>1609</v>
      </c>
      <c r="D848" s="1">
        <v>13002595</v>
      </c>
      <c r="E848" s="1">
        <v>13</v>
      </c>
      <c r="F848" s="1">
        <v>22589</v>
      </c>
      <c r="G848" s="1" t="s">
        <v>21</v>
      </c>
      <c r="H848" s="1">
        <v>18</v>
      </c>
      <c r="I848" s="1">
        <v>343363</v>
      </c>
      <c r="J848" s="1" t="s">
        <v>854</v>
      </c>
      <c r="K848" s="1" t="s">
        <v>34</v>
      </c>
      <c r="L848" s="1" t="s">
        <v>855</v>
      </c>
      <c r="M848" s="1">
        <v>1</v>
      </c>
      <c r="N848" s="2">
        <v>28.17</v>
      </c>
      <c r="O848" s="3">
        <v>37</v>
      </c>
      <c r="P848" s="1">
        <v>0</v>
      </c>
      <c r="Q848" s="1" t="s">
        <v>25</v>
      </c>
      <c r="R848" s="1" t="s">
        <v>25</v>
      </c>
      <c r="S848" s="1">
        <v>29</v>
      </c>
      <c r="T848" s="1">
        <v>1</v>
      </c>
      <c r="U848" s="1">
        <v>13</v>
      </c>
      <c r="V848">
        <f t="shared" si="13"/>
        <v>37</v>
      </c>
    </row>
    <row r="849" spans="1:22" ht="13" x14ac:dyDescent="0.15">
      <c r="A849" s="4">
        <v>44776</v>
      </c>
      <c r="B849" s="5">
        <v>0.60665509259259254</v>
      </c>
      <c r="C849" s="1">
        <v>1609</v>
      </c>
      <c r="D849" s="1">
        <v>13002595</v>
      </c>
      <c r="E849" s="1">
        <v>13</v>
      </c>
      <c r="F849" s="1">
        <v>22589</v>
      </c>
      <c r="G849" s="1" t="s">
        <v>21</v>
      </c>
      <c r="H849" s="1">
        <v>18</v>
      </c>
      <c r="I849" s="1">
        <v>343363</v>
      </c>
      <c r="J849" s="1" t="s">
        <v>854</v>
      </c>
      <c r="K849" s="1" t="s">
        <v>34</v>
      </c>
      <c r="L849" s="1" t="s">
        <v>855</v>
      </c>
      <c r="M849" s="1">
        <v>1</v>
      </c>
      <c r="N849" s="2">
        <v>28.17</v>
      </c>
      <c r="O849" s="3">
        <v>37</v>
      </c>
      <c r="P849" s="1">
        <v>0</v>
      </c>
      <c r="Q849" s="1" t="s">
        <v>25</v>
      </c>
      <c r="R849" s="1" t="s">
        <v>25</v>
      </c>
      <c r="S849" s="1">
        <v>29</v>
      </c>
      <c r="T849" s="1">
        <v>1</v>
      </c>
      <c r="U849" s="1">
        <v>14</v>
      </c>
      <c r="V849">
        <f t="shared" si="13"/>
        <v>37</v>
      </c>
    </row>
    <row r="850" spans="1:22" ht="13" x14ac:dyDescent="0.15">
      <c r="A850" s="4">
        <v>44776</v>
      </c>
      <c r="B850" s="5">
        <v>0.60979166666666662</v>
      </c>
      <c r="C850" s="1">
        <v>1610</v>
      </c>
      <c r="D850" s="1">
        <v>13002595</v>
      </c>
      <c r="E850" s="1">
        <v>13</v>
      </c>
      <c r="F850" s="1">
        <v>22589</v>
      </c>
      <c r="G850" s="1" t="s">
        <v>21</v>
      </c>
      <c r="H850" s="1">
        <v>18</v>
      </c>
      <c r="I850" s="1">
        <v>114886</v>
      </c>
      <c r="J850" s="1" t="s">
        <v>856</v>
      </c>
      <c r="K850" s="1" t="s">
        <v>84</v>
      </c>
      <c r="L850" s="1" t="s">
        <v>27</v>
      </c>
      <c r="M850" s="1">
        <v>1</v>
      </c>
      <c r="N850" s="2">
        <v>321.66000000000003</v>
      </c>
      <c r="O850" s="3">
        <v>425</v>
      </c>
      <c r="P850" s="1">
        <v>42</v>
      </c>
      <c r="Q850" s="1">
        <v>941</v>
      </c>
      <c r="R850" s="1">
        <v>200000000044</v>
      </c>
      <c r="S850" s="1">
        <v>29</v>
      </c>
      <c r="T850" s="1">
        <v>1</v>
      </c>
      <c r="U850" s="1">
        <v>1</v>
      </c>
      <c r="V850">
        <f t="shared" si="13"/>
        <v>425</v>
      </c>
    </row>
    <row r="851" spans="1:22" ht="13" x14ac:dyDescent="0.15">
      <c r="A851" s="4">
        <v>44776</v>
      </c>
      <c r="B851" s="5">
        <v>0.61141203703703706</v>
      </c>
      <c r="C851" s="1">
        <v>1611</v>
      </c>
      <c r="D851" s="1">
        <v>13002595</v>
      </c>
      <c r="E851" s="1">
        <v>13</v>
      </c>
      <c r="F851" s="1">
        <v>22589</v>
      </c>
      <c r="G851" s="1" t="s">
        <v>21</v>
      </c>
      <c r="H851" s="1">
        <v>18</v>
      </c>
      <c r="I851" s="1">
        <v>16026</v>
      </c>
      <c r="J851" s="1" t="s">
        <v>857</v>
      </c>
      <c r="K851" s="1" t="s">
        <v>34</v>
      </c>
      <c r="L851" s="1" t="s">
        <v>388</v>
      </c>
      <c r="M851" s="1">
        <v>1</v>
      </c>
      <c r="N851" s="2">
        <v>555.70000000000005</v>
      </c>
      <c r="O851" s="3">
        <v>640</v>
      </c>
      <c r="P851" s="1">
        <v>44</v>
      </c>
      <c r="Q851" s="1">
        <v>9</v>
      </c>
      <c r="R851" s="1">
        <v>200010026815</v>
      </c>
      <c r="S851" s="1">
        <v>29</v>
      </c>
      <c r="T851" s="1">
        <v>1</v>
      </c>
      <c r="U851" s="1">
        <v>1</v>
      </c>
      <c r="V851">
        <f t="shared" si="13"/>
        <v>640</v>
      </c>
    </row>
    <row r="852" spans="1:22" ht="13" x14ac:dyDescent="0.15">
      <c r="A852" s="4">
        <v>44776</v>
      </c>
      <c r="B852" s="5">
        <v>0.61141203703703706</v>
      </c>
      <c r="C852" s="1">
        <v>1611</v>
      </c>
      <c r="D852" s="1">
        <v>13002595</v>
      </c>
      <c r="E852" s="1">
        <v>13</v>
      </c>
      <c r="F852" s="1">
        <v>22589</v>
      </c>
      <c r="G852" s="1" t="s">
        <v>21</v>
      </c>
      <c r="H852" s="1">
        <v>18</v>
      </c>
      <c r="I852" s="1">
        <v>21983</v>
      </c>
      <c r="J852" s="1" t="s">
        <v>858</v>
      </c>
      <c r="K852" s="1" t="s">
        <v>51</v>
      </c>
      <c r="L852" s="1" t="s">
        <v>640</v>
      </c>
      <c r="M852" s="1">
        <v>1</v>
      </c>
      <c r="N852" s="2">
        <v>1006.07</v>
      </c>
      <c r="O852" s="3">
        <v>1258</v>
      </c>
      <c r="P852" s="1">
        <v>88</v>
      </c>
      <c r="Q852" s="1">
        <v>9</v>
      </c>
      <c r="R852" s="1">
        <v>200010026815</v>
      </c>
      <c r="S852" s="1">
        <v>29</v>
      </c>
      <c r="T852" s="1">
        <v>1</v>
      </c>
      <c r="U852" s="1">
        <v>3</v>
      </c>
      <c r="V852">
        <f t="shared" si="13"/>
        <v>1258</v>
      </c>
    </row>
    <row r="853" spans="1:22" ht="13" x14ac:dyDescent="0.15">
      <c r="A853" s="4">
        <v>44776</v>
      </c>
      <c r="B853" s="5">
        <v>0.61141203703703706</v>
      </c>
      <c r="C853" s="1">
        <v>1611</v>
      </c>
      <c r="D853" s="1">
        <v>13002595</v>
      </c>
      <c r="E853" s="1">
        <v>13</v>
      </c>
      <c r="F853" s="1">
        <v>22589</v>
      </c>
      <c r="G853" s="1" t="s">
        <v>21</v>
      </c>
      <c r="H853" s="1">
        <v>18</v>
      </c>
      <c r="I853" s="1">
        <v>3770</v>
      </c>
      <c r="J853" s="1" t="s">
        <v>782</v>
      </c>
      <c r="K853" s="1" t="s">
        <v>23</v>
      </c>
      <c r="L853" s="1" t="s">
        <v>255</v>
      </c>
      <c r="M853" s="1">
        <v>1</v>
      </c>
      <c r="N853" s="2">
        <v>148.46</v>
      </c>
      <c r="O853" s="3">
        <v>180</v>
      </c>
      <c r="P853" s="1">
        <v>9</v>
      </c>
      <c r="Q853" s="1">
        <v>9</v>
      </c>
      <c r="R853" s="1">
        <v>200010026815</v>
      </c>
      <c r="S853" s="1">
        <v>29</v>
      </c>
      <c r="T853" s="1">
        <v>1</v>
      </c>
      <c r="U853" s="1">
        <v>2</v>
      </c>
      <c r="V853">
        <f t="shared" si="13"/>
        <v>180</v>
      </c>
    </row>
    <row r="854" spans="1:22" ht="13" x14ac:dyDescent="0.15">
      <c r="A854" s="4">
        <v>44776</v>
      </c>
      <c r="B854" s="5">
        <v>0.61731481481481476</v>
      </c>
      <c r="C854" s="1">
        <v>1612</v>
      </c>
      <c r="D854" s="1">
        <v>13002595</v>
      </c>
      <c r="E854" s="1">
        <v>13</v>
      </c>
      <c r="F854" s="1">
        <v>22589</v>
      </c>
      <c r="G854" s="1" t="s">
        <v>21</v>
      </c>
      <c r="H854" s="1">
        <v>15</v>
      </c>
      <c r="I854" s="1">
        <v>508726</v>
      </c>
      <c r="J854" s="1" t="s">
        <v>488</v>
      </c>
      <c r="K854" s="1" t="s">
        <v>51</v>
      </c>
      <c r="L854" s="1" t="s">
        <v>274</v>
      </c>
      <c r="M854" s="1">
        <v>1</v>
      </c>
      <c r="N854" s="2">
        <v>174.59</v>
      </c>
      <c r="O854" s="3">
        <v>240</v>
      </c>
      <c r="P854" s="1">
        <v>0</v>
      </c>
      <c r="Q854" s="1" t="s">
        <v>25</v>
      </c>
      <c r="R854" s="1" t="s">
        <v>25</v>
      </c>
      <c r="S854" s="1">
        <v>29</v>
      </c>
      <c r="T854" s="1">
        <v>1</v>
      </c>
      <c r="U854" s="1">
        <v>2</v>
      </c>
      <c r="V854">
        <f t="shared" si="13"/>
        <v>240</v>
      </c>
    </row>
    <row r="855" spans="1:22" ht="13" x14ac:dyDescent="0.15">
      <c r="A855" s="4">
        <v>44776</v>
      </c>
      <c r="B855" s="5">
        <v>0.61731481481481476</v>
      </c>
      <c r="C855" s="1">
        <v>1612</v>
      </c>
      <c r="D855" s="1">
        <v>13002595</v>
      </c>
      <c r="E855" s="1">
        <v>13</v>
      </c>
      <c r="F855" s="1">
        <v>22589</v>
      </c>
      <c r="G855" s="1" t="s">
        <v>21</v>
      </c>
      <c r="H855" s="1">
        <v>15</v>
      </c>
      <c r="I855" s="1">
        <v>28310</v>
      </c>
      <c r="J855" s="1" t="s">
        <v>859</v>
      </c>
      <c r="K855" s="1" t="s">
        <v>51</v>
      </c>
      <c r="L855" s="1" t="s">
        <v>80</v>
      </c>
      <c r="M855" s="1">
        <v>1</v>
      </c>
      <c r="N855" s="2">
        <v>26.97</v>
      </c>
      <c r="O855" s="3">
        <v>44</v>
      </c>
      <c r="P855" s="1">
        <v>0</v>
      </c>
      <c r="Q855" s="1" t="s">
        <v>25</v>
      </c>
      <c r="R855" s="1" t="s">
        <v>25</v>
      </c>
      <c r="S855" s="1">
        <v>29</v>
      </c>
      <c r="T855" s="1">
        <v>1</v>
      </c>
      <c r="U855" s="1">
        <v>1</v>
      </c>
      <c r="V855">
        <f t="shared" si="13"/>
        <v>44</v>
      </c>
    </row>
    <row r="856" spans="1:22" ht="13" x14ac:dyDescent="0.15">
      <c r="A856" s="4">
        <v>44776</v>
      </c>
      <c r="B856" s="5">
        <v>0.6196990740740741</v>
      </c>
      <c r="C856" s="1">
        <v>1613</v>
      </c>
      <c r="D856" s="1">
        <v>13002595</v>
      </c>
      <c r="E856" s="1">
        <v>13</v>
      </c>
      <c r="F856" s="1">
        <v>22589</v>
      </c>
      <c r="G856" s="1" t="s">
        <v>21</v>
      </c>
      <c r="H856" s="1">
        <v>15</v>
      </c>
      <c r="I856" s="1">
        <v>124404</v>
      </c>
      <c r="J856" s="1" t="s">
        <v>784</v>
      </c>
      <c r="K856" s="1" t="s">
        <v>23</v>
      </c>
      <c r="L856" s="1" t="s">
        <v>276</v>
      </c>
      <c r="M856" s="1">
        <v>1</v>
      </c>
      <c r="N856" s="2">
        <v>611.12</v>
      </c>
      <c r="O856" s="3">
        <v>789</v>
      </c>
      <c r="P856" s="1">
        <v>55</v>
      </c>
      <c r="Q856" s="1">
        <v>9</v>
      </c>
      <c r="R856" s="1">
        <v>200010015892</v>
      </c>
      <c r="S856" s="1">
        <v>29</v>
      </c>
      <c r="T856" s="1">
        <v>1</v>
      </c>
      <c r="U856" s="1">
        <v>1</v>
      </c>
      <c r="V856">
        <f t="shared" si="13"/>
        <v>789</v>
      </c>
    </row>
    <row r="857" spans="1:22" ht="13" x14ac:dyDescent="0.15">
      <c r="A857" s="4">
        <v>44776</v>
      </c>
      <c r="B857" s="5">
        <v>0.6196990740740741</v>
      </c>
      <c r="C857" s="1">
        <v>1613</v>
      </c>
      <c r="D857" s="1">
        <v>13002595</v>
      </c>
      <c r="E857" s="1">
        <v>13</v>
      </c>
      <c r="F857" s="1">
        <v>22589</v>
      </c>
      <c r="G857" s="1" t="s">
        <v>21</v>
      </c>
      <c r="H857" s="1">
        <v>15</v>
      </c>
      <c r="I857" s="1">
        <v>149580</v>
      </c>
      <c r="J857" s="1" t="s">
        <v>860</v>
      </c>
      <c r="K857" s="1" t="s">
        <v>61</v>
      </c>
      <c r="L857" s="1" t="s">
        <v>159</v>
      </c>
      <c r="M857" s="1">
        <v>1</v>
      </c>
      <c r="N857" s="2">
        <v>278.41000000000003</v>
      </c>
      <c r="O857" s="3">
        <v>376</v>
      </c>
      <c r="P857" s="1">
        <v>26</v>
      </c>
      <c r="Q857" s="1">
        <v>9</v>
      </c>
      <c r="R857" s="1">
        <v>200010015892</v>
      </c>
      <c r="S857" s="1">
        <v>29</v>
      </c>
      <c r="T857" s="1">
        <v>1</v>
      </c>
      <c r="U857" s="1">
        <v>2</v>
      </c>
      <c r="V857">
        <f t="shared" si="13"/>
        <v>376</v>
      </c>
    </row>
    <row r="858" spans="1:22" ht="13" x14ac:dyDescent="0.15">
      <c r="A858" s="4">
        <v>44776</v>
      </c>
      <c r="B858" s="5">
        <v>0.62587962962962962</v>
      </c>
      <c r="C858" s="1">
        <v>1614</v>
      </c>
      <c r="D858" s="1">
        <v>13002595</v>
      </c>
      <c r="E858" s="1">
        <v>13</v>
      </c>
      <c r="F858" s="1">
        <v>22589</v>
      </c>
      <c r="G858" s="1" t="s">
        <v>21</v>
      </c>
      <c r="H858" s="1">
        <v>18</v>
      </c>
      <c r="I858" s="1">
        <v>188015</v>
      </c>
      <c r="J858" s="1" t="s">
        <v>861</v>
      </c>
      <c r="K858" s="1" t="s">
        <v>51</v>
      </c>
      <c r="L858" s="1" t="s">
        <v>862</v>
      </c>
      <c r="M858" s="1">
        <v>1</v>
      </c>
      <c r="N858" s="2">
        <v>147.82</v>
      </c>
      <c r="O858" s="3">
        <v>203</v>
      </c>
      <c r="P858" s="1">
        <v>14</v>
      </c>
      <c r="Q858" s="1">
        <v>9</v>
      </c>
      <c r="R858" s="1">
        <v>200010022358</v>
      </c>
      <c r="S858" s="1">
        <v>29</v>
      </c>
      <c r="T858" s="1">
        <v>1</v>
      </c>
      <c r="U858" s="1">
        <v>1</v>
      </c>
      <c r="V858">
        <f t="shared" si="13"/>
        <v>203</v>
      </c>
    </row>
    <row r="859" spans="1:22" ht="13" x14ac:dyDescent="0.15">
      <c r="A859" s="4">
        <v>44776</v>
      </c>
      <c r="B859" s="5">
        <v>0.62587962962962962</v>
      </c>
      <c r="C859" s="1">
        <v>1614</v>
      </c>
      <c r="D859" s="1">
        <v>13002595</v>
      </c>
      <c r="E859" s="1">
        <v>13</v>
      </c>
      <c r="F859" s="1">
        <v>22589</v>
      </c>
      <c r="G859" s="1" t="s">
        <v>21</v>
      </c>
      <c r="H859" s="1">
        <v>18</v>
      </c>
      <c r="I859" s="1">
        <v>188015</v>
      </c>
      <c r="J859" s="1" t="s">
        <v>861</v>
      </c>
      <c r="K859" s="1" t="s">
        <v>29</v>
      </c>
      <c r="L859" s="1" t="s">
        <v>862</v>
      </c>
      <c r="M859" s="1">
        <v>1</v>
      </c>
      <c r="N859" s="2">
        <v>148.19</v>
      </c>
      <c r="O859" s="3">
        <v>204</v>
      </c>
      <c r="P859" s="1">
        <v>14</v>
      </c>
      <c r="Q859" s="1">
        <v>9</v>
      </c>
      <c r="R859" s="1">
        <v>200010022358</v>
      </c>
      <c r="S859" s="1">
        <v>29</v>
      </c>
      <c r="T859" s="1">
        <v>1</v>
      </c>
      <c r="U859" s="1">
        <v>2</v>
      </c>
      <c r="V859">
        <f t="shared" si="13"/>
        <v>204</v>
      </c>
    </row>
    <row r="860" spans="1:22" ht="13" x14ac:dyDescent="0.15">
      <c r="A860" s="4">
        <v>44776</v>
      </c>
      <c r="B860" s="5">
        <v>0.63142361111111112</v>
      </c>
      <c r="C860" s="1">
        <v>1615</v>
      </c>
      <c r="D860" s="1">
        <v>13002595</v>
      </c>
      <c r="E860" s="1">
        <v>13</v>
      </c>
      <c r="F860" s="1">
        <v>22589</v>
      </c>
      <c r="G860" s="1" t="s">
        <v>21</v>
      </c>
      <c r="H860" s="1">
        <v>15</v>
      </c>
      <c r="I860" s="1">
        <v>346864</v>
      </c>
      <c r="J860" s="1" t="s">
        <v>331</v>
      </c>
      <c r="K860" s="1" t="s">
        <v>58</v>
      </c>
      <c r="L860" s="1" t="s">
        <v>332</v>
      </c>
      <c r="M860" s="1">
        <v>0.32142860000000001</v>
      </c>
      <c r="N860" s="2">
        <v>622.16</v>
      </c>
      <c r="O860" s="3">
        <v>685</v>
      </c>
      <c r="P860" s="1">
        <v>0</v>
      </c>
      <c r="Q860" s="1" t="s">
        <v>25</v>
      </c>
      <c r="R860" s="1" t="s">
        <v>25</v>
      </c>
      <c r="S860" s="1">
        <v>29</v>
      </c>
      <c r="T860" s="1">
        <v>1</v>
      </c>
      <c r="U860" s="1">
        <v>1</v>
      </c>
      <c r="V860">
        <f t="shared" si="13"/>
        <v>220.17859100000001</v>
      </c>
    </row>
    <row r="861" spans="1:22" ht="13" x14ac:dyDescent="0.15">
      <c r="A861" s="4">
        <v>44776</v>
      </c>
      <c r="B861" s="5">
        <v>0.63768518518518513</v>
      </c>
      <c r="C861" s="1">
        <v>1616</v>
      </c>
      <c r="D861" s="1">
        <v>13002595</v>
      </c>
      <c r="E861" s="1">
        <v>13</v>
      </c>
      <c r="F861" s="1">
        <v>22589</v>
      </c>
      <c r="G861" s="1" t="s">
        <v>21</v>
      </c>
      <c r="H861" s="1">
        <v>18</v>
      </c>
      <c r="I861" s="1">
        <v>172464</v>
      </c>
      <c r="J861" s="1" t="s">
        <v>863</v>
      </c>
      <c r="K861" s="1" t="s">
        <v>61</v>
      </c>
      <c r="L861" s="1" t="s">
        <v>106</v>
      </c>
      <c r="M861" s="1">
        <v>1</v>
      </c>
      <c r="N861" s="2">
        <v>60.72</v>
      </c>
      <c r="O861" s="3">
        <v>96</v>
      </c>
      <c r="P861" s="1">
        <v>0</v>
      </c>
      <c r="Q861" s="1" t="s">
        <v>25</v>
      </c>
      <c r="R861" s="1" t="s">
        <v>25</v>
      </c>
      <c r="S861" s="1">
        <v>29</v>
      </c>
      <c r="T861" s="1">
        <v>1</v>
      </c>
      <c r="U861" s="1">
        <v>1</v>
      </c>
      <c r="V861">
        <f t="shared" si="13"/>
        <v>96</v>
      </c>
    </row>
    <row r="862" spans="1:22" ht="13" x14ac:dyDescent="0.15">
      <c r="A862" s="4">
        <v>44776</v>
      </c>
      <c r="B862" s="5">
        <v>0.6390393518518519</v>
      </c>
      <c r="C862" s="1">
        <v>1617</v>
      </c>
      <c r="D862" s="1">
        <v>13002595</v>
      </c>
      <c r="E862" s="1">
        <v>13</v>
      </c>
      <c r="F862" s="1">
        <v>22589</v>
      </c>
      <c r="G862" s="1" t="s">
        <v>21</v>
      </c>
      <c r="H862" s="1">
        <v>15</v>
      </c>
      <c r="I862" s="1">
        <v>142036</v>
      </c>
      <c r="J862" s="1" t="s">
        <v>101</v>
      </c>
      <c r="K862" s="1" t="s">
        <v>23</v>
      </c>
      <c r="L862" s="1" t="s">
        <v>76</v>
      </c>
      <c r="M862" s="1">
        <v>1</v>
      </c>
      <c r="N862" s="2">
        <v>187.36</v>
      </c>
      <c r="O862" s="3">
        <v>220</v>
      </c>
      <c r="P862" s="1">
        <v>15</v>
      </c>
      <c r="Q862" s="1">
        <v>9</v>
      </c>
      <c r="R862" s="1">
        <v>200010001084</v>
      </c>
      <c r="S862" s="1">
        <v>29</v>
      </c>
      <c r="T862" s="1">
        <v>1</v>
      </c>
      <c r="U862" s="1">
        <v>3</v>
      </c>
      <c r="V862">
        <f t="shared" si="13"/>
        <v>220</v>
      </c>
    </row>
    <row r="863" spans="1:22" ht="13" x14ac:dyDescent="0.15">
      <c r="A863" s="4">
        <v>44776</v>
      </c>
      <c r="B863" s="5">
        <v>0.6390393518518519</v>
      </c>
      <c r="C863" s="1">
        <v>1617</v>
      </c>
      <c r="D863" s="1">
        <v>13002595</v>
      </c>
      <c r="E863" s="1">
        <v>13</v>
      </c>
      <c r="F863" s="1">
        <v>22589</v>
      </c>
      <c r="G863" s="1" t="s">
        <v>21</v>
      </c>
      <c r="H863" s="1">
        <v>15</v>
      </c>
      <c r="I863" s="1">
        <v>348186</v>
      </c>
      <c r="J863" s="1" t="s">
        <v>419</v>
      </c>
      <c r="K863" s="1" t="s">
        <v>141</v>
      </c>
      <c r="L863" s="1" t="s">
        <v>173</v>
      </c>
      <c r="M863" s="1">
        <v>1</v>
      </c>
      <c r="N863" s="2">
        <v>5.83</v>
      </c>
      <c r="O863" s="3">
        <v>8</v>
      </c>
      <c r="P863" s="1">
        <v>0</v>
      </c>
      <c r="Q863" s="1" t="s">
        <v>25</v>
      </c>
      <c r="R863" s="1" t="s">
        <v>25</v>
      </c>
      <c r="S863" s="1">
        <v>29</v>
      </c>
      <c r="T863" s="1">
        <v>1</v>
      </c>
      <c r="U863" s="1">
        <v>2</v>
      </c>
      <c r="V863">
        <f t="shared" si="13"/>
        <v>8</v>
      </c>
    </row>
    <row r="864" spans="1:22" ht="13" x14ac:dyDescent="0.15">
      <c r="A864" s="4">
        <v>44776</v>
      </c>
      <c r="B864" s="5">
        <v>0.69327546296296294</v>
      </c>
      <c r="C864" s="1">
        <v>1628</v>
      </c>
      <c r="D864" s="1">
        <v>13002595</v>
      </c>
      <c r="E864" s="1">
        <v>13</v>
      </c>
      <c r="F864" s="1">
        <v>22589</v>
      </c>
      <c r="G864" s="1" t="s">
        <v>21</v>
      </c>
      <c r="H864" s="1">
        <v>18</v>
      </c>
      <c r="I864" s="1">
        <v>348186</v>
      </c>
      <c r="J864" s="1" t="s">
        <v>419</v>
      </c>
      <c r="K864" s="1" t="s">
        <v>141</v>
      </c>
      <c r="L864" s="1" t="s">
        <v>173</v>
      </c>
      <c r="M864" s="1">
        <v>4</v>
      </c>
      <c r="N864" s="2">
        <v>5.83</v>
      </c>
      <c r="O864" s="3">
        <v>8</v>
      </c>
      <c r="P864" s="1">
        <v>0</v>
      </c>
      <c r="Q864" s="1" t="s">
        <v>25</v>
      </c>
      <c r="R864" s="1" t="s">
        <v>25</v>
      </c>
      <c r="S864" s="1">
        <v>29</v>
      </c>
      <c r="T864" s="1">
        <v>1</v>
      </c>
      <c r="U864" s="1">
        <v>1</v>
      </c>
      <c r="V864">
        <f t="shared" si="13"/>
        <v>32</v>
      </c>
    </row>
    <row r="865" spans="1:22" ht="13" x14ac:dyDescent="0.15">
      <c r="A865" s="4">
        <v>44776</v>
      </c>
      <c r="B865" s="5">
        <v>0.6390393518518519</v>
      </c>
      <c r="C865" s="1">
        <v>1617</v>
      </c>
      <c r="D865" s="1">
        <v>13002595</v>
      </c>
      <c r="E865" s="1">
        <v>13</v>
      </c>
      <c r="F865" s="1">
        <v>22589</v>
      </c>
      <c r="G865" s="1" t="s">
        <v>21</v>
      </c>
      <c r="H865" s="1">
        <v>15</v>
      </c>
      <c r="I865" s="1">
        <v>438876</v>
      </c>
      <c r="J865" s="1" t="s">
        <v>864</v>
      </c>
      <c r="K865" s="1" t="s">
        <v>51</v>
      </c>
      <c r="L865" s="1" t="s">
        <v>865</v>
      </c>
      <c r="M865" s="1">
        <v>1</v>
      </c>
      <c r="N865" s="2">
        <v>92.3</v>
      </c>
      <c r="O865" s="3">
        <v>145</v>
      </c>
      <c r="P865" s="1">
        <v>14</v>
      </c>
      <c r="Q865" s="1">
        <v>9</v>
      </c>
      <c r="R865" s="1">
        <v>200010001084</v>
      </c>
      <c r="S865" s="1">
        <v>29</v>
      </c>
      <c r="T865" s="1">
        <v>1</v>
      </c>
      <c r="U865" s="1">
        <v>1</v>
      </c>
      <c r="V865">
        <f t="shared" si="13"/>
        <v>145</v>
      </c>
    </row>
    <row r="866" spans="1:22" ht="13" x14ac:dyDescent="0.15">
      <c r="A866" s="4">
        <v>44776</v>
      </c>
      <c r="B866" s="5">
        <v>0.6519328703703704</v>
      </c>
      <c r="C866" s="1">
        <v>1618</v>
      </c>
      <c r="D866" s="1">
        <v>13002595</v>
      </c>
      <c r="E866" s="1">
        <v>13</v>
      </c>
      <c r="F866" s="1">
        <v>22589</v>
      </c>
      <c r="G866" s="1" t="s">
        <v>21</v>
      </c>
      <c r="H866" s="1">
        <v>18</v>
      </c>
      <c r="I866" s="1">
        <v>342435</v>
      </c>
      <c r="J866" s="1" t="s">
        <v>866</v>
      </c>
      <c r="K866" s="1" t="s">
        <v>23</v>
      </c>
      <c r="L866" s="1" t="s">
        <v>228</v>
      </c>
      <c r="M866" s="1">
        <v>1</v>
      </c>
      <c r="N866" s="2">
        <v>34.32</v>
      </c>
      <c r="O866" s="3">
        <v>53</v>
      </c>
      <c r="P866" s="1">
        <v>3</v>
      </c>
      <c r="Q866" s="1">
        <v>9</v>
      </c>
      <c r="R866" s="1">
        <v>200010004049</v>
      </c>
      <c r="S866" s="1">
        <v>29</v>
      </c>
      <c r="T866" s="1">
        <v>1</v>
      </c>
      <c r="U866" s="1">
        <v>8</v>
      </c>
      <c r="V866">
        <f t="shared" si="13"/>
        <v>53</v>
      </c>
    </row>
    <row r="867" spans="1:22" ht="13" x14ac:dyDescent="0.15">
      <c r="A867" s="4">
        <v>44776</v>
      </c>
      <c r="B867" s="5">
        <v>0.6519328703703704</v>
      </c>
      <c r="C867" s="1">
        <v>1618</v>
      </c>
      <c r="D867" s="1">
        <v>13002595</v>
      </c>
      <c r="E867" s="1">
        <v>13</v>
      </c>
      <c r="F867" s="1">
        <v>22589</v>
      </c>
      <c r="G867" s="1" t="s">
        <v>21</v>
      </c>
      <c r="H867" s="1">
        <v>18</v>
      </c>
      <c r="I867" s="1">
        <v>342435</v>
      </c>
      <c r="J867" s="1" t="s">
        <v>866</v>
      </c>
      <c r="K867" s="1" t="s">
        <v>51</v>
      </c>
      <c r="L867" s="1" t="s">
        <v>228</v>
      </c>
      <c r="M867" s="1">
        <v>1</v>
      </c>
      <c r="N867" s="2">
        <v>34.4</v>
      </c>
      <c r="O867" s="3">
        <v>53</v>
      </c>
      <c r="P867" s="1">
        <v>3</v>
      </c>
      <c r="Q867" s="1">
        <v>9</v>
      </c>
      <c r="R867" s="1">
        <v>200010004049</v>
      </c>
      <c r="S867" s="1">
        <v>29</v>
      </c>
      <c r="T867" s="1">
        <v>1</v>
      </c>
      <c r="U867" s="1">
        <v>9</v>
      </c>
      <c r="V867">
        <f t="shared" si="13"/>
        <v>53</v>
      </c>
    </row>
    <row r="868" spans="1:22" ht="13" x14ac:dyDescent="0.15">
      <c r="A868" s="4">
        <v>44776</v>
      </c>
      <c r="B868" s="5">
        <v>0.6519328703703704</v>
      </c>
      <c r="C868" s="1">
        <v>1618</v>
      </c>
      <c r="D868" s="1">
        <v>13002595</v>
      </c>
      <c r="E868" s="1">
        <v>13</v>
      </c>
      <c r="F868" s="1">
        <v>22589</v>
      </c>
      <c r="G868" s="1" t="s">
        <v>21</v>
      </c>
      <c r="H868" s="1">
        <v>18</v>
      </c>
      <c r="I868" s="1">
        <v>342435</v>
      </c>
      <c r="J868" s="1" t="s">
        <v>866</v>
      </c>
      <c r="K868" s="1" t="s">
        <v>51</v>
      </c>
      <c r="L868" s="1" t="s">
        <v>228</v>
      </c>
      <c r="M868" s="1">
        <v>1</v>
      </c>
      <c r="N868" s="2">
        <v>34.4</v>
      </c>
      <c r="O868" s="3">
        <v>53</v>
      </c>
      <c r="P868" s="1">
        <v>3</v>
      </c>
      <c r="Q868" s="1">
        <v>9</v>
      </c>
      <c r="R868" s="1">
        <v>200010004049</v>
      </c>
      <c r="S868" s="1">
        <v>29</v>
      </c>
      <c r="T868" s="1">
        <v>1</v>
      </c>
      <c r="U868" s="1">
        <v>10</v>
      </c>
      <c r="V868">
        <f t="shared" si="13"/>
        <v>53</v>
      </c>
    </row>
    <row r="869" spans="1:22" ht="13" x14ac:dyDescent="0.15">
      <c r="A869" s="4">
        <v>44776</v>
      </c>
      <c r="B869" s="5">
        <v>0.6519328703703704</v>
      </c>
      <c r="C869" s="1">
        <v>1618</v>
      </c>
      <c r="D869" s="1">
        <v>13002595</v>
      </c>
      <c r="E869" s="1">
        <v>13</v>
      </c>
      <c r="F869" s="1">
        <v>22589</v>
      </c>
      <c r="G869" s="1" t="s">
        <v>21</v>
      </c>
      <c r="H869" s="1">
        <v>18</v>
      </c>
      <c r="I869" s="1">
        <v>176132</v>
      </c>
      <c r="J869" s="1" t="s">
        <v>867</v>
      </c>
      <c r="K869" s="1" t="s">
        <v>23</v>
      </c>
      <c r="L869" s="1" t="s">
        <v>255</v>
      </c>
      <c r="M869" s="1">
        <v>1</v>
      </c>
      <c r="N869" s="2">
        <v>105.59</v>
      </c>
      <c r="O869" s="3">
        <v>128</v>
      </c>
      <c r="P869" s="1">
        <v>6</v>
      </c>
      <c r="Q869" s="1">
        <v>9</v>
      </c>
      <c r="R869" s="1">
        <v>200010004049</v>
      </c>
      <c r="S869" s="1">
        <v>29</v>
      </c>
      <c r="T869" s="1">
        <v>1</v>
      </c>
      <c r="U869" s="1">
        <v>2</v>
      </c>
      <c r="V869">
        <f t="shared" si="13"/>
        <v>128</v>
      </c>
    </row>
    <row r="870" spans="1:22" ht="13" x14ac:dyDescent="0.15">
      <c r="A870" s="4">
        <v>44776</v>
      </c>
      <c r="B870" s="5">
        <v>0.6519328703703704</v>
      </c>
      <c r="C870" s="1">
        <v>1618</v>
      </c>
      <c r="D870" s="1">
        <v>13002595</v>
      </c>
      <c r="E870" s="1">
        <v>13</v>
      </c>
      <c r="F870" s="1">
        <v>22589</v>
      </c>
      <c r="G870" s="1" t="s">
        <v>21</v>
      </c>
      <c r="H870" s="1">
        <v>18</v>
      </c>
      <c r="I870" s="1">
        <v>72603</v>
      </c>
      <c r="J870" s="1" t="s">
        <v>268</v>
      </c>
      <c r="K870" s="1" t="s">
        <v>51</v>
      </c>
      <c r="L870" s="1" t="s">
        <v>269</v>
      </c>
      <c r="M870" s="1">
        <v>1</v>
      </c>
      <c r="N870" s="2">
        <v>29.11</v>
      </c>
      <c r="O870" s="3">
        <v>48</v>
      </c>
      <c r="P870" s="1">
        <v>4</v>
      </c>
      <c r="Q870" s="1">
        <v>9</v>
      </c>
      <c r="R870" s="1">
        <v>200010004049</v>
      </c>
      <c r="S870" s="1">
        <v>29</v>
      </c>
      <c r="T870" s="1">
        <v>1</v>
      </c>
      <c r="U870" s="1">
        <v>6</v>
      </c>
      <c r="V870">
        <f t="shared" si="13"/>
        <v>48</v>
      </c>
    </row>
    <row r="871" spans="1:22" ht="13" x14ac:dyDescent="0.15">
      <c r="A871" s="4">
        <v>44776</v>
      </c>
      <c r="B871" s="5">
        <v>0.6519328703703704</v>
      </c>
      <c r="C871" s="1">
        <v>1618</v>
      </c>
      <c r="D871" s="1">
        <v>13002595</v>
      </c>
      <c r="E871" s="1">
        <v>13</v>
      </c>
      <c r="F871" s="1">
        <v>22589</v>
      </c>
      <c r="G871" s="1" t="s">
        <v>21</v>
      </c>
      <c r="H871" s="1">
        <v>18</v>
      </c>
      <c r="I871" s="1">
        <v>51599</v>
      </c>
      <c r="J871" s="1" t="s">
        <v>555</v>
      </c>
      <c r="K871" s="1" t="s">
        <v>34</v>
      </c>
      <c r="L871" s="1" t="s">
        <v>226</v>
      </c>
      <c r="M871" s="1">
        <v>3</v>
      </c>
      <c r="N871" s="2">
        <v>37.49</v>
      </c>
      <c r="O871" s="3">
        <v>61</v>
      </c>
      <c r="P871" s="1">
        <v>18</v>
      </c>
      <c r="Q871" s="1">
        <v>9</v>
      </c>
      <c r="R871" s="1">
        <v>200010004049</v>
      </c>
      <c r="S871" s="1">
        <v>29</v>
      </c>
      <c r="T871" s="1">
        <v>1</v>
      </c>
      <c r="U871" s="1">
        <v>7</v>
      </c>
      <c r="V871">
        <f t="shared" si="13"/>
        <v>183</v>
      </c>
    </row>
    <row r="872" spans="1:22" ht="13" x14ac:dyDescent="0.15">
      <c r="A872" s="4">
        <v>44776</v>
      </c>
      <c r="B872" s="5">
        <v>0.6519328703703704</v>
      </c>
      <c r="C872" s="1">
        <v>1618</v>
      </c>
      <c r="D872" s="1">
        <v>13002595</v>
      </c>
      <c r="E872" s="1">
        <v>13</v>
      </c>
      <c r="F872" s="1">
        <v>22589</v>
      </c>
      <c r="G872" s="1" t="s">
        <v>21</v>
      </c>
      <c r="H872" s="1">
        <v>18</v>
      </c>
      <c r="I872" s="1">
        <v>141664</v>
      </c>
      <c r="J872" s="1" t="s">
        <v>324</v>
      </c>
      <c r="K872" s="1" t="s">
        <v>51</v>
      </c>
      <c r="L872" s="1" t="s">
        <v>80</v>
      </c>
      <c r="M872" s="1">
        <v>1</v>
      </c>
      <c r="N872" s="2">
        <v>38.14</v>
      </c>
      <c r="O872" s="3">
        <v>62</v>
      </c>
      <c r="P872" s="1">
        <v>6</v>
      </c>
      <c r="Q872" s="1">
        <v>9</v>
      </c>
      <c r="R872" s="1">
        <v>200010004049</v>
      </c>
      <c r="S872" s="1">
        <v>29</v>
      </c>
      <c r="T872" s="1">
        <v>1</v>
      </c>
      <c r="U872" s="1">
        <v>5</v>
      </c>
      <c r="V872">
        <f t="shared" si="13"/>
        <v>62</v>
      </c>
    </row>
    <row r="873" spans="1:22" ht="13" x14ac:dyDescent="0.15">
      <c r="A873" s="4">
        <v>44776</v>
      </c>
      <c r="B873" s="5">
        <v>0.6519328703703704</v>
      </c>
      <c r="C873" s="1">
        <v>1618</v>
      </c>
      <c r="D873" s="1">
        <v>13002595</v>
      </c>
      <c r="E873" s="1">
        <v>13</v>
      </c>
      <c r="F873" s="1">
        <v>22589</v>
      </c>
      <c r="G873" s="1" t="s">
        <v>21</v>
      </c>
      <c r="H873" s="1">
        <v>18</v>
      </c>
      <c r="I873" s="1">
        <v>297896</v>
      </c>
      <c r="J873" s="1" t="s">
        <v>868</v>
      </c>
      <c r="K873" s="1" t="s">
        <v>29</v>
      </c>
      <c r="L873" s="1" t="s">
        <v>869</v>
      </c>
      <c r="M873" s="1">
        <v>0.5</v>
      </c>
      <c r="N873" s="2">
        <v>2550.1</v>
      </c>
      <c r="O873" s="3">
        <v>3061</v>
      </c>
      <c r="P873" s="1">
        <v>152.5</v>
      </c>
      <c r="Q873" s="1">
        <v>9</v>
      </c>
      <c r="R873" s="1">
        <v>200010004049</v>
      </c>
      <c r="S873" s="1">
        <v>29</v>
      </c>
      <c r="T873" s="1">
        <v>1</v>
      </c>
      <c r="U873" s="1">
        <v>1</v>
      </c>
      <c r="V873">
        <f t="shared" si="13"/>
        <v>1530.5</v>
      </c>
    </row>
    <row r="874" spans="1:22" ht="13" x14ac:dyDescent="0.15">
      <c r="A874" s="4">
        <v>44776</v>
      </c>
      <c r="B874" s="5">
        <v>0.65290509259259255</v>
      </c>
      <c r="C874" s="1">
        <v>1619</v>
      </c>
      <c r="D874" s="1">
        <v>13002595</v>
      </c>
      <c r="E874" s="1">
        <v>13</v>
      </c>
      <c r="F874" s="1">
        <v>22589</v>
      </c>
      <c r="G874" s="1" t="s">
        <v>21</v>
      </c>
      <c r="H874" s="1">
        <v>15</v>
      </c>
      <c r="I874" s="1">
        <v>117695</v>
      </c>
      <c r="J874" s="1" t="s">
        <v>870</v>
      </c>
      <c r="K874" s="1" t="s">
        <v>117</v>
      </c>
      <c r="L874" s="1" t="s">
        <v>155</v>
      </c>
      <c r="M874" s="1">
        <v>1</v>
      </c>
      <c r="N874" s="2">
        <v>77.3</v>
      </c>
      <c r="O874" s="3">
        <v>122</v>
      </c>
      <c r="P874" s="1">
        <v>12</v>
      </c>
      <c r="Q874" s="1">
        <v>9</v>
      </c>
      <c r="R874" s="1">
        <v>200010001007</v>
      </c>
      <c r="S874" s="1">
        <v>29</v>
      </c>
      <c r="T874" s="1">
        <v>1</v>
      </c>
      <c r="U874" s="1">
        <v>1</v>
      </c>
      <c r="V874">
        <f t="shared" si="13"/>
        <v>122</v>
      </c>
    </row>
    <row r="875" spans="1:22" ht="13" x14ac:dyDescent="0.15">
      <c r="A875" s="4">
        <v>44776</v>
      </c>
      <c r="B875" s="5">
        <v>0.65290509259259255</v>
      </c>
      <c r="C875" s="1">
        <v>1619</v>
      </c>
      <c r="D875" s="1">
        <v>13002595</v>
      </c>
      <c r="E875" s="1">
        <v>13</v>
      </c>
      <c r="F875" s="1">
        <v>22589</v>
      </c>
      <c r="G875" s="1" t="s">
        <v>21</v>
      </c>
      <c r="H875" s="1">
        <v>15</v>
      </c>
      <c r="I875" s="1">
        <v>338371</v>
      </c>
      <c r="J875" s="1" t="s">
        <v>871</v>
      </c>
      <c r="K875" s="1" t="s">
        <v>23</v>
      </c>
      <c r="L875" s="1" t="s">
        <v>591</v>
      </c>
      <c r="M875" s="1">
        <v>1</v>
      </c>
      <c r="N875" s="2">
        <v>29.75</v>
      </c>
      <c r="O875" s="3">
        <v>49</v>
      </c>
      <c r="P875" s="1">
        <v>4</v>
      </c>
      <c r="Q875" s="1">
        <v>9</v>
      </c>
      <c r="R875" s="1">
        <v>200010001007</v>
      </c>
      <c r="S875" s="1">
        <v>29</v>
      </c>
      <c r="T875" s="1">
        <v>1</v>
      </c>
      <c r="U875" s="1">
        <v>2</v>
      </c>
      <c r="V875">
        <f t="shared" si="13"/>
        <v>49</v>
      </c>
    </row>
    <row r="876" spans="1:22" ht="13" x14ac:dyDescent="0.15">
      <c r="A876" s="4">
        <v>44776</v>
      </c>
      <c r="B876" s="5">
        <v>0.65454861111111107</v>
      </c>
      <c r="C876" s="1">
        <v>1620</v>
      </c>
      <c r="D876" s="1">
        <v>13002595</v>
      </c>
      <c r="E876" s="1">
        <v>13</v>
      </c>
      <c r="F876" s="1">
        <v>22589</v>
      </c>
      <c r="G876" s="1" t="s">
        <v>21</v>
      </c>
      <c r="H876" s="1">
        <v>15</v>
      </c>
      <c r="I876" s="1">
        <v>438633</v>
      </c>
      <c r="J876" s="1" t="s">
        <v>872</v>
      </c>
      <c r="K876" s="1" t="s">
        <v>117</v>
      </c>
      <c r="L876" s="1" t="s">
        <v>27</v>
      </c>
      <c r="M876" s="1">
        <v>1</v>
      </c>
      <c r="N876" s="2">
        <v>129.74</v>
      </c>
      <c r="O876" s="3">
        <v>178</v>
      </c>
      <c r="P876" s="1">
        <v>12</v>
      </c>
      <c r="Q876" s="1">
        <v>9</v>
      </c>
      <c r="R876" s="1">
        <v>200010001659</v>
      </c>
      <c r="S876" s="1">
        <v>29</v>
      </c>
      <c r="T876" s="1">
        <v>1</v>
      </c>
      <c r="U876" s="1">
        <v>1</v>
      </c>
      <c r="V876">
        <f t="shared" si="13"/>
        <v>178</v>
      </c>
    </row>
    <row r="877" spans="1:22" ht="13" x14ac:dyDescent="0.15">
      <c r="A877" s="4">
        <v>44776</v>
      </c>
      <c r="B877" s="5">
        <v>0.65983796296296293</v>
      </c>
      <c r="C877" s="1">
        <v>1621</v>
      </c>
      <c r="D877" s="1">
        <v>13002595</v>
      </c>
      <c r="E877" s="1">
        <v>13</v>
      </c>
      <c r="F877" s="1">
        <v>22589</v>
      </c>
      <c r="G877" s="1" t="s">
        <v>21</v>
      </c>
      <c r="H877" s="1">
        <v>18</v>
      </c>
      <c r="I877" s="1">
        <v>21240</v>
      </c>
      <c r="J877" s="1" t="s">
        <v>873</v>
      </c>
      <c r="K877" s="1" t="s">
        <v>51</v>
      </c>
      <c r="L877" s="1" t="s">
        <v>874</v>
      </c>
      <c r="M877" s="1">
        <v>1</v>
      </c>
      <c r="N877" s="2">
        <v>261.47000000000003</v>
      </c>
      <c r="O877" s="3">
        <v>398</v>
      </c>
      <c r="P877" s="1">
        <v>0</v>
      </c>
      <c r="Q877" s="1" t="s">
        <v>25</v>
      </c>
      <c r="R877" s="1" t="s">
        <v>25</v>
      </c>
      <c r="S877" s="1">
        <v>29</v>
      </c>
      <c r="T877" s="1">
        <v>1</v>
      </c>
      <c r="U877" s="1">
        <v>3</v>
      </c>
      <c r="V877">
        <f t="shared" si="13"/>
        <v>398</v>
      </c>
    </row>
    <row r="878" spans="1:22" ht="13" x14ac:dyDescent="0.15">
      <c r="A878" s="4">
        <v>44776</v>
      </c>
      <c r="B878" s="5">
        <v>0.65983796296296293</v>
      </c>
      <c r="C878" s="1">
        <v>1621</v>
      </c>
      <c r="D878" s="1">
        <v>13002595</v>
      </c>
      <c r="E878" s="1">
        <v>13</v>
      </c>
      <c r="F878" s="1">
        <v>22589</v>
      </c>
      <c r="G878" s="1" t="s">
        <v>21</v>
      </c>
      <c r="H878" s="1">
        <v>18</v>
      </c>
      <c r="I878" s="1">
        <v>459</v>
      </c>
      <c r="J878" s="1" t="s">
        <v>553</v>
      </c>
      <c r="K878" s="1" t="s">
        <v>34</v>
      </c>
      <c r="L878" s="1" t="s">
        <v>554</v>
      </c>
      <c r="M878" s="1">
        <v>1</v>
      </c>
      <c r="N878" s="2">
        <v>316.54000000000002</v>
      </c>
      <c r="O878" s="3">
        <v>418</v>
      </c>
      <c r="P878" s="1">
        <v>0</v>
      </c>
      <c r="Q878" s="1" t="s">
        <v>25</v>
      </c>
      <c r="R878" s="1" t="s">
        <v>25</v>
      </c>
      <c r="S878" s="1">
        <v>29</v>
      </c>
      <c r="T878" s="1">
        <v>1</v>
      </c>
      <c r="U878" s="1">
        <v>2</v>
      </c>
      <c r="V878">
        <f t="shared" si="13"/>
        <v>418</v>
      </c>
    </row>
    <row r="879" spans="1:22" ht="13" x14ac:dyDescent="0.15">
      <c r="A879" s="4">
        <v>44776</v>
      </c>
      <c r="B879" s="5">
        <v>0.65983796296296293</v>
      </c>
      <c r="C879" s="1">
        <v>1621</v>
      </c>
      <c r="D879" s="1">
        <v>13002595</v>
      </c>
      <c r="E879" s="1">
        <v>13</v>
      </c>
      <c r="F879" s="1">
        <v>22589</v>
      </c>
      <c r="G879" s="1" t="s">
        <v>21</v>
      </c>
      <c r="H879" s="1">
        <v>18</v>
      </c>
      <c r="I879" s="1">
        <v>5312</v>
      </c>
      <c r="J879" s="1" t="s">
        <v>642</v>
      </c>
      <c r="K879" s="1" t="s">
        <v>64</v>
      </c>
      <c r="L879" s="1" t="s">
        <v>612</v>
      </c>
      <c r="M879" s="1">
        <v>1</v>
      </c>
      <c r="N879" s="2">
        <v>283.52</v>
      </c>
      <c r="O879" s="3">
        <v>383</v>
      </c>
      <c r="P879" s="1">
        <v>38</v>
      </c>
      <c r="Q879" s="1">
        <v>30</v>
      </c>
      <c r="R879" s="1">
        <v>200000000024</v>
      </c>
      <c r="S879" s="1">
        <v>29</v>
      </c>
      <c r="T879" s="1">
        <v>1</v>
      </c>
      <c r="U879" s="1">
        <v>4</v>
      </c>
      <c r="V879">
        <f t="shared" si="13"/>
        <v>383</v>
      </c>
    </row>
    <row r="880" spans="1:22" ht="13" x14ac:dyDescent="0.15">
      <c r="A880" s="4">
        <v>44776</v>
      </c>
      <c r="B880" s="5">
        <v>0.66252314814814817</v>
      </c>
      <c r="C880" s="1">
        <v>1622</v>
      </c>
      <c r="D880" s="1">
        <v>13002595</v>
      </c>
      <c r="E880" s="1">
        <v>13</v>
      </c>
      <c r="F880" s="1">
        <v>22589</v>
      </c>
      <c r="G880" s="1" t="s">
        <v>21</v>
      </c>
      <c r="H880" s="1">
        <v>18</v>
      </c>
      <c r="I880" s="1">
        <v>101347</v>
      </c>
      <c r="J880" s="1" t="s">
        <v>875</v>
      </c>
      <c r="K880" s="1" t="s">
        <v>29</v>
      </c>
      <c r="L880" s="1" t="s">
        <v>272</v>
      </c>
      <c r="M880" s="1">
        <v>1</v>
      </c>
      <c r="N880" s="2">
        <v>269.87</v>
      </c>
      <c r="O880" s="3">
        <v>365</v>
      </c>
      <c r="P880" s="1">
        <v>3.26</v>
      </c>
      <c r="Q880" s="1">
        <v>925</v>
      </c>
      <c r="R880" s="1">
        <v>200000000492</v>
      </c>
      <c r="S880" s="1">
        <v>29</v>
      </c>
      <c r="T880" s="1">
        <v>1</v>
      </c>
      <c r="U880" s="1">
        <v>1</v>
      </c>
      <c r="V880">
        <f t="shared" si="13"/>
        <v>365</v>
      </c>
    </row>
    <row r="881" spans="1:22" ht="13" x14ac:dyDescent="0.15">
      <c r="A881" s="4">
        <v>44776</v>
      </c>
      <c r="B881" s="5">
        <v>0.66252314814814817</v>
      </c>
      <c r="C881" s="1">
        <v>1622</v>
      </c>
      <c r="D881" s="1">
        <v>13002595</v>
      </c>
      <c r="E881" s="1">
        <v>13</v>
      </c>
      <c r="F881" s="1">
        <v>22589</v>
      </c>
      <c r="G881" s="1" t="s">
        <v>21</v>
      </c>
      <c r="H881" s="1">
        <v>18</v>
      </c>
      <c r="I881" s="1">
        <v>106412</v>
      </c>
      <c r="J881" s="1" t="s">
        <v>571</v>
      </c>
      <c r="K881" s="1" t="s">
        <v>45</v>
      </c>
      <c r="L881" s="1" t="s">
        <v>572</v>
      </c>
      <c r="M881" s="1">
        <v>1</v>
      </c>
      <c r="N881" s="2">
        <v>401.19</v>
      </c>
      <c r="O881" s="3">
        <v>530</v>
      </c>
      <c r="P881" s="1">
        <v>4.74</v>
      </c>
      <c r="Q881" s="1">
        <v>925</v>
      </c>
      <c r="R881" s="1">
        <v>200000000492</v>
      </c>
      <c r="S881" s="1">
        <v>29</v>
      </c>
      <c r="T881" s="1">
        <v>1</v>
      </c>
      <c r="U881" s="1">
        <v>2</v>
      </c>
      <c r="V881">
        <f t="shared" si="13"/>
        <v>530</v>
      </c>
    </row>
    <row r="882" spans="1:22" ht="13" x14ac:dyDescent="0.15">
      <c r="A882" s="4">
        <v>44776</v>
      </c>
      <c r="B882" s="5">
        <v>0.67155092592592591</v>
      </c>
      <c r="C882" s="1">
        <v>1623</v>
      </c>
      <c r="D882" s="1">
        <v>13002595</v>
      </c>
      <c r="E882" s="1">
        <v>13</v>
      </c>
      <c r="F882" s="1">
        <v>22589</v>
      </c>
      <c r="G882" s="1" t="s">
        <v>21</v>
      </c>
      <c r="H882" s="1">
        <v>18</v>
      </c>
      <c r="I882" s="1">
        <v>63036</v>
      </c>
      <c r="J882" s="1" t="s">
        <v>876</v>
      </c>
      <c r="K882" s="1" t="s">
        <v>34</v>
      </c>
      <c r="L882" s="1" t="s">
        <v>39</v>
      </c>
      <c r="M882" s="1">
        <v>1</v>
      </c>
      <c r="N882" s="2">
        <v>43.81</v>
      </c>
      <c r="O882" s="3">
        <v>55</v>
      </c>
      <c r="P882" s="1">
        <v>2</v>
      </c>
      <c r="Q882" s="1">
        <v>9</v>
      </c>
      <c r="R882" s="1">
        <v>200010023600</v>
      </c>
      <c r="S882" s="1">
        <v>29</v>
      </c>
      <c r="T882" s="1">
        <v>1</v>
      </c>
      <c r="U882" s="1">
        <v>3</v>
      </c>
      <c r="V882">
        <f t="shared" si="13"/>
        <v>55</v>
      </c>
    </row>
    <row r="883" spans="1:22" ht="13" x14ac:dyDescent="0.15">
      <c r="A883" s="4">
        <v>44776</v>
      </c>
      <c r="B883" s="5">
        <v>0.67155092592592591</v>
      </c>
      <c r="C883" s="1">
        <v>1623</v>
      </c>
      <c r="D883" s="1">
        <v>13002595</v>
      </c>
      <c r="E883" s="1">
        <v>13</v>
      </c>
      <c r="F883" s="1">
        <v>22589</v>
      </c>
      <c r="G883" s="1" t="s">
        <v>21</v>
      </c>
      <c r="H883" s="1">
        <v>18</v>
      </c>
      <c r="I883" s="1">
        <v>22533</v>
      </c>
      <c r="J883" s="1" t="s">
        <v>156</v>
      </c>
      <c r="K883" s="1" t="s">
        <v>29</v>
      </c>
      <c r="L883" s="1" t="s">
        <v>157</v>
      </c>
      <c r="M883" s="1">
        <v>1</v>
      </c>
      <c r="N883" s="2">
        <v>130.83000000000001</v>
      </c>
      <c r="O883" s="3">
        <v>158</v>
      </c>
      <c r="P883" s="1">
        <v>7</v>
      </c>
      <c r="Q883" s="1">
        <v>9</v>
      </c>
      <c r="R883" s="1">
        <v>200010023600</v>
      </c>
      <c r="S883" s="1">
        <v>29</v>
      </c>
      <c r="T883" s="1">
        <v>1</v>
      </c>
      <c r="U883" s="1">
        <v>2</v>
      </c>
      <c r="V883">
        <f t="shared" si="13"/>
        <v>158</v>
      </c>
    </row>
    <row r="884" spans="1:22" ht="13" x14ac:dyDescent="0.15">
      <c r="A884" s="4">
        <v>44776</v>
      </c>
      <c r="B884" s="5">
        <v>0.67155092592592591</v>
      </c>
      <c r="C884" s="1">
        <v>1623</v>
      </c>
      <c r="D884" s="1">
        <v>13002595</v>
      </c>
      <c r="E884" s="1">
        <v>13</v>
      </c>
      <c r="F884" s="1">
        <v>22589</v>
      </c>
      <c r="G884" s="1" t="s">
        <v>21</v>
      </c>
      <c r="H884" s="1">
        <v>18</v>
      </c>
      <c r="I884" s="1">
        <v>6015</v>
      </c>
      <c r="J884" s="1" t="s">
        <v>877</v>
      </c>
      <c r="K884" s="1" t="s">
        <v>34</v>
      </c>
      <c r="L884" s="1" t="s">
        <v>137</v>
      </c>
      <c r="M884" s="1">
        <v>1</v>
      </c>
      <c r="N884" s="2">
        <v>87.93</v>
      </c>
      <c r="O884" s="3">
        <v>109</v>
      </c>
      <c r="P884" s="1">
        <v>5</v>
      </c>
      <c r="Q884" s="1">
        <v>9</v>
      </c>
      <c r="R884" s="1">
        <v>200010023600</v>
      </c>
      <c r="S884" s="1">
        <v>29</v>
      </c>
      <c r="T884" s="1">
        <v>1</v>
      </c>
      <c r="U884" s="1">
        <v>1</v>
      </c>
      <c r="V884">
        <f t="shared" si="13"/>
        <v>109</v>
      </c>
    </row>
    <row r="885" spans="1:22" ht="13" x14ac:dyDescent="0.15">
      <c r="A885" s="4">
        <v>44776</v>
      </c>
      <c r="B885" s="5">
        <v>0.67218750000000005</v>
      </c>
      <c r="C885" s="1">
        <v>1624</v>
      </c>
      <c r="D885" s="1">
        <v>13002595</v>
      </c>
      <c r="E885" s="1">
        <v>13</v>
      </c>
      <c r="F885" s="1">
        <v>22589</v>
      </c>
      <c r="G885" s="1" t="s">
        <v>21</v>
      </c>
      <c r="H885" s="1">
        <v>15</v>
      </c>
      <c r="I885" s="1">
        <v>141344</v>
      </c>
      <c r="J885" s="1" t="s">
        <v>878</v>
      </c>
      <c r="K885" s="1" t="s">
        <v>23</v>
      </c>
      <c r="L885" s="1" t="s">
        <v>415</v>
      </c>
      <c r="M885" s="1">
        <v>1</v>
      </c>
      <c r="N885" s="2">
        <v>82.24</v>
      </c>
      <c r="O885" s="3">
        <v>101</v>
      </c>
      <c r="P885" s="1">
        <v>0</v>
      </c>
      <c r="Q885" s="1" t="s">
        <v>25</v>
      </c>
      <c r="R885" s="1" t="s">
        <v>25</v>
      </c>
      <c r="S885" s="1">
        <v>29</v>
      </c>
      <c r="T885" s="1">
        <v>1</v>
      </c>
      <c r="U885" s="1">
        <v>1</v>
      </c>
      <c r="V885">
        <f t="shared" si="13"/>
        <v>101</v>
      </c>
    </row>
    <row r="886" spans="1:22" ht="13" x14ac:dyDescent="0.15">
      <c r="A886" s="4">
        <v>44776</v>
      </c>
      <c r="B886" s="5">
        <v>0.67645833333333338</v>
      </c>
      <c r="C886" s="1">
        <v>1625</v>
      </c>
      <c r="D886" s="1">
        <v>13002595</v>
      </c>
      <c r="E886" s="1">
        <v>13</v>
      </c>
      <c r="F886" s="1">
        <v>22589</v>
      </c>
      <c r="G886" s="1" t="s">
        <v>21</v>
      </c>
      <c r="H886" s="1">
        <v>15</v>
      </c>
      <c r="I886" s="1">
        <v>1398</v>
      </c>
      <c r="J886" s="1" t="s">
        <v>530</v>
      </c>
      <c r="K886" s="1" t="s">
        <v>23</v>
      </c>
      <c r="L886" s="1" t="s">
        <v>531</v>
      </c>
      <c r="M886" s="1">
        <v>1</v>
      </c>
      <c r="N886" s="2">
        <v>576.44000000000005</v>
      </c>
      <c r="O886" s="3">
        <v>744</v>
      </c>
      <c r="P886" s="1">
        <v>52</v>
      </c>
      <c r="Q886" s="1">
        <v>9</v>
      </c>
      <c r="R886" s="1">
        <v>200010026807</v>
      </c>
      <c r="S886" s="1">
        <v>29</v>
      </c>
      <c r="T886" s="1">
        <v>1</v>
      </c>
      <c r="U886" s="1">
        <v>1</v>
      </c>
      <c r="V886">
        <f t="shared" si="13"/>
        <v>744</v>
      </c>
    </row>
    <row r="887" spans="1:22" ht="13" x14ac:dyDescent="0.15">
      <c r="A887" s="4">
        <v>44776</v>
      </c>
      <c r="B887" s="5">
        <v>0.68222222222222217</v>
      </c>
      <c r="C887" s="1">
        <v>1626</v>
      </c>
      <c r="D887" s="1">
        <v>13002595</v>
      </c>
      <c r="E887" s="1">
        <v>13</v>
      </c>
      <c r="F887" s="1">
        <v>22589</v>
      </c>
      <c r="G887" s="1" t="s">
        <v>21</v>
      </c>
      <c r="H887" s="1">
        <v>18</v>
      </c>
      <c r="I887" s="1">
        <v>4399</v>
      </c>
      <c r="J887" s="1" t="s">
        <v>879</v>
      </c>
      <c r="K887" s="1" t="s">
        <v>23</v>
      </c>
      <c r="L887" s="1" t="s">
        <v>880</v>
      </c>
      <c r="M887" s="1">
        <v>0.1</v>
      </c>
      <c r="N887" s="2">
        <v>689.28</v>
      </c>
      <c r="O887" s="3">
        <v>759</v>
      </c>
      <c r="P887" s="1">
        <v>0</v>
      </c>
      <c r="Q887" s="1" t="s">
        <v>25</v>
      </c>
      <c r="R887" s="1" t="s">
        <v>25</v>
      </c>
      <c r="S887" s="1">
        <v>29</v>
      </c>
      <c r="T887" s="1">
        <v>1</v>
      </c>
      <c r="U887" s="1">
        <v>1</v>
      </c>
      <c r="V887">
        <f t="shared" si="13"/>
        <v>75.900000000000006</v>
      </c>
    </row>
    <row r="888" spans="1:22" ht="13" x14ac:dyDescent="0.15">
      <c r="A888" s="4">
        <v>44776</v>
      </c>
      <c r="B888" s="5">
        <v>0.69087962962962968</v>
      </c>
      <c r="C888" s="1">
        <v>1627</v>
      </c>
      <c r="D888" s="1">
        <v>13002595</v>
      </c>
      <c r="E888" s="1">
        <v>13</v>
      </c>
      <c r="F888" s="1">
        <v>22589</v>
      </c>
      <c r="G888" s="1" t="s">
        <v>21</v>
      </c>
      <c r="H888" s="1">
        <v>18</v>
      </c>
      <c r="I888" s="1">
        <v>3534</v>
      </c>
      <c r="J888" s="1" t="s">
        <v>881</v>
      </c>
      <c r="K888" s="1" t="s">
        <v>64</v>
      </c>
      <c r="L888" s="1" t="s">
        <v>882</v>
      </c>
      <c r="M888" s="1">
        <v>1</v>
      </c>
      <c r="N888" s="2">
        <v>296.8</v>
      </c>
      <c r="O888" s="3">
        <v>366</v>
      </c>
      <c r="P888" s="1">
        <v>18</v>
      </c>
      <c r="Q888" s="1">
        <v>9</v>
      </c>
      <c r="R888" s="1">
        <v>200010006183</v>
      </c>
      <c r="S888" s="1">
        <v>29</v>
      </c>
      <c r="T888" s="1">
        <v>1</v>
      </c>
      <c r="U888" s="1">
        <v>2</v>
      </c>
      <c r="V888">
        <f t="shared" si="13"/>
        <v>366</v>
      </c>
    </row>
    <row r="889" spans="1:22" ht="13" x14ac:dyDescent="0.15">
      <c r="A889" s="4">
        <v>44776</v>
      </c>
      <c r="B889" s="5">
        <v>0.69839120370370367</v>
      </c>
      <c r="C889" s="1">
        <v>1629</v>
      </c>
      <c r="D889" s="1">
        <v>13002595</v>
      </c>
      <c r="E889" s="1">
        <v>13</v>
      </c>
      <c r="F889" s="1">
        <v>22589</v>
      </c>
      <c r="G889" s="1" t="s">
        <v>21</v>
      </c>
      <c r="H889" s="1">
        <v>18</v>
      </c>
      <c r="I889" s="1">
        <v>85298</v>
      </c>
      <c r="J889" s="1" t="s">
        <v>883</v>
      </c>
      <c r="K889" s="1" t="s">
        <v>58</v>
      </c>
      <c r="L889" s="1" t="s">
        <v>884</v>
      </c>
      <c r="M889" s="1">
        <v>1</v>
      </c>
      <c r="N889" s="2">
        <v>87.3</v>
      </c>
      <c r="O889" s="3">
        <v>138</v>
      </c>
      <c r="P889" s="1">
        <v>0</v>
      </c>
      <c r="Q889" s="1" t="s">
        <v>25</v>
      </c>
      <c r="R889" s="1" t="s">
        <v>25</v>
      </c>
      <c r="S889" s="1">
        <v>29</v>
      </c>
      <c r="T889" s="1">
        <v>1</v>
      </c>
      <c r="U889" s="1">
        <v>1</v>
      </c>
      <c r="V889">
        <f t="shared" si="13"/>
        <v>138</v>
      </c>
    </row>
    <row r="890" spans="1:22" ht="13" x14ac:dyDescent="0.15">
      <c r="A890" s="4">
        <v>44776</v>
      </c>
      <c r="B890" s="5">
        <v>0.70473379629629629</v>
      </c>
      <c r="C890" s="1">
        <v>1630</v>
      </c>
      <c r="D890" s="1">
        <v>13002595</v>
      </c>
      <c r="E890" s="1">
        <v>13</v>
      </c>
      <c r="F890" s="1">
        <v>22589</v>
      </c>
      <c r="G890" s="1" t="s">
        <v>21</v>
      </c>
      <c r="H890" s="1">
        <v>15</v>
      </c>
      <c r="I890" s="1">
        <v>14828</v>
      </c>
      <c r="J890" s="1" t="s">
        <v>885</v>
      </c>
      <c r="K890" s="1" t="s">
        <v>61</v>
      </c>
      <c r="L890" s="1" t="s">
        <v>886</v>
      </c>
      <c r="M890" s="1">
        <v>1</v>
      </c>
      <c r="N890" s="2">
        <v>73.040000000000006</v>
      </c>
      <c r="O890" s="3">
        <v>88</v>
      </c>
      <c r="P890" s="1">
        <v>6</v>
      </c>
      <c r="Q890" s="1">
        <v>9</v>
      </c>
      <c r="R890" s="1">
        <v>200010027867</v>
      </c>
      <c r="S890" s="1">
        <v>29</v>
      </c>
      <c r="T890" s="1">
        <v>1</v>
      </c>
      <c r="U890" s="1">
        <v>1</v>
      </c>
      <c r="V890">
        <f t="shared" si="13"/>
        <v>88</v>
      </c>
    </row>
    <row r="891" spans="1:22" ht="13" x14ac:dyDescent="0.15">
      <c r="A891" s="4">
        <v>44776</v>
      </c>
      <c r="B891" s="5">
        <v>0.71657407407407403</v>
      </c>
      <c r="C891" s="1">
        <v>1631</v>
      </c>
      <c r="D891" s="1">
        <v>13002595</v>
      </c>
      <c r="E891" s="1">
        <v>13</v>
      </c>
      <c r="F891" s="1">
        <v>22589</v>
      </c>
      <c r="G891" s="1" t="s">
        <v>21</v>
      </c>
      <c r="H891" s="1">
        <v>15</v>
      </c>
      <c r="I891" s="1">
        <v>162483</v>
      </c>
      <c r="J891" s="1" t="s">
        <v>225</v>
      </c>
      <c r="K891" s="1" t="s">
        <v>51</v>
      </c>
      <c r="L891" s="1" t="s">
        <v>226</v>
      </c>
      <c r="M891" s="1">
        <v>2</v>
      </c>
      <c r="N891" s="2">
        <v>8.08</v>
      </c>
      <c r="O891" s="3">
        <v>14</v>
      </c>
      <c r="P891" s="1">
        <v>0</v>
      </c>
      <c r="Q891" s="1" t="s">
        <v>25</v>
      </c>
      <c r="R891" s="1" t="s">
        <v>25</v>
      </c>
      <c r="S891" s="1">
        <v>29</v>
      </c>
      <c r="T891" s="1">
        <v>1</v>
      </c>
      <c r="U891" s="1">
        <v>2</v>
      </c>
      <c r="V891">
        <f t="shared" si="13"/>
        <v>28</v>
      </c>
    </row>
    <row r="892" spans="1:22" ht="13" x14ac:dyDescent="0.15">
      <c r="A892" s="4">
        <v>44776</v>
      </c>
      <c r="B892" s="5">
        <v>0.71657407407407403</v>
      </c>
      <c r="C892" s="1">
        <v>1631</v>
      </c>
      <c r="D892" s="1">
        <v>13002595</v>
      </c>
      <c r="E892" s="1">
        <v>13</v>
      </c>
      <c r="F892" s="1">
        <v>22589</v>
      </c>
      <c r="G892" s="1" t="s">
        <v>21</v>
      </c>
      <c r="H892" s="1">
        <v>15</v>
      </c>
      <c r="I892" s="1">
        <v>15423</v>
      </c>
      <c r="J892" s="1" t="s">
        <v>887</v>
      </c>
      <c r="K892" s="1" t="s">
        <v>141</v>
      </c>
      <c r="L892" s="1" t="s">
        <v>888</v>
      </c>
      <c r="M892" s="1">
        <v>1</v>
      </c>
      <c r="N892" s="2">
        <v>23.87</v>
      </c>
      <c r="O892" s="3">
        <v>39</v>
      </c>
      <c r="P892" s="1">
        <v>0</v>
      </c>
      <c r="Q892" s="1" t="s">
        <v>25</v>
      </c>
      <c r="R892" s="1" t="s">
        <v>25</v>
      </c>
      <c r="S892" s="1">
        <v>29</v>
      </c>
      <c r="T892" s="1">
        <v>1</v>
      </c>
      <c r="U892" s="1">
        <v>1</v>
      </c>
      <c r="V892">
        <f t="shared" si="13"/>
        <v>39</v>
      </c>
    </row>
    <row r="893" spans="1:22" ht="13" x14ac:dyDescent="0.15">
      <c r="A893" s="4">
        <v>44776</v>
      </c>
      <c r="B893" s="5">
        <v>0.72297453703703707</v>
      </c>
      <c r="C893" s="1">
        <v>1632</v>
      </c>
      <c r="D893" s="1">
        <v>13002595</v>
      </c>
      <c r="E893" s="1">
        <v>13</v>
      </c>
      <c r="F893" s="1">
        <v>22589</v>
      </c>
      <c r="G893" s="1" t="s">
        <v>21</v>
      </c>
      <c r="H893" s="1">
        <v>15</v>
      </c>
      <c r="I893" s="1">
        <v>15310</v>
      </c>
      <c r="J893" s="1" t="s">
        <v>889</v>
      </c>
      <c r="K893" s="1" t="s">
        <v>34</v>
      </c>
      <c r="L893" s="1" t="s">
        <v>890</v>
      </c>
      <c r="M893" s="1">
        <v>1</v>
      </c>
      <c r="N893" s="2">
        <v>580.17999999999995</v>
      </c>
      <c r="O893" s="3">
        <v>824</v>
      </c>
      <c r="P893" s="1">
        <v>82</v>
      </c>
      <c r="Q893" s="1">
        <v>9</v>
      </c>
      <c r="R893" s="1">
        <v>200010001144</v>
      </c>
      <c r="S893" s="1">
        <v>29</v>
      </c>
      <c r="T893" s="1">
        <v>1</v>
      </c>
      <c r="U893" s="1">
        <v>1</v>
      </c>
      <c r="V893">
        <f t="shared" si="13"/>
        <v>824</v>
      </c>
    </row>
    <row r="894" spans="1:22" ht="13" x14ac:dyDescent="0.15">
      <c r="A894" s="4">
        <v>44776</v>
      </c>
      <c r="B894" s="5">
        <v>0.72741898148148143</v>
      </c>
      <c r="C894" s="1">
        <v>1633</v>
      </c>
      <c r="D894" s="1">
        <v>13002595</v>
      </c>
      <c r="E894" s="1">
        <v>13</v>
      </c>
      <c r="F894" s="1">
        <v>22589</v>
      </c>
      <c r="G894" s="1" t="s">
        <v>21</v>
      </c>
      <c r="H894" s="1">
        <v>18</v>
      </c>
      <c r="I894" s="1">
        <v>130464</v>
      </c>
      <c r="J894" s="1" t="s">
        <v>891</v>
      </c>
      <c r="K894" s="1" t="s">
        <v>64</v>
      </c>
      <c r="L894" s="1" t="s">
        <v>756</v>
      </c>
      <c r="M894" s="1">
        <v>1</v>
      </c>
      <c r="N894" s="2">
        <v>267</v>
      </c>
      <c r="O894" s="3">
        <v>361</v>
      </c>
      <c r="P894" s="1">
        <v>0</v>
      </c>
      <c r="Q894" s="1" t="s">
        <v>25</v>
      </c>
      <c r="R894" s="1" t="s">
        <v>25</v>
      </c>
      <c r="S894" s="1">
        <v>29</v>
      </c>
      <c r="T894" s="1">
        <v>1</v>
      </c>
      <c r="U894" s="1">
        <v>2</v>
      </c>
      <c r="V894">
        <f t="shared" si="13"/>
        <v>361</v>
      </c>
    </row>
    <row r="895" spans="1:22" ht="13" x14ac:dyDescent="0.15">
      <c r="A895" s="4">
        <v>44776</v>
      </c>
      <c r="B895" s="5">
        <v>0.72820601851851852</v>
      </c>
      <c r="C895" s="1">
        <v>1634</v>
      </c>
      <c r="D895" s="1">
        <v>13002595</v>
      </c>
      <c r="E895" s="1">
        <v>13</v>
      </c>
      <c r="F895" s="1">
        <v>22589</v>
      </c>
      <c r="G895" s="1" t="s">
        <v>21</v>
      </c>
      <c r="H895" s="1">
        <v>18</v>
      </c>
      <c r="I895" s="1">
        <v>354089</v>
      </c>
      <c r="J895" s="1" t="s">
        <v>369</v>
      </c>
      <c r="K895" s="1" t="s">
        <v>29</v>
      </c>
      <c r="L895" s="1" t="s">
        <v>335</v>
      </c>
      <c r="M895" s="1">
        <v>1</v>
      </c>
      <c r="N895" s="2">
        <v>39.369999999999997</v>
      </c>
      <c r="O895" s="3">
        <v>60</v>
      </c>
      <c r="P895" s="1">
        <v>0</v>
      </c>
      <c r="Q895" s="1" t="s">
        <v>25</v>
      </c>
      <c r="R895" s="1" t="s">
        <v>25</v>
      </c>
      <c r="S895" s="1">
        <v>29</v>
      </c>
      <c r="T895" s="1">
        <v>1</v>
      </c>
      <c r="U895" s="1">
        <v>1</v>
      </c>
      <c r="V895">
        <f t="shared" si="13"/>
        <v>60</v>
      </c>
    </row>
    <row r="896" spans="1:22" ht="13" x14ac:dyDescent="0.15">
      <c r="A896" s="4">
        <v>44776</v>
      </c>
      <c r="B896" s="5">
        <v>0.73282407407407413</v>
      </c>
      <c r="C896" s="1">
        <v>1635</v>
      </c>
      <c r="D896" s="1">
        <v>13002595</v>
      </c>
      <c r="E896" s="1">
        <v>13</v>
      </c>
      <c r="F896" s="1">
        <v>22589</v>
      </c>
      <c r="G896" s="1" t="s">
        <v>21</v>
      </c>
      <c r="H896" s="1">
        <v>15</v>
      </c>
      <c r="I896" s="1">
        <v>589914</v>
      </c>
      <c r="J896" s="1" t="s">
        <v>892</v>
      </c>
      <c r="K896" s="1" t="s">
        <v>117</v>
      </c>
      <c r="L896" s="1" t="s">
        <v>893</v>
      </c>
      <c r="M896" s="1">
        <v>1</v>
      </c>
      <c r="N896" s="2">
        <v>498.08</v>
      </c>
      <c r="O896" s="3">
        <v>658</v>
      </c>
      <c r="P896" s="1">
        <v>0</v>
      </c>
      <c r="Q896" s="1" t="s">
        <v>25</v>
      </c>
      <c r="R896" s="1" t="s">
        <v>25</v>
      </c>
      <c r="S896" s="1">
        <v>29</v>
      </c>
      <c r="T896" s="1">
        <v>1</v>
      </c>
      <c r="U896" s="1">
        <v>3</v>
      </c>
      <c r="V896">
        <f t="shared" si="13"/>
        <v>658</v>
      </c>
    </row>
    <row r="897" spans="1:22" ht="13" x14ac:dyDescent="0.15">
      <c r="A897" s="4">
        <v>44776</v>
      </c>
      <c r="B897" s="5">
        <v>0.73282407407407413</v>
      </c>
      <c r="C897" s="1">
        <v>1635</v>
      </c>
      <c r="D897" s="1">
        <v>13002595</v>
      </c>
      <c r="E897" s="1">
        <v>13</v>
      </c>
      <c r="F897" s="1">
        <v>22589</v>
      </c>
      <c r="G897" s="1" t="s">
        <v>21</v>
      </c>
      <c r="H897" s="1">
        <v>15</v>
      </c>
      <c r="I897" s="1">
        <v>6597</v>
      </c>
      <c r="J897" s="1" t="s">
        <v>894</v>
      </c>
      <c r="K897" s="1" t="s">
        <v>45</v>
      </c>
      <c r="L897" s="1" t="s">
        <v>895</v>
      </c>
      <c r="M897" s="1">
        <v>0.33333332999999998</v>
      </c>
      <c r="N897" s="2">
        <v>1150.58</v>
      </c>
      <c r="O897" s="3">
        <v>1531</v>
      </c>
      <c r="P897" s="1">
        <v>0</v>
      </c>
      <c r="Q897" s="1" t="s">
        <v>25</v>
      </c>
      <c r="R897" s="1" t="s">
        <v>25</v>
      </c>
      <c r="S897" s="1">
        <v>29</v>
      </c>
      <c r="T897" s="1">
        <v>1</v>
      </c>
      <c r="U897" s="1">
        <v>1</v>
      </c>
      <c r="V897">
        <f t="shared" si="13"/>
        <v>510.33332822999995</v>
      </c>
    </row>
    <row r="898" spans="1:22" ht="13" x14ac:dyDescent="0.15">
      <c r="A898" s="4">
        <v>44776</v>
      </c>
      <c r="B898" s="5">
        <v>0.73282407407407413</v>
      </c>
      <c r="C898" s="1">
        <v>1635</v>
      </c>
      <c r="D898" s="1">
        <v>13002595</v>
      </c>
      <c r="E898" s="1">
        <v>13</v>
      </c>
      <c r="F898" s="1">
        <v>22589</v>
      </c>
      <c r="G898" s="1" t="s">
        <v>21</v>
      </c>
      <c r="H898" s="1">
        <v>15</v>
      </c>
      <c r="I898" s="1">
        <v>345578</v>
      </c>
      <c r="J898" s="1" t="s">
        <v>121</v>
      </c>
      <c r="K898" s="1" t="s">
        <v>51</v>
      </c>
      <c r="L898" s="1" t="s">
        <v>76</v>
      </c>
      <c r="M898" s="1">
        <v>1</v>
      </c>
      <c r="N898" s="2">
        <v>20.68</v>
      </c>
      <c r="O898" s="3">
        <v>25</v>
      </c>
      <c r="P898" s="1">
        <v>0</v>
      </c>
      <c r="Q898" s="1" t="s">
        <v>25</v>
      </c>
      <c r="R898" s="1" t="s">
        <v>25</v>
      </c>
      <c r="S898" s="1">
        <v>29</v>
      </c>
      <c r="T898" s="1">
        <v>1</v>
      </c>
      <c r="U898" s="1">
        <v>2</v>
      </c>
      <c r="V898">
        <f t="shared" si="13"/>
        <v>25</v>
      </c>
    </row>
    <row r="899" spans="1:22" ht="13" x14ac:dyDescent="0.15">
      <c r="A899" s="4">
        <v>44776</v>
      </c>
      <c r="B899" s="5">
        <v>0.73439814814814819</v>
      </c>
      <c r="C899" s="1">
        <v>1636</v>
      </c>
      <c r="D899" s="1">
        <v>13002595</v>
      </c>
      <c r="E899" s="1">
        <v>13</v>
      </c>
      <c r="F899" s="1">
        <v>22589</v>
      </c>
      <c r="G899" s="1" t="s">
        <v>21</v>
      </c>
      <c r="H899" s="1">
        <v>15</v>
      </c>
      <c r="I899" s="1">
        <v>154368</v>
      </c>
      <c r="J899" s="1" t="s">
        <v>896</v>
      </c>
      <c r="K899" s="1" t="s">
        <v>23</v>
      </c>
      <c r="L899" s="1" t="s">
        <v>24</v>
      </c>
      <c r="M899" s="1">
        <v>1</v>
      </c>
      <c r="N899" s="2">
        <v>75.2</v>
      </c>
      <c r="O899" s="3">
        <v>93</v>
      </c>
      <c r="P899" s="1">
        <v>0</v>
      </c>
      <c r="Q899" s="1" t="s">
        <v>25</v>
      </c>
      <c r="R899" s="1" t="s">
        <v>25</v>
      </c>
      <c r="S899" s="1">
        <v>29</v>
      </c>
      <c r="T899" s="1">
        <v>1</v>
      </c>
      <c r="U899" s="1">
        <v>2</v>
      </c>
      <c r="V899">
        <f t="shared" ref="V899:V962" si="14">O899*M899</f>
        <v>93</v>
      </c>
    </row>
    <row r="900" spans="1:22" ht="13" x14ac:dyDescent="0.15">
      <c r="A900" s="4">
        <v>44776</v>
      </c>
      <c r="B900" s="5">
        <v>0.73439814814814819</v>
      </c>
      <c r="C900" s="1">
        <v>1636</v>
      </c>
      <c r="D900" s="1">
        <v>13002595</v>
      </c>
      <c r="E900" s="1">
        <v>13</v>
      </c>
      <c r="F900" s="1">
        <v>22589</v>
      </c>
      <c r="G900" s="1" t="s">
        <v>21</v>
      </c>
      <c r="H900" s="1">
        <v>15</v>
      </c>
      <c r="I900" s="1">
        <v>110499</v>
      </c>
      <c r="J900" s="1" t="s">
        <v>897</v>
      </c>
      <c r="K900" s="1" t="s">
        <v>23</v>
      </c>
      <c r="L900" s="1" t="s">
        <v>159</v>
      </c>
      <c r="M900" s="1">
        <v>1</v>
      </c>
      <c r="N900" s="2">
        <v>694.8</v>
      </c>
      <c r="O900" s="3">
        <v>987</v>
      </c>
      <c r="P900" s="1">
        <v>0</v>
      </c>
      <c r="Q900" s="1" t="s">
        <v>25</v>
      </c>
      <c r="R900" s="1" t="s">
        <v>25</v>
      </c>
      <c r="S900" s="1">
        <v>29</v>
      </c>
      <c r="T900" s="1">
        <v>1</v>
      </c>
      <c r="U900" s="1">
        <v>1</v>
      </c>
      <c r="V900">
        <f t="shared" si="14"/>
        <v>987</v>
      </c>
    </row>
    <row r="901" spans="1:22" ht="13" x14ac:dyDescent="0.15">
      <c r="A901" s="4">
        <v>44776</v>
      </c>
      <c r="B901" s="5">
        <v>0.73519675925925931</v>
      </c>
      <c r="C901" s="1">
        <v>1637</v>
      </c>
      <c r="D901" s="1">
        <v>13002595</v>
      </c>
      <c r="E901" s="1">
        <v>13</v>
      </c>
      <c r="F901" s="1">
        <v>22589</v>
      </c>
      <c r="G901" s="1" t="s">
        <v>21</v>
      </c>
      <c r="H901" s="1">
        <v>18</v>
      </c>
      <c r="I901" s="1">
        <v>17182</v>
      </c>
      <c r="J901" s="1" t="s">
        <v>162</v>
      </c>
      <c r="K901" s="1" t="s">
        <v>117</v>
      </c>
      <c r="L901" s="1" t="s">
        <v>163</v>
      </c>
      <c r="M901" s="1">
        <v>1</v>
      </c>
      <c r="N901" s="2">
        <v>525</v>
      </c>
      <c r="O901" s="3">
        <v>678</v>
      </c>
      <c r="P901" s="1">
        <v>0</v>
      </c>
      <c r="Q901" s="1" t="s">
        <v>25</v>
      </c>
      <c r="R901" s="1" t="s">
        <v>25</v>
      </c>
      <c r="S901" s="1">
        <v>29</v>
      </c>
      <c r="T901" s="1">
        <v>1</v>
      </c>
      <c r="U901" s="1">
        <v>1</v>
      </c>
      <c r="V901">
        <f t="shared" si="14"/>
        <v>678</v>
      </c>
    </row>
    <row r="902" spans="1:22" ht="13" x14ac:dyDescent="0.15">
      <c r="A902" s="4">
        <v>44776</v>
      </c>
      <c r="B902" s="5">
        <v>0.73636574074074079</v>
      </c>
      <c r="C902" s="1">
        <v>1638</v>
      </c>
      <c r="D902" s="1">
        <v>13002595</v>
      </c>
      <c r="E902" s="1">
        <v>13</v>
      </c>
      <c r="F902" s="1">
        <v>22589</v>
      </c>
      <c r="G902" s="1" t="s">
        <v>21</v>
      </c>
      <c r="H902" s="1">
        <v>18</v>
      </c>
      <c r="I902" s="1">
        <v>341501</v>
      </c>
      <c r="J902" s="1" t="s">
        <v>333</v>
      </c>
      <c r="K902" s="1" t="s">
        <v>117</v>
      </c>
      <c r="L902" s="1" t="s">
        <v>200</v>
      </c>
      <c r="M902" s="1">
        <v>1</v>
      </c>
      <c r="N902" s="2">
        <v>27.91</v>
      </c>
      <c r="O902" s="3">
        <v>34</v>
      </c>
      <c r="P902" s="1">
        <v>0</v>
      </c>
      <c r="Q902" s="1" t="s">
        <v>25</v>
      </c>
      <c r="R902" s="1" t="s">
        <v>25</v>
      </c>
      <c r="S902" s="1">
        <v>29</v>
      </c>
      <c r="T902" s="1">
        <v>1</v>
      </c>
      <c r="U902" s="1">
        <v>1</v>
      </c>
      <c r="V902">
        <f t="shared" si="14"/>
        <v>34</v>
      </c>
    </row>
    <row r="903" spans="1:22" ht="13" x14ac:dyDescent="0.15">
      <c r="A903" s="4">
        <v>44776</v>
      </c>
      <c r="B903" s="5">
        <v>0.73725694444444445</v>
      </c>
      <c r="C903" s="1">
        <v>1638</v>
      </c>
      <c r="D903" s="1">
        <v>13002595</v>
      </c>
      <c r="E903" s="1">
        <v>13</v>
      </c>
      <c r="F903" s="1">
        <v>22589</v>
      </c>
      <c r="G903" s="1" t="s">
        <v>21</v>
      </c>
      <c r="H903" s="1">
        <v>18</v>
      </c>
      <c r="I903" s="1">
        <v>84918</v>
      </c>
      <c r="J903" s="1" t="s">
        <v>898</v>
      </c>
      <c r="K903" s="1" t="s">
        <v>29</v>
      </c>
      <c r="L903" s="1" t="s">
        <v>597</v>
      </c>
      <c r="M903" s="1">
        <v>1</v>
      </c>
      <c r="N903" s="2">
        <v>424.78</v>
      </c>
      <c r="O903" s="3">
        <v>625</v>
      </c>
      <c r="P903" s="1">
        <v>62</v>
      </c>
      <c r="Q903" s="1">
        <v>9</v>
      </c>
      <c r="R903" s="1">
        <v>200010023527</v>
      </c>
      <c r="S903" s="1">
        <v>29</v>
      </c>
      <c r="T903" s="1">
        <v>1</v>
      </c>
      <c r="U903" s="1">
        <v>3</v>
      </c>
      <c r="V903">
        <f t="shared" si="14"/>
        <v>625</v>
      </c>
    </row>
    <row r="904" spans="1:22" ht="13" x14ac:dyDescent="0.15">
      <c r="A904" s="4">
        <v>44776</v>
      </c>
      <c r="B904" s="5">
        <v>0.74061342592592594</v>
      </c>
      <c r="C904" s="1">
        <v>1640</v>
      </c>
      <c r="D904" s="1">
        <v>13002595</v>
      </c>
      <c r="E904" s="1">
        <v>13</v>
      </c>
      <c r="F904" s="1">
        <v>22589</v>
      </c>
      <c r="G904" s="1" t="s">
        <v>21</v>
      </c>
      <c r="H904" s="1">
        <v>18</v>
      </c>
      <c r="I904" s="1">
        <v>39337</v>
      </c>
      <c r="J904" s="1" t="s">
        <v>899</v>
      </c>
      <c r="K904" s="1" t="s">
        <v>51</v>
      </c>
      <c r="L904" s="1" t="s">
        <v>900</v>
      </c>
      <c r="M904" s="1">
        <v>2</v>
      </c>
      <c r="N904" s="2">
        <v>10.17</v>
      </c>
      <c r="O904" s="3">
        <v>17</v>
      </c>
      <c r="P904" s="1">
        <v>0</v>
      </c>
      <c r="Q904" s="1" t="s">
        <v>25</v>
      </c>
      <c r="R904" s="1" t="s">
        <v>25</v>
      </c>
      <c r="S904" s="1">
        <v>29</v>
      </c>
      <c r="T904" s="1">
        <v>1</v>
      </c>
      <c r="U904" s="1">
        <v>1</v>
      </c>
      <c r="V904">
        <f t="shared" si="14"/>
        <v>34</v>
      </c>
    </row>
    <row r="905" spans="1:22" ht="13" x14ac:dyDescent="0.15">
      <c r="A905" s="4">
        <v>44776</v>
      </c>
      <c r="B905" s="5">
        <v>0.75444444444444447</v>
      </c>
      <c r="C905" s="1">
        <v>1641</v>
      </c>
      <c r="D905" s="1">
        <v>13002595</v>
      </c>
      <c r="E905" s="1">
        <v>13</v>
      </c>
      <c r="F905" s="1">
        <v>22589</v>
      </c>
      <c r="G905" s="1" t="s">
        <v>21</v>
      </c>
      <c r="H905" s="1">
        <v>15</v>
      </c>
      <c r="I905" s="1">
        <v>312498</v>
      </c>
      <c r="J905" s="1" t="s">
        <v>901</v>
      </c>
      <c r="K905" s="1" t="s">
        <v>51</v>
      </c>
      <c r="L905" s="1" t="s">
        <v>35</v>
      </c>
      <c r="M905" s="1">
        <v>1</v>
      </c>
      <c r="N905" s="2">
        <v>432.72</v>
      </c>
      <c r="O905" s="3">
        <v>572</v>
      </c>
      <c r="P905" s="1">
        <v>40</v>
      </c>
      <c r="Q905" s="1">
        <v>9</v>
      </c>
      <c r="R905" s="1">
        <v>200010009870</v>
      </c>
      <c r="S905" s="1">
        <v>29</v>
      </c>
      <c r="T905" s="1">
        <v>1</v>
      </c>
      <c r="U905" s="1">
        <v>1</v>
      </c>
      <c r="V905">
        <f t="shared" si="14"/>
        <v>572</v>
      </c>
    </row>
    <row r="906" spans="1:22" ht="13" x14ac:dyDescent="0.15">
      <c r="A906" s="4">
        <v>44776</v>
      </c>
      <c r="B906" s="5">
        <v>0.75495370370370374</v>
      </c>
      <c r="C906" s="1">
        <v>1642</v>
      </c>
      <c r="D906" s="1">
        <v>13002595</v>
      </c>
      <c r="E906" s="1">
        <v>13</v>
      </c>
      <c r="F906" s="1">
        <v>22589</v>
      </c>
      <c r="G906" s="1" t="s">
        <v>21</v>
      </c>
      <c r="H906" s="1">
        <v>18</v>
      </c>
      <c r="I906" s="1">
        <v>322</v>
      </c>
      <c r="J906" s="1" t="s">
        <v>902</v>
      </c>
      <c r="K906" s="1" t="s">
        <v>45</v>
      </c>
      <c r="L906" s="1" t="s">
        <v>184</v>
      </c>
      <c r="M906" s="1">
        <v>1</v>
      </c>
      <c r="N906" s="2">
        <v>317.60000000000002</v>
      </c>
      <c r="O906" s="3">
        <v>420</v>
      </c>
      <c r="P906" s="1">
        <v>0</v>
      </c>
      <c r="Q906" s="1" t="s">
        <v>25</v>
      </c>
      <c r="R906" s="1" t="s">
        <v>25</v>
      </c>
      <c r="S906" s="1">
        <v>29</v>
      </c>
      <c r="T906" s="1">
        <v>1</v>
      </c>
      <c r="U906" s="1">
        <v>1</v>
      </c>
      <c r="V906">
        <f t="shared" si="14"/>
        <v>420</v>
      </c>
    </row>
    <row r="907" spans="1:22" ht="13" x14ac:dyDescent="0.15">
      <c r="A907" s="4">
        <v>44776</v>
      </c>
      <c r="B907" s="5">
        <v>0.75740740740740742</v>
      </c>
      <c r="C907" s="1">
        <v>1643</v>
      </c>
      <c r="D907" s="1">
        <v>13002595</v>
      </c>
      <c r="E907" s="1">
        <v>13</v>
      </c>
      <c r="F907" s="1">
        <v>22589</v>
      </c>
      <c r="G907" s="1" t="s">
        <v>21</v>
      </c>
      <c r="H907" s="1">
        <v>15</v>
      </c>
      <c r="I907" s="1">
        <v>173202</v>
      </c>
      <c r="J907" s="1" t="s">
        <v>273</v>
      </c>
      <c r="K907" s="1" t="s">
        <v>23</v>
      </c>
      <c r="L907" s="1" t="s">
        <v>274</v>
      </c>
      <c r="M907" s="1">
        <v>1</v>
      </c>
      <c r="N907" s="2">
        <v>25.78</v>
      </c>
      <c r="O907" s="3">
        <v>40</v>
      </c>
      <c r="P907" s="1">
        <v>0</v>
      </c>
      <c r="Q907" s="1" t="s">
        <v>25</v>
      </c>
      <c r="R907" s="1" t="s">
        <v>25</v>
      </c>
      <c r="S907" s="1">
        <v>29</v>
      </c>
      <c r="T907" s="1">
        <v>1</v>
      </c>
      <c r="U907" s="1">
        <v>2</v>
      </c>
      <c r="V907">
        <f t="shared" si="14"/>
        <v>40</v>
      </c>
    </row>
    <row r="908" spans="1:22" ht="13" x14ac:dyDescent="0.15">
      <c r="A908" s="4">
        <v>44776</v>
      </c>
      <c r="B908" s="5">
        <v>0.75740740740740742</v>
      </c>
      <c r="C908" s="1">
        <v>1643</v>
      </c>
      <c r="D908" s="1">
        <v>13002595</v>
      </c>
      <c r="E908" s="1">
        <v>13</v>
      </c>
      <c r="F908" s="1">
        <v>22589</v>
      </c>
      <c r="G908" s="1" t="s">
        <v>21</v>
      </c>
      <c r="H908" s="1">
        <v>15</v>
      </c>
      <c r="I908" s="1">
        <v>3318</v>
      </c>
      <c r="J908" s="1" t="s">
        <v>903</v>
      </c>
      <c r="K908" s="1" t="s">
        <v>117</v>
      </c>
      <c r="L908" s="1" t="s">
        <v>230</v>
      </c>
      <c r="M908" s="1">
        <v>2</v>
      </c>
      <c r="N908" s="2">
        <v>29.87</v>
      </c>
      <c r="O908" s="3">
        <v>46</v>
      </c>
      <c r="P908" s="1">
        <v>32</v>
      </c>
      <c r="Q908" s="1">
        <v>939</v>
      </c>
      <c r="R908" s="1">
        <v>200000000042</v>
      </c>
      <c r="S908" s="1">
        <v>29</v>
      </c>
      <c r="T908" s="1">
        <v>1</v>
      </c>
      <c r="U908" s="1">
        <v>1</v>
      </c>
      <c r="V908">
        <f t="shared" si="14"/>
        <v>92</v>
      </c>
    </row>
    <row r="909" spans="1:22" ht="13" x14ac:dyDescent="0.15">
      <c r="A909" s="4">
        <v>44776</v>
      </c>
      <c r="B909" s="5">
        <v>0.76508101851851851</v>
      </c>
      <c r="C909" s="1">
        <v>1644</v>
      </c>
      <c r="D909" s="1">
        <v>13002595</v>
      </c>
      <c r="E909" s="1">
        <v>13</v>
      </c>
      <c r="F909" s="1">
        <v>22589</v>
      </c>
      <c r="G909" s="1" t="s">
        <v>21</v>
      </c>
      <c r="H909" s="1">
        <v>18</v>
      </c>
      <c r="I909" s="1">
        <v>342176</v>
      </c>
      <c r="J909" s="1" t="s">
        <v>904</v>
      </c>
      <c r="K909" s="1" t="s">
        <v>51</v>
      </c>
      <c r="L909" s="1" t="s">
        <v>204</v>
      </c>
      <c r="M909" s="1">
        <v>1</v>
      </c>
      <c r="N909" s="2">
        <v>228.16</v>
      </c>
      <c r="O909" s="3">
        <v>347</v>
      </c>
      <c r="P909" s="1">
        <v>0</v>
      </c>
      <c r="Q909" s="1" t="s">
        <v>25</v>
      </c>
      <c r="R909" s="1" t="s">
        <v>25</v>
      </c>
      <c r="S909" s="1">
        <v>29</v>
      </c>
      <c r="T909" s="1">
        <v>1</v>
      </c>
      <c r="U909" s="1">
        <v>1</v>
      </c>
      <c r="V909">
        <f t="shared" si="14"/>
        <v>347</v>
      </c>
    </row>
    <row r="910" spans="1:22" ht="13" x14ac:dyDescent="0.15">
      <c r="A910" s="4">
        <v>44776</v>
      </c>
      <c r="B910" s="5">
        <v>0.77318287037037037</v>
      </c>
      <c r="C910" s="1">
        <v>1645</v>
      </c>
      <c r="D910" s="1">
        <v>13002595</v>
      </c>
      <c r="E910" s="1">
        <v>13</v>
      </c>
      <c r="F910" s="1">
        <v>22589</v>
      </c>
      <c r="G910" s="1" t="s">
        <v>21</v>
      </c>
      <c r="H910" s="1">
        <v>18</v>
      </c>
      <c r="I910" s="1">
        <v>47735</v>
      </c>
      <c r="J910" s="1" t="s">
        <v>592</v>
      </c>
      <c r="K910" s="1" t="s">
        <v>23</v>
      </c>
      <c r="L910" s="1" t="s">
        <v>175</v>
      </c>
      <c r="M910" s="1">
        <v>1</v>
      </c>
      <c r="N910" s="2">
        <v>97.32</v>
      </c>
      <c r="O910" s="3">
        <v>139</v>
      </c>
      <c r="P910" s="1">
        <v>0</v>
      </c>
      <c r="Q910" s="1" t="s">
        <v>25</v>
      </c>
      <c r="R910" s="1" t="s">
        <v>25</v>
      </c>
      <c r="S910" s="1">
        <v>29</v>
      </c>
      <c r="T910" s="1">
        <v>1</v>
      </c>
      <c r="U910" s="1">
        <v>2</v>
      </c>
      <c r="V910">
        <f t="shared" si="14"/>
        <v>139</v>
      </c>
    </row>
    <row r="911" spans="1:22" ht="13" x14ac:dyDescent="0.15">
      <c r="A911" s="4">
        <v>44776</v>
      </c>
      <c r="B911" s="5">
        <v>0.77318287037037037</v>
      </c>
      <c r="C911" s="1">
        <v>1645</v>
      </c>
      <c r="D911" s="1">
        <v>13002595</v>
      </c>
      <c r="E911" s="1">
        <v>13</v>
      </c>
      <c r="F911" s="1">
        <v>22589</v>
      </c>
      <c r="G911" s="1" t="s">
        <v>21</v>
      </c>
      <c r="H911" s="1">
        <v>18</v>
      </c>
      <c r="I911" s="1">
        <v>348072</v>
      </c>
      <c r="J911" s="1" t="s">
        <v>905</v>
      </c>
      <c r="K911" s="1" t="s">
        <v>51</v>
      </c>
      <c r="L911" s="1" t="s">
        <v>35</v>
      </c>
      <c r="M911" s="1">
        <v>1</v>
      </c>
      <c r="N911" s="2">
        <v>227.13</v>
      </c>
      <c r="O911" s="3">
        <v>307</v>
      </c>
      <c r="P911" s="1">
        <v>0</v>
      </c>
      <c r="Q911" s="1" t="s">
        <v>25</v>
      </c>
      <c r="R911" s="1" t="s">
        <v>25</v>
      </c>
      <c r="S911" s="1">
        <v>29</v>
      </c>
      <c r="T911" s="1">
        <v>1</v>
      </c>
      <c r="U911" s="1">
        <v>1</v>
      </c>
      <c r="V911">
        <f t="shared" si="14"/>
        <v>307</v>
      </c>
    </row>
    <row r="912" spans="1:22" ht="13" x14ac:dyDescent="0.15">
      <c r="A912" s="4">
        <v>44776</v>
      </c>
      <c r="B912" s="5">
        <v>0.77318287037037037</v>
      </c>
      <c r="C912" s="1">
        <v>1645</v>
      </c>
      <c r="D912" s="1">
        <v>13002595</v>
      </c>
      <c r="E912" s="1">
        <v>13</v>
      </c>
      <c r="F912" s="1">
        <v>22589</v>
      </c>
      <c r="G912" s="1" t="s">
        <v>21</v>
      </c>
      <c r="H912" s="1">
        <v>18</v>
      </c>
      <c r="I912" s="1">
        <v>4820</v>
      </c>
      <c r="J912" s="1" t="s">
        <v>906</v>
      </c>
      <c r="K912" s="1" t="s">
        <v>29</v>
      </c>
      <c r="L912" s="1" t="s">
        <v>295</v>
      </c>
      <c r="M912" s="1">
        <v>1</v>
      </c>
      <c r="N912" s="2">
        <v>372.97</v>
      </c>
      <c r="O912" s="3">
        <v>448</v>
      </c>
      <c r="P912" s="1">
        <v>0</v>
      </c>
      <c r="Q912" s="1" t="s">
        <v>25</v>
      </c>
      <c r="R912" s="1" t="s">
        <v>25</v>
      </c>
      <c r="S912" s="1">
        <v>29</v>
      </c>
      <c r="T912" s="1">
        <v>1</v>
      </c>
      <c r="U912" s="1">
        <v>3</v>
      </c>
      <c r="V912">
        <f t="shared" si="14"/>
        <v>448</v>
      </c>
    </row>
    <row r="913" spans="1:22" ht="13" x14ac:dyDescent="0.15">
      <c r="A913" s="4">
        <v>44776</v>
      </c>
      <c r="B913" s="5">
        <v>0.77439814814814811</v>
      </c>
      <c r="C913" s="1">
        <v>1646</v>
      </c>
      <c r="D913" s="1">
        <v>13002595</v>
      </c>
      <c r="E913" s="1">
        <v>13</v>
      </c>
      <c r="F913" s="1">
        <v>22589</v>
      </c>
      <c r="G913" s="1" t="s">
        <v>21</v>
      </c>
      <c r="H913" s="1">
        <v>15</v>
      </c>
      <c r="I913" s="1">
        <v>91889</v>
      </c>
      <c r="J913" s="1" t="s">
        <v>907</v>
      </c>
      <c r="K913" s="1" t="s">
        <v>29</v>
      </c>
      <c r="L913" s="1" t="s">
        <v>908</v>
      </c>
      <c r="M913" s="1">
        <v>1</v>
      </c>
      <c r="N913" s="2">
        <v>340.03</v>
      </c>
      <c r="O913" s="3">
        <v>449</v>
      </c>
      <c r="P913" s="1">
        <v>31</v>
      </c>
      <c r="Q913" s="1">
        <v>9</v>
      </c>
      <c r="R913" s="1">
        <v>200010013101</v>
      </c>
      <c r="S913" s="1">
        <v>29</v>
      </c>
      <c r="T913" s="1">
        <v>1</v>
      </c>
      <c r="U913" s="1">
        <v>1</v>
      </c>
      <c r="V913">
        <f t="shared" si="14"/>
        <v>449</v>
      </c>
    </row>
    <row r="914" spans="1:22" ht="13" x14ac:dyDescent="0.15">
      <c r="A914" s="4">
        <v>44776</v>
      </c>
      <c r="B914" s="5">
        <v>0.77738425925925925</v>
      </c>
      <c r="C914" s="1">
        <v>1647</v>
      </c>
      <c r="D914" s="1">
        <v>13002595</v>
      </c>
      <c r="E914" s="1">
        <v>13</v>
      </c>
      <c r="F914" s="1">
        <v>22589</v>
      </c>
      <c r="G914" s="1" t="s">
        <v>21</v>
      </c>
      <c r="H914" s="1">
        <v>18</v>
      </c>
      <c r="I914" s="1">
        <v>132407</v>
      </c>
      <c r="J914" s="1" t="s">
        <v>909</v>
      </c>
      <c r="K914" s="1" t="s">
        <v>45</v>
      </c>
      <c r="L914" s="1" t="s">
        <v>895</v>
      </c>
      <c r="M914" s="1">
        <v>1</v>
      </c>
      <c r="N914" s="2">
        <v>574.48</v>
      </c>
      <c r="O914" s="3">
        <v>742</v>
      </c>
      <c r="P914" s="1">
        <v>0</v>
      </c>
      <c r="Q914" s="1" t="s">
        <v>25</v>
      </c>
      <c r="R914" s="1" t="s">
        <v>25</v>
      </c>
      <c r="S914" s="1">
        <v>29</v>
      </c>
      <c r="T914" s="1">
        <v>1</v>
      </c>
      <c r="U914" s="1">
        <v>1</v>
      </c>
      <c r="V914">
        <f t="shared" si="14"/>
        <v>742</v>
      </c>
    </row>
    <row r="915" spans="1:22" ht="13" x14ac:dyDescent="0.15">
      <c r="A915" s="4">
        <v>44776</v>
      </c>
      <c r="B915" s="5">
        <v>0.78501157407407407</v>
      </c>
      <c r="C915" s="1">
        <v>1648</v>
      </c>
      <c r="D915" s="1">
        <v>13002595</v>
      </c>
      <c r="E915" s="1">
        <v>13</v>
      </c>
      <c r="F915" s="1">
        <v>22589</v>
      </c>
      <c r="G915" s="1" t="s">
        <v>21</v>
      </c>
      <c r="H915" s="1">
        <v>15</v>
      </c>
      <c r="I915" s="1">
        <v>184993</v>
      </c>
      <c r="J915" s="1" t="s">
        <v>433</v>
      </c>
      <c r="K915" s="1" t="s">
        <v>23</v>
      </c>
      <c r="L915" s="1" t="s">
        <v>159</v>
      </c>
      <c r="M915" s="1">
        <v>1</v>
      </c>
      <c r="N915" s="2">
        <v>198</v>
      </c>
      <c r="O915" s="3">
        <v>236</v>
      </c>
      <c r="P915" s="1">
        <v>0</v>
      </c>
      <c r="Q915" s="1" t="s">
        <v>25</v>
      </c>
      <c r="R915" s="1" t="s">
        <v>25</v>
      </c>
      <c r="S915" s="1">
        <v>29</v>
      </c>
      <c r="T915" s="1">
        <v>1</v>
      </c>
      <c r="U915" s="1">
        <v>1</v>
      </c>
      <c r="V915">
        <f t="shared" si="14"/>
        <v>236</v>
      </c>
    </row>
    <row r="916" spans="1:22" ht="13" x14ac:dyDescent="0.15">
      <c r="A916" s="4">
        <v>44776</v>
      </c>
      <c r="B916" s="5">
        <v>0.78501157407407407</v>
      </c>
      <c r="C916" s="1">
        <v>1648</v>
      </c>
      <c r="D916" s="1">
        <v>13002595</v>
      </c>
      <c r="E916" s="1">
        <v>13</v>
      </c>
      <c r="F916" s="1">
        <v>22589</v>
      </c>
      <c r="G916" s="1" t="s">
        <v>21</v>
      </c>
      <c r="H916" s="1">
        <v>15</v>
      </c>
      <c r="I916" s="1">
        <v>342459</v>
      </c>
      <c r="J916" s="1" t="s">
        <v>910</v>
      </c>
      <c r="K916" s="1" t="s">
        <v>51</v>
      </c>
      <c r="L916" s="1" t="s">
        <v>844</v>
      </c>
      <c r="M916" s="1">
        <v>1</v>
      </c>
      <c r="N916" s="2">
        <v>57.82</v>
      </c>
      <c r="O916" s="3">
        <v>83</v>
      </c>
      <c r="P916" s="1">
        <v>0</v>
      </c>
      <c r="Q916" s="1" t="s">
        <v>25</v>
      </c>
      <c r="R916" s="1" t="s">
        <v>25</v>
      </c>
      <c r="S916" s="1">
        <v>29</v>
      </c>
      <c r="T916" s="1">
        <v>1</v>
      </c>
      <c r="U916" s="1">
        <v>2</v>
      </c>
      <c r="V916">
        <f t="shared" si="14"/>
        <v>83</v>
      </c>
    </row>
    <row r="917" spans="1:22" ht="13" x14ac:dyDescent="0.15">
      <c r="A917" s="4">
        <v>44776</v>
      </c>
      <c r="B917" s="5">
        <v>0.78734953703703703</v>
      </c>
      <c r="C917" s="1">
        <v>1649</v>
      </c>
      <c r="D917" s="1">
        <v>13002595</v>
      </c>
      <c r="E917" s="1">
        <v>13</v>
      </c>
      <c r="F917" s="1">
        <v>22589</v>
      </c>
      <c r="G917" s="1" t="s">
        <v>21</v>
      </c>
      <c r="H917" s="1">
        <v>18</v>
      </c>
      <c r="I917" s="1">
        <v>12853</v>
      </c>
      <c r="J917" s="1" t="s">
        <v>911</v>
      </c>
      <c r="K917" s="1" t="s">
        <v>117</v>
      </c>
      <c r="L917" s="1" t="s">
        <v>912</v>
      </c>
      <c r="M917" s="1">
        <v>1</v>
      </c>
      <c r="N917" s="2">
        <v>339.63</v>
      </c>
      <c r="O917" s="3">
        <v>524</v>
      </c>
      <c r="P917" s="1">
        <v>0</v>
      </c>
      <c r="Q917" s="1" t="s">
        <v>25</v>
      </c>
      <c r="R917" s="1" t="s">
        <v>25</v>
      </c>
      <c r="S917" s="1">
        <v>29</v>
      </c>
      <c r="T917" s="1">
        <v>1</v>
      </c>
      <c r="U917" s="1">
        <v>1</v>
      </c>
      <c r="V917">
        <f t="shared" si="14"/>
        <v>524</v>
      </c>
    </row>
    <row r="918" spans="1:22" ht="13" x14ac:dyDescent="0.15">
      <c r="A918" s="4">
        <v>44776</v>
      </c>
      <c r="B918" s="5">
        <v>0.78861111111111115</v>
      </c>
      <c r="C918" s="1">
        <v>1650</v>
      </c>
      <c r="D918" s="1">
        <v>13002595</v>
      </c>
      <c r="E918" s="1">
        <v>13</v>
      </c>
      <c r="F918" s="1">
        <v>22589</v>
      </c>
      <c r="G918" s="1" t="s">
        <v>21</v>
      </c>
      <c r="H918" s="1">
        <v>18</v>
      </c>
      <c r="I918" s="1">
        <v>55064</v>
      </c>
      <c r="J918" s="1" t="s">
        <v>913</v>
      </c>
      <c r="K918" s="1" t="s">
        <v>117</v>
      </c>
      <c r="L918" s="1" t="s">
        <v>914</v>
      </c>
      <c r="M918" s="1">
        <v>1</v>
      </c>
      <c r="N918" s="2">
        <v>60.12</v>
      </c>
      <c r="O918" s="3">
        <v>98</v>
      </c>
      <c r="P918" s="1">
        <v>0</v>
      </c>
      <c r="Q918" s="1" t="s">
        <v>25</v>
      </c>
      <c r="R918" s="1" t="s">
        <v>25</v>
      </c>
      <c r="S918" s="1">
        <v>29</v>
      </c>
      <c r="T918" s="1">
        <v>1</v>
      </c>
      <c r="U918" s="1">
        <v>1</v>
      </c>
      <c r="V918">
        <f t="shared" si="14"/>
        <v>98</v>
      </c>
    </row>
    <row r="919" spans="1:22" ht="13" x14ac:dyDescent="0.15">
      <c r="A919" s="4">
        <v>44776</v>
      </c>
      <c r="B919" s="5">
        <v>0.78979166666666667</v>
      </c>
      <c r="C919" s="1">
        <v>1651</v>
      </c>
      <c r="D919" s="1">
        <v>13002595</v>
      </c>
      <c r="E919" s="1">
        <v>13</v>
      </c>
      <c r="F919" s="1">
        <v>22589</v>
      </c>
      <c r="G919" s="1" t="s">
        <v>21</v>
      </c>
      <c r="H919" s="1">
        <v>15</v>
      </c>
      <c r="I919" s="1">
        <v>20113</v>
      </c>
      <c r="J919" s="1" t="s">
        <v>915</v>
      </c>
      <c r="K919" s="1" t="s">
        <v>34</v>
      </c>
      <c r="L919" s="1" t="s">
        <v>908</v>
      </c>
      <c r="M919" s="1">
        <v>0.2</v>
      </c>
      <c r="N919" s="2">
        <v>336.24</v>
      </c>
      <c r="O919" s="3">
        <v>444</v>
      </c>
      <c r="P919" s="1">
        <v>5.8</v>
      </c>
      <c r="Q919" s="1">
        <v>9</v>
      </c>
      <c r="R919" s="1">
        <v>200010006181</v>
      </c>
      <c r="S919" s="1">
        <v>29</v>
      </c>
      <c r="T919" s="1">
        <v>1</v>
      </c>
      <c r="U919" s="1">
        <v>2</v>
      </c>
      <c r="V919">
        <f t="shared" si="14"/>
        <v>88.800000000000011</v>
      </c>
    </row>
    <row r="920" spans="1:22" ht="13" x14ac:dyDescent="0.15">
      <c r="A920" s="4">
        <v>44776</v>
      </c>
      <c r="B920" s="5">
        <v>0.79831018518518515</v>
      </c>
      <c r="C920" s="1">
        <v>1652</v>
      </c>
      <c r="D920" s="1">
        <v>13002595</v>
      </c>
      <c r="E920" s="1">
        <v>13</v>
      </c>
      <c r="F920" s="1">
        <v>22589</v>
      </c>
      <c r="G920" s="1" t="s">
        <v>21</v>
      </c>
      <c r="H920" s="1">
        <v>15</v>
      </c>
      <c r="I920" s="1">
        <v>1365</v>
      </c>
      <c r="J920" s="1" t="s">
        <v>916</v>
      </c>
      <c r="K920" s="1" t="s">
        <v>51</v>
      </c>
      <c r="L920" s="1" t="s">
        <v>917</v>
      </c>
      <c r="M920" s="1">
        <v>1</v>
      </c>
      <c r="N920" s="2">
        <v>97.54</v>
      </c>
      <c r="O920" s="3">
        <v>122</v>
      </c>
      <c r="P920" s="1">
        <v>0</v>
      </c>
      <c r="Q920" s="1" t="s">
        <v>25</v>
      </c>
      <c r="R920" s="1" t="s">
        <v>25</v>
      </c>
      <c r="S920" s="1">
        <v>29</v>
      </c>
      <c r="T920" s="1">
        <v>1</v>
      </c>
      <c r="U920" s="1">
        <v>6</v>
      </c>
      <c r="V920">
        <f t="shared" si="14"/>
        <v>122</v>
      </c>
    </row>
    <row r="921" spans="1:22" ht="13" x14ac:dyDescent="0.15">
      <c r="A921" s="4">
        <v>44776</v>
      </c>
      <c r="B921" s="5">
        <v>0.79831018518518515</v>
      </c>
      <c r="C921" s="1">
        <v>1652</v>
      </c>
      <c r="D921" s="1">
        <v>13002595</v>
      </c>
      <c r="E921" s="1">
        <v>13</v>
      </c>
      <c r="F921" s="1">
        <v>22589</v>
      </c>
      <c r="G921" s="1" t="s">
        <v>21</v>
      </c>
      <c r="H921" s="1">
        <v>15</v>
      </c>
      <c r="I921" s="1">
        <v>338779</v>
      </c>
      <c r="J921" s="1" t="s">
        <v>918</v>
      </c>
      <c r="K921" s="1" t="s">
        <v>29</v>
      </c>
      <c r="L921" s="1" t="s">
        <v>123</v>
      </c>
      <c r="M921" s="1">
        <v>1</v>
      </c>
      <c r="N921" s="2">
        <v>29.85</v>
      </c>
      <c r="O921" s="3">
        <v>36</v>
      </c>
      <c r="P921" s="1">
        <v>0</v>
      </c>
      <c r="Q921" s="1" t="s">
        <v>25</v>
      </c>
      <c r="R921" s="1" t="s">
        <v>25</v>
      </c>
      <c r="S921" s="1">
        <v>29</v>
      </c>
      <c r="T921" s="1">
        <v>1</v>
      </c>
      <c r="U921" s="1">
        <v>2</v>
      </c>
      <c r="V921">
        <f t="shared" si="14"/>
        <v>36</v>
      </c>
    </row>
    <row r="922" spans="1:22" ht="13" x14ac:dyDescent="0.15">
      <c r="A922" s="4">
        <v>44776</v>
      </c>
      <c r="B922" s="5">
        <v>0.79831018518518515</v>
      </c>
      <c r="C922" s="1">
        <v>1652</v>
      </c>
      <c r="D922" s="1">
        <v>13002595</v>
      </c>
      <c r="E922" s="1">
        <v>13</v>
      </c>
      <c r="F922" s="1">
        <v>22589</v>
      </c>
      <c r="G922" s="1" t="s">
        <v>21</v>
      </c>
      <c r="H922" s="1">
        <v>15</v>
      </c>
      <c r="I922" s="1">
        <v>338798</v>
      </c>
      <c r="J922" s="1" t="s">
        <v>919</v>
      </c>
      <c r="K922" s="1" t="s">
        <v>29</v>
      </c>
      <c r="L922" s="1" t="s">
        <v>123</v>
      </c>
      <c r="M922" s="1">
        <v>1</v>
      </c>
      <c r="N922" s="2">
        <v>40.21</v>
      </c>
      <c r="O922" s="3">
        <v>51.66</v>
      </c>
      <c r="P922" s="1">
        <v>0</v>
      </c>
      <c r="Q922" s="1" t="s">
        <v>25</v>
      </c>
      <c r="R922" s="1" t="s">
        <v>25</v>
      </c>
      <c r="S922" s="1">
        <v>29</v>
      </c>
      <c r="T922" s="1">
        <v>1</v>
      </c>
      <c r="U922" s="1">
        <v>3</v>
      </c>
      <c r="V922">
        <f t="shared" si="14"/>
        <v>51.66</v>
      </c>
    </row>
    <row r="923" spans="1:22" ht="13" x14ac:dyDescent="0.15">
      <c r="A923" s="4">
        <v>44776</v>
      </c>
      <c r="B923" s="5">
        <v>0.79831018518518515</v>
      </c>
      <c r="C923" s="1">
        <v>1652</v>
      </c>
      <c r="D923" s="1">
        <v>13002595</v>
      </c>
      <c r="E923" s="1">
        <v>13</v>
      </c>
      <c r="F923" s="1">
        <v>22589</v>
      </c>
      <c r="G923" s="1" t="s">
        <v>21</v>
      </c>
      <c r="H923" s="1">
        <v>15</v>
      </c>
      <c r="I923" s="1">
        <v>443177</v>
      </c>
      <c r="J923" s="1" t="s">
        <v>920</v>
      </c>
      <c r="K923" s="1" t="s">
        <v>51</v>
      </c>
      <c r="L923" s="1" t="s">
        <v>52</v>
      </c>
      <c r="M923" s="1">
        <v>2</v>
      </c>
      <c r="N923" s="2">
        <v>47.16</v>
      </c>
      <c r="O923" s="3">
        <v>77</v>
      </c>
      <c r="P923" s="1">
        <v>0</v>
      </c>
      <c r="Q923" s="1" t="s">
        <v>25</v>
      </c>
      <c r="R923" s="1" t="s">
        <v>25</v>
      </c>
      <c r="S923" s="1">
        <v>29</v>
      </c>
      <c r="T923" s="1">
        <v>1</v>
      </c>
      <c r="U923" s="1">
        <v>5</v>
      </c>
      <c r="V923">
        <f t="shared" si="14"/>
        <v>154</v>
      </c>
    </row>
    <row r="924" spans="1:22" ht="13" x14ac:dyDescent="0.15">
      <c r="A924" s="4">
        <v>44776</v>
      </c>
      <c r="B924" s="5">
        <v>0.79931712962962964</v>
      </c>
      <c r="C924" s="1">
        <v>1653</v>
      </c>
      <c r="D924" s="1">
        <v>13002595</v>
      </c>
      <c r="E924" s="1">
        <v>13</v>
      </c>
      <c r="F924" s="1">
        <v>22589</v>
      </c>
      <c r="G924" s="1" t="s">
        <v>21</v>
      </c>
      <c r="H924" s="1">
        <v>15</v>
      </c>
      <c r="I924" s="1">
        <v>57761</v>
      </c>
      <c r="J924" s="1" t="s">
        <v>921</v>
      </c>
      <c r="K924" s="1" t="s">
        <v>58</v>
      </c>
      <c r="L924" s="1" t="s">
        <v>922</v>
      </c>
      <c r="M924" s="1">
        <v>0.33333332999999998</v>
      </c>
      <c r="N924" s="2">
        <v>2346.54</v>
      </c>
      <c r="O924" s="3">
        <v>3215</v>
      </c>
      <c r="P924" s="1">
        <v>106.67</v>
      </c>
      <c r="Q924" s="1">
        <v>9</v>
      </c>
      <c r="R924" s="1">
        <v>200010023008</v>
      </c>
      <c r="S924" s="1">
        <v>29</v>
      </c>
      <c r="T924" s="1">
        <v>1</v>
      </c>
      <c r="U924" s="1">
        <v>1</v>
      </c>
      <c r="V924">
        <f t="shared" si="14"/>
        <v>1071.6666559499999</v>
      </c>
    </row>
    <row r="925" spans="1:22" ht="13" x14ac:dyDescent="0.15">
      <c r="A925" s="4">
        <v>44776</v>
      </c>
      <c r="B925" s="5">
        <v>0.80046296296296293</v>
      </c>
      <c r="C925" s="1">
        <v>1654</v>
      </c>
      <c r="D925" s="1">
        <v>13002595</v>
      </c>
      <c r="E925" s="1">
        <v>13</v>
      </c>
      <c r="F925" s="1">
        <v>22589</v>
      </c>
      <c r="G925" s="1" t="s">
        <v>21</v>
      </c>
      <c r="H925" s="1">
        <v>15</v>
      </c>
      <c r="I925" s="1">
        <v>345248</v>
      </c>
      <c r="J925" s="1" t="s">
        <v>923</v>
      </c>
      <c r="K925" s="1" t="s">
        <v>117</v>
      </c>
      <c r="L925" s="1" t="s">
        <v>173</v>
      </c>
      <c r="M925" s="1">
        <v>1</v>
      </c>
      <c r="N925" s="2">
        <v>18.82</v>
      </c>
      <c r="O925" s="3">
        <v>23</v>
      </c>
      <c r="P925" s="1">
        <v>1</v>
      </c>
      <c r="Q925" s="1">
        <v>9</v>
      </c>
      <c r="R925" s="1">
        <v>200010001832</v>
      </c>
      <c r="S925" s="1">
        <v>29</v>
      </c>
      <c r="T925" s="1">
        <v>1</v>
      </c>
      <c r="U925" s="1">
        <v>1</v>
      </c>
      <c r="V925">
        <f t="shared" si="14"/>
        <v>23</v>
      </c>
    </row>
    <row r="926" spans="1:22" ht="13" x14ac:dyDescent="0.15">
      <c r="A926" s="4">
        <v>44776</v>
      </c>
      <c r="B926" s="5">
        <v>0.80046296296296293</v>
      </c>
      <c r="C926" s="1">
        <v>1654</v>
      </c>
      <c r="D926" s="1">
        <v>13002595</v>
      </c>
      <c r="E926" s="1">
        <v>13</v>
      </c>
      <c r="F926" s="1">
        <v>22589</v>
      </c>
      <c r="G926" s="1" t="s">
        <v>21</v>
      </c>
      <c r="H926" s="1">
        <v>15</v>
      </c>
      <c r="I926" s="1">
        <v>345248</v>
      </c>
      <c r="J926" s="1" t="s">
        <v>923</v>
      </c>
      <c r="K926" s="1" t="s">
        <v>58</v>
      </c>
      <c r="L926" s="1" t="s">
        <v>173</v>
      </c>
      <c r="M926" s="1">
        <v>1</v>
      </c>
      <c r="N926" s="2">
        <v>19.5</v>
      </c>
      <c r="O926" s="3">
        <v>23</v>
      </c>
      <c r="P926" s="1">
        <v>1</v>
      </c>
      <c r="Q926" s="1">
        <v>9</v>
      </c>
      <c r="R926" s="1">
        <v>200010001832</v>
      </c>
      <c r="S926" s="1">
        <v>29</v>
      </c>
      <c r="T926" s="1">
        <v>1</v>
      </c>
      <c r="U926" s="1">
        <v>2</v>
      </c>
      <c r="V926">
        <f t="shared" si="14"/>
        <v>23</v>
      </c>
    </row>
    <row r="927" spans="1:22" ht="13" x14ac:dyDescent="0.15">
      <c r="A927" s="4">
        <v>44776</v>
      </c>
      <c r="B927" s="5">
        <v>0.80192129629629627</v>
      </c>
      <c r="C927" s="1">
        <v>1655</v>
      </c>
      <c r="D927" s="1">
        <v>13002595</v>
      </c>
      <c r="E927" s="1">
        <v>13</v>
      </c>
      <c r="F927" s="1">
        <v>22589</v>
      </c>
      <c r="G927" s="1" t="s">
        <v>21</v>
      </c>
      <c r="H927" s="1">
        <v>18</v>
      </c>
      <c r="I927" s="1">
        <v>724</v>
      </c>
      <c r="J927" s="1" t="s">
        <v>529</v>
      </c>
      <c r="K927" s="1" t="s">
        <v>23</v>
      </c>
      <c r="L927" s="1" t="s">
        <v>214</v>
      </c>
      <c r="M927" s="1">
        <v>1</v>
      </c>
      <c r="N927" s="2">
        <v>66.09</v>
      </c>
      <c r="O927" s="3">
        <v>78</v>
      </c>
      <c r="P927" s="1">
        <v>3</v>
      </c>
      <c r="Q927" s="1">
        <v>9</v>
      </c>
      <c r="R927" s="1">
        <v>200010013119</v>
      </c>
      <c r="S927" s="1">
        <v>29</v>
      </c>
      <c r="T927" s="1">
        <v>1</v>
      </c>
      <c r="U927" s="1">
        <v>1</v>
      </c>
      <c r="V927">
        <f t="shared" si="14"/>
        <v>78</v>
      </c>
    </row>
    <row r="928" spans="1:22" ht="13" x14ac:dyDescent="0.15">
      <c r="A928" s="4">
        <v>44776</v>
      </c>
      <c r="B928" s="5">
        <v>0.81172453703703706</v>
      </c>
      <c r="C928" s="1">
        <v>1656</v>
      </c>
      <c r="D928" s="1">
        <v>13002595</v>
      </c>
      <c r="E928" s="1">
        <v>13</v>
      </c>
      <c r="F928" s="1">
        <v>22589</v>
      </c>
      <c r="G928" s="1" t="s">
        <v>21</v>
      </c>
      <c r="H928" s="1">
        <v>15</v>
      </c>
      <c r="I928" s="1">
        <v>446309</v>
      </c>
      <c r="J928" s="1" t="s">
        <v>674</v>
      </c>
      <c r="K928" s="1" t="s">
        <v>51</v>
      </c>
      <c r="L928" s="1" t="s">
        <v>97</v>
      </c>
      <c r="M928" s="1">
        <v>1</v>
      </c>
      <c r="N928" s="2">
        <v>16.3</v>
      </c>
      <c r="O928" s="3">
        <v>25</v>
      </c>
      <c r="P928" s="1">
        <v>0</v>
      </c>
      <c r="Q928" s="1" t="s">
        <v>25</v>
      </c>
      <c r="R928" s="1" t="s">
        <v>25</v>
      </c>
      <c r="S928" s="1">
        <v>29</v>
      </c>
      <c r="T928" s="1">
        <v>1</v>
      </c>
      <c r="U928" s="1">
        <v>1</v>
      </c>
      <c r="V928">
        <f t="shared" si="14"/>
        <v>25</v>
      </c>
    </row>
    <row r="929" spans="1:22" ht="13" x14ac:dyDescent="0.15">
      <c r="A929" s="4">
        <v>44776</v>
      </c>
      <c r="B929" s="5">
        <v>0.81172453703703706</v>
      </c>
      <c r="C929" s="1">
        <v>1656</v>
      </c>
      <c r="D929" s="1">
        <v>13002595</v>
      </c>
      <c r="E929" s="1">
        <v>13</v>
      </c>
      <c r="F929" s="1">
        <v>22589</v>
      </c>
      <c r="G929" s="1" t="s">
        <v>21</v>
      </c>
      <c r="H929" s="1">
        <v>15</v>
      </c>
      <c r="I929" s="1">
        <v>446309</v>
      </c>
      <c r="J929" s="1" t="s">
        <v>674</v>
      </c>
      <c r="K929" s="1" t="s">
        <v>51</v>
      </c>
      <c r="L929" s="1" t="s">
        <v>97</v>
      </c>
      <c r="M929" s="1">
        <v>1</v>
      </c>
      <c r="N929" s="2">
        <v>16.3</v>
      </c>
      <c r="O929" s="3">
        <v>25</v>
      </c>
      <c r="P929" s="1">
        <v>0</v>
      </c>
      <c r="Q929" s="1" t="s">
        <v>25</v>
      </c>
      <c r="R929" s="1" t="s">
        <v>25</v>
      </c>
      <c r="S929" s="1">
        <v>29</v>
      </c>
      <c r="T929" s="1">
        <v>1</v>
      </c>
      <c r="U929" s="1">
        <v>2</v>
      </c>
      <c r="V929">
        <f t="shared" si="14"/>
        <v>25</v>
      </c>
    </row>
    <row r="930" spans="1:22" ht="13" x14ac:dyDescent="0.15">
      <c r="A930" s="4">
        <v>44776</v>
      </c>
      <c r="B930" s="5">
        <v>0.81172453703703706</v>
      </c>
      <c r="C930" s="1">
        <v>1656</v>
      </c>
      <c r="D930" s="1">
        <v>13002595</v>
      </c>
      <c r="E930" s="1">
        <v>13</v>
      </c>
      <c r="F930" s="1">
        <v>22589</v>
      </c>
      <c r="G930" s="1" t="s">
        <v>21</v>
      </c>
      <c r="H930" s="1">
        <v>15</v>
      </c>
      <c r="I930" s="1">
        <v>450544</v>
      </c>
      <c r="J930" s="1" t="s">
        <v>673</v>
      </c>
      <c r="K930" s="1" t="s">
        <v>117</v>
      </c>
      <c r="L930" s="1" t="s">
        <v>383</v>
      </c>
      <c r="M930" s="1">
        <v>1</v>
      </c>
      <c r="N930" s="2">
        <v>26.39</v>
      </c>
      <c r="O930" s="3">
        <v>41</v>
      </c>
      <c r="P930" s="1">
        <v>0</v>
      </c>
      <c r="Q930" s="1" t="s">
        <v>25</v>
      </c>
      <c r="R930" s="1" t="s">
        <v>25</v>
      </c>
      <c r="S930" s="1">
        <v>29</v>
      </c>
      <c r="T930" s="1">
        <v>1</v>
      </c>
      <c r="U930" s="1">
        <v>3</v>
      </c>
      <c r="V930">
        <f t="shared" si="14"/>
        <v>41</v>
      </c>
    </row>
    <row r="931" spans="1:22" ht="13" x14ac:dyDescent="0.15">
      <c r="A931" s="4">
        <v>44776</v>
      </c>
      <c r="B931" s="5">
        <v>0.82079861111111108</v>
      </c>
      <c r="C931" s="1">
        <v>1657</v>
      </c>
      <c r="D931" s="1">
        <v>13002595</v>
      </c>
      <c r="E931" s="1">
        <v>13</v>
      </c>
      <c r="F931" s="1">
        <v>22589</v>
      </c>
      <c r="G931" s="1" t="s">
        <v>21</v>
      </c>
      <c r="H931" s="1">
        <v>18</v>
      </c>
      <c r="I931" s="1">
        <v>19546</v>
      </c>
      <c r="J931" s="1" t="s">
        <v>676</v>
      </c>
      <c r="K931" s="1" t="s">
        <v>51</v>
      </c>
      <c r="L931" s="1" t="s">
        <v>32</v>
      </c>
      <c r="M931" s="1">
        <v>1</v>
      </c>
      <c r="N931" s="2">
        <v>25.81</v>
      </c>
      <c r="O931" s="3">
        <v>32</v>
      </c>
      <c r="P931" s="1">
        <v>4.22</v>
      </c>
      <c r="Q931" s="1">
        <v>925</v>
      </c>
      <c r="R931" s="1">
        <v>200000000492</v>
      </c>
      <c r="S931" s="1">
        <v>29</v>
      </c>
      <c r="T931" s="1">
        <v>1</v>
      </c>
      <c r="U931" s="1">
        <v>2</v>
      </c>
      <c r="V931">
        <f t="shared" si="14"/>
        <v>32</v>
      </c>
    </row>
    <row r="932" spans="1:22" ht="13" x14ac:dyDescent="0.15">
      <c r="A932" s="4">
        <v>44776</v>
      </c>
      <c r="B932" s="5">
        <v>0.82079861111111108</v>
      </c>
      <c r="C932" s="1">
        <v>1657</v>
      </c>
      <c r="D932" s="1">
        <v>13002595</v>
      </c>
      <c r="E932" s="1">
        <v>13</v>
      </c>
      <c r="F932" s="1">
        <v>22589</v>
      </c>
      <c r="G932" s="1" t="s">
        <v>21</v>
      </c>
      <c r="H932" s="1">
        <v>18</v>
      </c>
      <c r="I932" s="1">
        <v>19546</v>
      </c>
      <c r="J932" s="1" t="s">
        <v>676</v>
      </c>
      <c r="K932" s="1" t="s">
        <v>51</v>
      </c>
      <c r="L932" s="1" t="s">
        <v>32</v>
      </c>
      <c r="M932" s="1">
        <v>1</v>
      </c>
      <c r="N932" s="2">
        <v>25.81</v>
      </c>
      <c r="O932" s="3">
        <v>32</v>
      </c>
      <c r="P932" s="1">
        <v>4.22</v>
      </c>
      <c r="Q932" s="1">
        <v>925</v>
      </c>
      <c r="R932" s="1">
        <v>200000000492</v>
      </c>
      <c r="S932" s="1">
        <v>29</v>
      </c>
      <c r="T932" s="1">
        <v>1</v>
      </c>
      <c r="U932" s="1">
        <v>3</v>
      </c>
      <c r="V932">
        <f t="shared" si="14"/>
        <v>32</v>
      </c>
    </row>
    <row r="933" spans="1:22" ht="13" x14ac:dyDescent="0.15">
      <c r="A933" s="4">
        <v>44776</v>
      </c>
      <c r="B933" s="5">
        <v>0.82079861111111108</v>
      </c>
      <c r="C933" s="1">
        <v>1657</v>
      </c>
      <c r="D933" s="1">
        <v>13002595</v>
      </c>
      <c r="E933" s="1">
        <v>13</v>
      </c>
      <c r="F933" s="1">
        <v>22589</v>
      </c>
      <c r="G933" s="1" t="s">
        <v>21</v>
      </c>
      <c r="H933" s="1">
        <v>18</v>
      </c>
      <c r="I933" s="1">
        <v>67418</v>
      </c>
      <c r="J933" s="1" t="s">
        <v>924</v>
      </c>
      <c r="K933" s="1" t="s">
        <v>23</v>
      </c>
      <c r="L933" s="1" t="s">
        <v>67</v>
      </c>
      <c r="M933" s="1">
        <v>1</v>
      </c>
      <c r="N933" s="2">
        <v>197.01</v>
      </c>
      <c r="O933" s="3">
        <v>247</v>
      </c>
      <c r="P933" s="1">
        <v>32.56</v>
      </c>
      <c r="Q933" s="1">
        <v>925</v>
      </c>
      <c r="R933" s="1">
        <v>200000000492</v>
      </c>
      <c r="S933" s="1">
        <v>29</v>
      </c>
      <c r="T933" s="1">
        <v>1</v>
      </c>
      <c r="U933" s="1">
        <v>1</v>
      </c>
      <c r="V933">
        <f t="shared" si="14"/>
        <v>247</v>
      </c>
    </row>
    <row r="934" spans="1:22" ht="13" x14ac:dyDescent="0.15">
      <c r="A934" s="4">
        <v>44776</v>
      </c>
      <c r="B934" s="5">
        <v>0.82193287037037033</v>
      </c>
      <c r="C934" s="1">
        <v>1658</v>
      </c>
      <c r="D934" s="1">
        <v>13002595</v>
      </c>
      <c r="E934" s="1">
        <v>13</v>
      </c>
      <c r="F934" s="1">
        <v>22589</v>
      </c>
      <c r="G934" s="1" t="s">
        <v>21</v>
      </c>
      <c r="H934" s="1">
        <v>15</v>
      </c>
      <c r="I934" s="1">
        <v>9634</v>
      </c>
      <c r="J934" s="1" t="s">
        <v>925</v>
      </c>
      <c r="K934" s="1" t="s">
        <v>23</v>
      </c>
      <c r="L934" s="1" t="s">
        <v>926</v>
      </c>
      <c r="M934" s="1">
        <v>1</v>
      </c>
      <c r="N934" s="2">
        <v>370.22</v>
      </c>
      <c r="O934" s="3">
        <v>489</v>
      </c>
      <c r="P934" s="1">
        <v>34</v>
      </c>
      <c r="Q934" s="1">
        <v>9</v>
      </c>
      <c r="R934" s="1">
        <v>200010019519</v>
      </c>
      <c r="S934" s="1">
        <v>29</v>
      </c>
      <c r="T934" s="1">
        <v>1</v>
      </c>
      <c r="U934" s="1">
        <v>1</v>
      </c>
      <c r="V934">
        <f t="shared" si="14"/>
        <v>489</v>
      </c>
    </row>
    <row r="935" spans="1:22" ht="13" x14ac:dyDescent="0.15">
      <c r="A935" s="4">
        <v>44776</v>
      </c>
      <c r="B935" s="5">
        <v>0.82486111111111116</v>
      </c>
      <c r="C935" s="1">
        <v>1659</v>
      </c>
      <c r="D935" s="1">
        <v>13002595</v>
      </c>
      <c r="E935" s="1">
        <v>13</v>
      </c>
      <c r="F935" s="1">
        <v>22589</v>
      </c>
      <c r="G935" s="1" t="s">
        <v>21</v>
      </c>
      <c r="H935" s="1">
        <v>15</v>
      </c>
      <c r="I935" s="1">
        <v>573255</v>
      </c>
      <c r="J935" s="1" t="s">
        <v>724</v>
      </c>
      <c r="K935" s="1" t="s">
        <v>51</v>
      </c>
      <c r="L935" s="1" t="s">
        <v>725</v>
      </c>
      <c r="M935" s="1">
        <v>1</v>
      </c>
      <c r="N935" s="2">
        <v>106.4</v>
      </c>
      <c r="O935" s="3">
        <v>146</v>
      </c>
      <c r="P935" s="1">
        <v>0</v>
      </c>
      <c r="Q935" s="1" t="s">
        <v>25</v>
      </c>
      <c r="R935" s="1" t="s">
        <v>25</v>
      </c>
      <c r="S935" s="1">
        <v>29</v>
      </c>
      <c r="T935" s="1">
        <v>1</v>
      </c>
      <c r="U935" s="1">
        <v>1</v>
      </c>
      <c r="V935">
        <f t="shared" si="14"/>
        <v>146</v>
      </c>
    </row>
    <row r="936" spans="1:22" ht="13" x14ac:dyDescent="0.15">
      <c r="A936" s="4">
        <v>44777</v>
      </c>
      <c r="B936" s="5">
        <v>0.34461805555555558</v>
      </c>
      <c r="C936" s="1">
        <v>1663</v>
      </c>
      <c r="D936" s="1">
        <v>13002606</v>
      </c>
      <c r="E936" s="1">
        <v>13</v>
      </c>
      <c r="F936" s="1">
        <v>22589</v>
      </c>
      <c r="G936" s="1" t="s">
        <v>21</v>
      </c>
      <c r="H936" s="1">
        <v>18</v>
      </c>
      <c r="I936" s="1">
        <v>26866</v>
      </c>
      <c r="J936" s="1" t="s">
        <v>927</v>
      </c>
      <c r="K936" s="1" t="s">
        <v>29</v>
      </c>
      <c r="L936" s="1" t="s">
        <v>928</v>
      </c>
      <c r="M936" s="1">
        <v>1</v>
      </c>
      <c r="N936" s="2">
        <v>336.35</v>
      </c>
      <c r="O936" s="3">
        <v>512</v>
      </c>
      <c r="P936" s="1">
        <v>51</v>
      </c>
      <c r="Q936" s="1">
        <v>9</v>
      </c>
      <c r="R936" s="1">
        <v>200010020474</v>
      </c>
      <c r="S936" s="1">
        <v>50</v>
      </c>
      <c r="T936" s="1">
        <v>1</v>
      </c>
      <c r="U936" s="1">
        <v>1</v>
      </c>
      <c r="V936">
        <f t="shared" si="14"/>
        <v>512</v>
      </c>
    </row>
    <row r="937" spans="1:22" ht="13" x14ac:dyDescent="0.15">
      <c r="A937" s="4">
        <v>44777</v>
      </c>
      <c r="B937" s="5">
        <v>0.34695601851851854</v>
      </c>
      <c r="C937" s="1">
        <v>1664</v>
      </c>
      <c r="D937" s="1">
        <v>13002606</v>
      </c>
      <c r="E937" s="1">
        <v>13</v>
      </c>
      <c r="F937" s="1">
        <v>22589</v>
      </c>
      <c r="G937" s="1" t="s">
        <v>21</v>
      </c>
      <c r="H937" s="1">
        <v>15</v>
      </c>
      <c r="I937" s="1">
        <v>30687</v>
      </c>
      <c r="J937" s="1" t="s">
        <v>929</v>
      </c>
      <c r="K937" s="1" t="s">
        <v>61</v>
      </c>
      <c r="L937" s="1" t="s">
        <v>930</v>
      </c>
      <c r="M937" s="1">
        <v>1</v>
      </c>
      <c r="N937" s="2">
        <v>219.78</v>
      </c>
      <c r="O937" s="3">
        <v>275</v>
      </c>
      <c r="P937" s="1">
        <v>13</v>
      </c>
      <c r="Q937" s="1">
        <v>9</v>
      </c>
      <c r="R937" s="1">
        <v>200010023916</v>
      </c>
      <c r="S937" s="1">
        <v>50</v>
      </c>
      <c r="T937" s="1">
        <v>1</v>
      </c>
      <c r="U937" s="1">
        <v>1</v>
      </c>
      <c r="V937">
        <f t="shared" si="14"/>
        <v>275</v>
      </c>
    </row>
    <row r="938" spans="1:22" ht="13" x14ac:dyDescent="0.15">
      <c r="A938" s="4">
        <v>44777</v>
      </c>
      <c r="B938" s="5">
        <v>0.36493055555555554</v>
      </c>
      <c r="C938" s="1">
        <v>1665</v>
      </c>
      <c r="D938" s="1">
        <v>13002606</v>
      </c>
      <c r="E938" s="1">
        <v>13</v>
      </c>
      <c r="F938" s="1">
        <v>22589</v>
      </c>
      <c r="G938" s="1" t="s">
        <v>21</v>
      </c>
      <c r="H938" s="1">
        <v>18</v>
      </c>
      <c r="I938" s="1">
        <v>5155</v>
      </c>
      <c r="J938" s="1" t="s">
        <v>293</v>
      </c>
      <c r="K938" s="1" t="s">
        <v>29</v>
      </c>
      <c r="L938" s="1" t="s">
        <v>220</v>
      </c>
      <c r="M938" s="1">
        <v>1</v>
      </c>
      <c r="N938" s="2">
        <v>72.02</v>
      </c>
      <c r="O938" s="3">
        <v>90</v>
      </c>
      <c r="P938" s="1">
        <v>0</v>
      </c>
      <c r="Q938" s="1" t="s">
        <v>25</v>
      </c>
      <c r="R938" s="1" t="s">
        <v>25</v>
      </c>
      <c r="S938" s="1">
        <v>50</v>
      </c>
      <c r="T938" s="1">
        <v>1</v>
      </c>
      <c r="U938" s="1">
        <v>1</v>
      </c>
      <c r="V938">
        <f t="shared" si="14"/>
        <v>90</v>
      </c>
    </row>
    <row r="939" spans="1:22" ht="13" x14ac:dyDescent="0.15">
      <c r="A939" s="4">
        <v>44777</v>
      </c>
      <c r="B939" s="5">
        <v>0.36594907407407407</v>
      </c>
      <c r="C939" s="1">
        <v>1666</v>
      </c>
      <c r="D939" s="1">
        <v>13002606</v>
      </c>
      <c r="E939" s="1">
        <v>13</v>
      </c>
      <c r="F939" s="1">
        <v>22589</v>
      </c>
      <c r="G939" s="1" t="s">
        <v>21</v>
      </c>
      <c r="H939" s="1">
        <v>15</v>
      </c>
      <c r="I939" s="1">
        <v>475</v>
      </c>
      <c r="J939" s="1" t="s">
        <v>241</v>
      </c>
      <c r="K939" s="1" t="s">
        <v>117</v>
      </c>
      <c r="L939" s="1" t="s">
        <v>35</v>
      </c>
      <c r="M939" s="1">
        <v>1</v>
      </c>
      <c r="N939" s="2">
        <v>130.46</v>
      </c>
      <c r="O939" s="3">
        <v>179</v>
      </c>
      <c r="P939" s="1">
        <v>0</v>
      </c>
      <c r="Q939" s="1" t="s">
        <v>25</v>
      </c>
      <c r="R939" s="1" t="s">
        <v>25</v>
      </c>
      <c r="S939" s="1">
        <v>50</v>
      </c>
      <c r="T939" s="1">
        <v>1</v>
      </c>
      <c r="U939" s="1">
        <v>1</v>
      </c>
      <c r="V939">
        <f t="shared" si="14"/>
        <v>179</v>
      </c>
    </row>
    <row r="940" spans="1:22" ht="13" x14ac:dyDescent="0.15">
      <c r="A940" s="4">
        <v>44777</v>
      </c>
      <c r="B940" s="5">
        <v>0.36594907407407407</v>
      </c>
      <c r="C940" s="1">
        <v>1666</v>
      </c>
      <c r="D940" s="1">
        <v>13002606</v>
      </c>
      <c r="E940" s="1">
        <v>13</v>
      </c>
      <c r="F940" s="1">
        <v>22589</v>
      </c>
      <c r="G940" s="1" t="s">
        <v>21</v>
      </c>
      <c r="H940" s="1">
        <v>15</v>
      </c>
      <c r="I940" s="1">
        <v>129036</v>
      </c>
      <c r="J940" s="1" t="s">
        <v>242</v>
      </c>
      <c r="K940" s="1" t="s">
        <v>29</v>
      </c>
      <c r="L940" s="1" t="s">
        <v>35</v>
      </c>
      <c r="M940" s="1">
        <v>1</v>
      </c>
      <c r="N940" s="2">
        <v>223.96</v>
      </c>
      <c r="O940" s="3">
        <v>303</v>
      </c>
      <c r="P940" s="1">
        <v>0</v>
      </c>
      <c r="Q940" s="1" t="s">
        <v>25</v>
      </c>
      <c r="R940" s="1" t="s">
        <v>25</v>
      </c>
      <c r="S940" s="1">
        <v>50</v>
      </c>
      <c r="T940" s="1">
        <v>1</v>
      </c>
      <c r="U940" s="1">
        <v>2</v>
      </c>
      <c r="V940">
        <f t="shared" si="14"/>
        <v>303</v>
      </c>
    </row>
    <row r="941" spans="1:22" ht="13" x14ac:dyDescent="0.15">
      <c r="A941" s="4">
        <v>44777</v>
      </c>
      <c r="B941" s="5">
        <v>0.37998842592592591</v>
      </c>
      <c r="C941" s="1">
        <v>1667</v>
      </c>
      <c r="D941" s="1">
        <v>13002606</v>
      </c>
      <c r="E941" s="1">
        <v>13</v>
      </c>
      <c r="F941" s="1">
        <v>22589</v>
      </c>
      <c r="G941" s="1" t="s">
        <v>21</v>
      </c>
      <c r="H941" s="1">
        <v>15</v>
      </c>
      <c r="I941" s="1">
        <v>1308</v>
      </c>
      <c r="J941" s="1" t="s">
        <v>931</v>
      </c>
      <c r="K941" s="1" t="s">
        <v>252</v>
      </c>
      <c r="L941" s="1" t="s">
        <v>932</v>
      </c>
      <c r="M941" s="1">
        <v>1</v>
      </c>
      <c r="N941" s="2">
        <v>866.26</v>
      </c>
      <c r="O941" s="3">
        <v>1083</v>
      </c>
      <c r="P941" s="1">
        <v>75</v>
      </c>
      <c r="Q941" s="1">
        <v>9</v>
      </c>
      <c r="R941" s="1">
        <v>200010006097</v>
      </c>
      <c r="S941" s="1">
        <v>50</v>
      </c>
      <c r="T941" s="1">
        <v>1</v>
      </c>
      <c r="U941" s="1">
        <v>6</v>
      </c>
      <c r="V941">
        <f t="shared" si="14"/>
        <v>1083</v>
      </c>
    </row>
    <row r="942" spans="1:22" ht="13" x14ac:dyDescent="0.15">
      <c r="A942" s="4">
        <v>44777</v>
      </c>
      <c r="B942" s="5">
        <v>0.37998842592592591</v>
      </c>
      <c r="C942" s="1">
        <v>1667</v>
      </c>
      <c r="D942" s="1">
        <v>13002606</v>
      </c>
      <c r="E942" s="1">
        <v>13</v>
      </c>
      <c r="F942" s="1">
        <v>22589</v>
      </c>
      <c r="G942" s="1" t="s">
        <v>21</v>
      </c>
      <c r="H942" s="1">
        <v>15</v>
      </c>
      <c r="I942" s="1">
        <v>74656</v>
      </c>
      <c r="J942" s="1" t="s">
        <v>198</v>
      </c>
      <c r="K942" s="1" t="s">
        <v>51</v>
      </c>
      <c r="L942" s="1" t="s">
        <v>76</v>
      </c>
      <c r="M942" s="1">
        <v>1</v>
      </c>
      <c r="N942" s="2">
        <v>400.74</v>
      </c>
      <c r="O942" s="3">
        <v>481</v>
      </c>
      <c r="P942" s="1">
        <v>33</v>
      </c>
      <c r="Q942" s="1">
        <v>9</v>
      </c>
      <c r="R942" s="1">
        <v>200010006097</v>
      </c>
      <c r="S942" s="1">
        <v>50</v>
      </c>
      <c r="T942" s="1">
        <v>1</v>
      </c>
      <c r="U942" s="1">
        <v>1</v>
      </c>
      <c r="V942">
        <f t="shared" si="14"/>
        <v>481</v>
      </c>
    </row>
    <row r="943" spans="1:22" ht="13" x14ac:dyDescent="0.15">
      <c r="A943" s="4">
        <v>44777</v>
      </c>
      <c r="B943" s="5">
        <v>0.37998842592592591</v>
      </c>
      <c r="C943" s="1">
        <v>1667</v>
      </c>
      <c r="D943" s="1">
        <v>13002606</v>
      </c>
      <c r="E943" s="1">
        <v>13</v>
      </c>
      <c r="F943" s="1">
        <v>22589</v>
      </c>
      <c r="G943" s="1" t="s">
        <v>21</v>
      </c>
      <c r="H943" s="1">
        <v>15</v>
      </c>
      <c r="I943" s="1">
        <v>164991</v>
      </c>
      <c r="J943" s="1" t="s">
        <v>933</v>
      </c>
      <c r="K943" s="1" t="s">
        <v>23</v>
      </c>
      <c r="L943" s="1" t="s">
        <v>547</v>
      </c>
      <c r="M943" s="1">
        <v>1</v>
      </c>
      <c r="N943" s="2">
        <v>506.31</v>
      </c>
      <c r="O943" s="3">
        <v>654</v>
      </c>
      <c r="P943" s="1">
        <v>45</v>
      </c>
      <c r="Q943" s="1">
        <v>9</v>
      </c>
      <c r="R943" s="1">
        <v>200010006097</v>
      </c>
      <c r="S943" s="1">
        <v>50</v>
      </c>
      <c r="T943" s="1">
        <v>1</v>
      </c>
      <c r="U943" s="1">
        <v>2</v>
      </c>
      <c r="V943">
        <f t="shared" si="14"/>
        <v>654</v>
      </c>
    </row>
    <row r="944" spans="1:22" ht="13" x14ac:dyDescent="0.15">
      <c r="A944" s="4">
        <v>44777</v>
      </c>
      <c r="B944" s="5">
        <v>0.37998842592592591</v>
      </c>
      <c r="C944" s="1">
        <v>1667</v>
      </c>
      <c r="D944" s="1">
        <v>13002606</v>
      </c>
      <c r="E944" s="1">
        <v>13</v>
      </c>
      <c r="F944" s="1">
        <v>22589</v>
      </c>
      <c r="G944" s="1" t="s">
        <v>21</v>
      </c>
      <c r="H944" s="1">
        <v>15</v>
      </c>
      <c r="I944" s="1">
        <v>9329</v>
      </c>
      <c r="J944" s="1" t="s">
        <v>312</v>
      </c>
      <c r="K944" s="1" t="s">
        <v>64</v>
      </c>
      <c r="L944" s="1" t="s">
        <v>313</v>
      </c>
      <c r="M944" s="1">
        <v>1</v>
      </c>
      <c r="N944" s="2">
        <v>201.71</v>
      </c>
      <c r="O944" s="3">
        <v>239</v>
      </c>
      <c r="P944" s="1">
        <v>11</v>
      </c>
      <c r="Q944" s="1">
        <v>9</v>
      </c>
      <c r="R944" s="1">
        <v>200010006097</v>
      </c>
      <c r="S944" s="1">
        <v>50</v>
      </c>
      <c r="T944" s="1">
        <v>1</v>
      </c>
      <c r="U944" s="1">
        <v>3</v>
      </c>
      <c r="V944">
        <f t="shared" si="14"/>
        <v>239</v>
      </c>
    </row>
    <row r="945" spans="1:22" ht="13" x14ac:dyDescent="0.15">
      <c r="A945" s="4">
        <v>44777</v>
      </c>
      <c r="B945" s="5">
        <v>0.37998842592592591</v>
      </c>
      <c r="C945" s="1">
        <v>1667</v>
      </c>
      <c r="D945" s="1">
        <v>13002606</v>
      </c>
      <c r="E945" s="1">
        <v>13</v>
      </c>
      <c r="F945" s="1">
        <v>22589</v>
      </c>
      <c r="G945" s="1" t="s">
        <v>21</v>
      </c>
      <c r="H945" s="1">
        <v>15</v>
      </c>
      <c r="I945" s="1">
        <v>142036</v>
      </c>
      <c r="J945" s="1" t="s">
        <v>101</v>
      </c>
      <c r="K945" s="1" t="s">
        <v>23</v>
      </c>
      <c r="L945" s="1" t="s">
        <v>76</v>
      </c>
      <c r="M945" s="1">
        <v>1</v>
      </c>
      <c r="N945" s="2">
        <v>187.36</v>
      </c>
      <c r="O945" s="3">
        <v>220</v>
      </c>
      <c r="P945" s="1">
        <v>15</v>
      </c>
      <c r="Q945" s="1">
        <v>9</v>
      </c>
      <c r="R945" s="1">
        <v>200010006097</v>
      </c>
      <c r="S945" s="1">
        <v>50</v>
      </c>
      <c r="T945" s="1">
        <v>1</v>
      </c>
      <c r="U945" s="1">
        <v>5</v>
      </c>
      <c r="V945">
        <f t="shared" si="14"/>
        <v>220</v>
      </c>
    </row>
    <row r="946" spans="1:22" ht="13" x14ac:dyDescent="0.15">
      <c r="A946" s="4">
        <v>44777</v>
      </c>
      <c r="B946" s="5">
        <v>0.37998842592592591</v>
      </c>
      <c r="C946" s="1">
        <v>1667</v>
      </c>
      <c r="D946" s="1">
        <v>13002606</v>
      </c>
      <c r="E946" s="1">
        <v>13</v>
      </c>
      <c r="F946" s="1">
        <v>22589</v>
      </c>
      <c r="G946" s="1" t="s">
        <v>21</v>
      </c>
      <c r="H946" s="1">
        <v>15</v>
      </c>
      <c r="I946" s="1">
        <v>312880</v>
      </c>
      <c r="J946" s="1" t="s">
        <v>934</v>
      </c>
      <c r="K946" s="1" t="s">
        <v>34</v>
      </c>
      <c r="L946" s="1" t="s">
        <v>37</v>
      </c>
      <c r="M946" s="1">
        <v>1</v>
      </c>
      <c r="N946" s="2">
        <v>436.25</v>
      </c>
      <c r="O946" s="3">
        <v>576</v>
      </c>
      <c r="P946" s="1">
        <v>40</v>
      </c>
      <c r="Q946" s="1">
        <v>9</v>
      </c>
      <c r="R946" s="1">
        <v>200010006097</v>
      </c>
      <c r="S946" s="1">
        <v>50</v>
      </c>
      <c r="T946" s="1">
        <v>1</v>
      </c>
      <c r="U946" s="1">
        <v>4</v>
      </c>
      <c r="V946">
        <f t="shared" si="14"/>
        <v>576</v>
      </c>
    </row>
    <row r="947" spans="1:22" ht="13" x14ac:dyDescent="0.15">
      <c r="A947" s="4">
        <v>44777</v>
      </c>
      <c r="B947" s="5">
        <v>0.3831134259259259</v>
      </c>
      <c r="C947" s="1">
        <v>1668</v>
      </c>
      <c r="D947" s="1">
        <v>13002606</v>
      </c>
      <c r="E947" s="1">
        <v>13</v>
      </c>
      <c r="F947" s="1">
        <v>22589</v>
      </c>
      <c r="G947" s="1" t="s">
        <v>21</v>
      </c>
      <c r="H947" s="1">
        <v>15</v>
      </c>
      <c r="I947" s="1">
        <v>120091</v>
      </c>
      <c r="J947" s="1" t="s">
        <v>460</v>
      </c>
      <c r="K947" s="1" t="s">
        <v>51</v>
      </c>
      <c r="L947" s="1" t="s">
        <v>65</v>
      </c>
      <c r="M947" s="1">
        <v>1</v>
      </c>
      <c r="N947" s="2">
        <v>32.840000000000003</v>
      </c>
      <c r="O947" s="3">
        <v>41</v>
      </c>
      <c r="P947" s="1">
        <v>2</v>
      </c>
      <c r="Q947" s="1">
        <v>9</v>
      </c>
      <c r="R947" s="1">
        <v>200010019013</v>
      </c>
      <c r="S947" s="1">
        <v>50</v>
      </c>
      <c r="T947" s="1">
        <v>1</v>
      </c>
      <c r="U947" s="1">
        <v>1</v>
      </c>
      <c r="V947">
        <f t="shared" si="14"/>
        <v>41</v>
      </c>
    </row>
    <row r="948" spans="1:22" ht="13" x14ac:dyDescent="0.15">
      <c r="A948" s="4">
        <v>44777</v>
      </c>
      <c r="B948" s="5">
        <v>0.39839120370370368</v>
      </c>
      <c r="C948" s="1">
        <v>1669</v>
      </c>
      <c r="D948" s="1">
        <v>13002606</v>
      </c>
      <c r="E948" s="1">
        <v>13</v>
      </c>
      <c r="F948" s="1">
        <v>22589</v>
      </c>
      <c r="G948" s="1" t="s">
        <v>21</v>
      </c>
      <c r="H948" s="1">
        <v>15</v>
      </c>
      <c r="I948" s="1">
        <v>50107</v>
      </c>
      <c r="J948" s="1" t="s">
        <v>935</v>
      </c>
      <c r="K948" s="1" t="s">
        <v>34</v>
      </c>
      <c r="L948" s="1" t="s">
        <v>810</v>
      </c>
      <c r="M948" s="1">
        <v>0.2</v>
      </c>
      <c r="N948" s="2">
        <v>1195.4100000000001</v>
      </c>
      <c r="O948" s="3">
        <v>1638</v>
      </c>
      <c r="P948" s="1">
        <v>0</v>
      </c>
      <c r="Q948" s="1" t="s">
        <v>25</v>
      </c>
      <c r="R948" s="1" t="s">
        <v>25</v>
      </c>
      <c r="S948" s="1">
        <v>50</v>
      </c>
      <c r="T948" s="1">
        <v>1</v>
      </c>
      <c r="U948" s="1">
        <v>1</v>
      </c>
      <c r="V948">
        <f t="shared" si="14"/>
        <v>327.60000000000002</v>
      </c>
    </row>
    <row r="949" spans="1:22" ht="13" x14ac:dyDescent="0.15">
      <c r="A949" s="4">
        <v>44777</v>
      </c>
      <c r="B949" s="5">
        <v>0.43222222222222223</v>
      </c>
      <c r="C949" s="1">
        <v>1670</v>
      </c>
      <c r="D949" s="1">
        <v>13002606</v>
      </c>
      <c r="E949" s="1">
        <v>13</v>
      </c>
      <c r="F949" s="1">
        <v>22589</v>
      </c>
      <c r="G949" s="1" t="s">
        <v>21</v>
      </c>
      <c r="H949" s="1">
        <v>18</v>
      </c>
      <c r="I949" s="1">
        <v>11821</v>
      </c>
      <c r="J949" s="1" t="s">
        <v>936</v>
      </c>
      <c r="K949" s="1" t="s">
        <v>23</v>
      </c>
      <c r="L949" s="1" t="s">
        <v>937</v>
      </c>
      <c r="M949" s="1">
        <v>1</v>
      </c>
      <c r="N949" s="2">
        <v>185.36</v>
      </c>
      <c r="O949" s="3">
        <v>254</v>
      </c>
      <c r="P949" s="1">
        <v>17</v>
      </c>
      <c r="Q949" s="1">
        <v>9</v>
      </c>
      <c r="R949" s="1">
        <v>200010020276</v>
      </c>
      <c r="S949" s="1">
        <v>50</v>
      </c>
      <c r="T949" s="1">
        <v>1</v>
      </c>
      <c r="U949" s="1">
        <v>2</v>
      </c>
      <c r="V949">
        <f t="shared" si="14"/>
        <v>254</v>
      </c>
    </row>
    <row r="950" spans="1:22" ht="13" x14ac:dyDescent="0.15">
      <c r="A950" s="4">
        <v>44777</v>
      </c>
      <c r="B950" s="5">
        <v>0.43222222222222223</v>
      </c>
      <c r="C950" s="1">
        <v>1670</v>
      </c>
      <c r="D950" s="1">
        <v>13002606</v>
      </c>
      <c r="E950" s="1">
        <v>13</v>
      </c>
      <c r="F950" s="1">
        <v>22589</v>
      </c>
      <c r="G950" s="1" t="s">
        <v>21</v>
      </c>
      <c r="H950" s="1">
        <v>18</v>
      </c>
      <c r="I950" s="1">
        <v>245</v>
      </c>
      <c r="J950" s="1" t="s">
        <v>938</v>
      </c>
      <c r="K950" s="1" t="s">
        <v>23</v>
      </c>
      <c r="L950" s="1" t="s">
        <v>939</v>
      </c>
      <c r="M950" s="1">
        <v>1</v>
      </c>
      <c r="N950" s="2">
        <v>123.97</v>
      </c>
      <c r="O950" s="3">
        <v>170</v>
      </c>
      <c r="P950" s="1">
        <v>11</v>
      </c>
      <c r="Q950" s="1">
        <v>9</v>
      </c>
      <c r="R950" s="1">
        <v>200010020276</v>
      </c>
      <c r="S950" s="1">
        <v>50</v>
      </c>
      <c r="T950" s="1">
        <v>1</v>
      </c>
      <c r="U950" s="1">
        <v>1</v>
      </c>
      <c r="V950">
        <f t="shared" si="14"/>
        <v>170</v>
      </c>
    </row>
    <row r="951" spans="1:22" ht="13" x14ac:dyDescent="0.15">
      <c r="A951" s="4">
        <v>44777</v>
      </c>
      <c r="B951" s="5">
        <v>0.43403935185185183</v>
      </c>
      <c r="C951" s="1">
        <v>1671</v>
      </c>
      <c r="D951" s="1">
        <v>13002606</v>
      </c>
      <c r="E951" s="1">
        <v>13</v>
      </c>
      <c r="F951" s="1">
        <v>22589</v>
      </c>
      <c r="G951" s="1" t="s">
        <v>21</v>
      </c>
      <c r="H951" s="1">
        <v>15</v>
      </c>
      <c r="I951" s="1">
        <v>75837</v>
      </c>
      <c r="J951" s="1" t="s">
        <v>940</v>
      </c>
      <c r="K951" s="1" t="s">
        <v>51</v>
      </c>
      <c r="L951" s="1" t="s">
        <v>67</v>
      </c>
      <c r="M951" s="1">
        <v>1</v>
      </c>
      <c r="N951" s="2">
        <v>548.47</v>
      </c>
      <c r="O951" s="3">
        <v>659</v>
      </c>
      <c r="P951" s="1">
        <v>46</v>
      </c>
      <c r="Q951" s="1">
        <v>9</v>
      </c>
      <c r="R951" s="1">
        <v>200010000498</v>
      </c>
      <c r="S951" s="1">
        <v>50</v>
      </c>
      <c r="T951" s="1">
        <v>1</v>
      </c>
      <c r="U951" s="1">
        <v>1</v>
      </c>
      <c r="V951">
        <f t="shared" si="14"/>
        <v>659</v>
      </c>
    </row>
    <row r="952" spans="1:22" ht="13" x14ac:dyDescent="0.15">
      <c r="A952" s="4">
        <v>44777</v>
      </c>
      <c r="B952" s="5">
        <v>0.43846064814814817</v>
      </c>
      <c r="C952" s="1">
        <v>1672</v>
      </c>
      <c r="D952" s="1">
        <v>13002606</v>
      </c>
      <c r="E952" s="1">
        <v>13</v>
      </c>
      <c r="F952" s="1">
        <v>22589</v>
      </c>
      <c r="G952" s="1" t="s">
        <v>21</v>
      </c>
      <c r="H952" s="1">
        <v>18</v>
      </c>
      <c r="I952" s="1">
        <v>196444</v>
      </c>
      <c r="J952" s="1" t="s">
        <v>281</v>
      </c>
      <c r="K952" s="1" t="s">
        <v>51</v>
      </c>
      <c r="L952" s="1" t="s">
        <v>32</v>
      </c>
      <c r="M952" s="1">
        <v>1</v>
      </c>
      <c r="N952" s="2">
        <v>79.930000000000007</v>
      </c>
      <c r="O952" s="3">
        <v>100</v>
      </c>
      <c r="P952" s="1">
        <v>0</v>
      </c>
      <c r="Q952" s="1" t="s">
        <v>25</v>
      </c>
      <c r="R952" s="1" t="s">
        <v>25</v>
      </c>
      <c r="S952" s="1">
        <v>50</v>
      </c>
      <c r="T952" s="1">
        <v>1</v>
      </c>
      <c r="U952" s="1">
        <v>1</v>
      </c>
      <c r="V952">
        <f t="shared" si="14"/>
        <v>100</v>
      </c>
    </row>
    <row r="953" spans="1:22" ht="13" x14ac:dyDescent="0.15">
      <c r="A953" s="4">
        <v>44777</v>
      </c>
      <c r="B953" s="5">
        <v>0.44571759259259258</v>
      </c>
      <c r="C953" s="1">
        <v>1673</v>
      </c>
      <c r="D953" s="1">
        <v>13002606</v>
      </c>
      <c r="E953" s="1">
        <v>13</v>
      </c>
      <c r="F953" s="1">
        <v>22589</v>
      </c>
      <c r="G953" s="1" t="s">
        <v>21</v>
      </c>
      <c r="H953" s="1">
        <v>18</v>
      </c>
      <c r="I953" s="1">
        <v>142036</v>
      </c>
      <c r="J953" s="1" t="s">
        <v>101</v>
      </c>
      <c r="K953" s="1" t="s">
        <v>51</v>
      </c>
      <c r="L953" s="1" t="s">
        <v>76</v>
      </c>
      <c r="M953" s="1">
        <v>1</v>
      </c>
      <c r="N953" s="2">
        <v>187.95</v>
      </c>
      <c r="O953" s="3">
        <v>220</v>
      </c>
      <c r="P953" s="1">
        <v>15</v>
      </c>
      <c r="Q953" s="1">
        <v>9</v>
      </c>
      <c r="R953" s="1">
        <v>200010022526</v>
      </c>
      <c r="S953" s="1">
        <v>50</v>
      </c>
      <c r="T953" s="1">
        <v>1</v>
      </c>
      <c r="U953" s="1">
        <v>1</v>
      </c>
      <c r="V953">
        <f t="shared" si="14"/>
        <v>220</v>
      </c>
    </row>
    <row r="954" spans="1:22" ht="13" x14ac:dyDescent="0.15">
      <c r="A954" s="4">
        <v>44777</v>
      </c>
      <c r="B954" s="5">
        <v>0.5758564814814815</v>
      </c>
      <c r="C954" s="1">
        <v>1723</v>
      </c>
      <c r="D954" s="1">
        <v>13002606</v>
      </c>
      <c r="E954" s="1">
        <v>13</v>
      </c>
      <c r="F954" s="1">
        <v>22589</v>
      </c>
      <c r="G954" s="1" t="s">
        <v>21</v>
      </c>
      <c r="H954" s="1">
        <v>15</v>
      </c>
      <c r="I954" s="1">
        <v>142036</v>
      </c>
      <c r="J954" s="1" t="s">
        <v>101</v>
      </c>
      <c r="K954" s="1" t="s">
        <v>51</v>
      </c>
      <c r="L954" s="1" t="s">
        <v>76</v>
      </c>
      <c r="M954" s="1">
        <v>1</v>
      </c>
      <c r="N954" s="2">
        <v>187.95</v>
      </c>
      <c r="O954" s="3">
        <v>220</v>
      </c>
      <c r="P954" s="1">
        <v>15</v>
      </c>
      <c r="Q954" s="1">
        <v>9</v>
      </c>
      <c r="R954" s="1">
        <v>200010000427</v>
      </c>
      <c r="S954" s="1">
        <v>50</v>
      </c>
      <c r="T954" s="1">
        <v>1</v>
      </c>
      <c r="U954" s="1">
        <v>1</v>
      </c>
      <c r="V954">
        <f t="shared" si="14"/>
        <v>220</v>
      </c>
    </row>
    <row r="955" spans="1:22" ht="13" x14ac:dyDescent="0.15">
      <c r="A955" s="4">
        <v>44777</v>
      </c>
      <c r="B955" s="5">
        <v>0.6843055555555555</v>
      </c>
      <c r="C955" s="1">
        <v>1747</v>
      </c>
      <c r="D955" s="1">
        <v>13002606</v>
      </c>
      <c r="E955" s="1">
        <v>13</v>
      </c>
      <c r="F955" s="1">
        <v>22589</v>
      </c>
      <c r="G955" s="1" t="s">
        <v>21</v>
      </c>
      <c r="H955" s="1">
        <v>15</v>
      </c>
      <c r="I955" s="1">
        <v>142036</v>
      </c>
      <c r="J955" s="1" t="s">
        <v>101</v>
      </c>
      <c r="K955" s="1" t="s">
        <v>51</v>
      </c>
      <c r="L955" s="1" t="s">
        <v>76</v>
      </c>
      <c r="M955" s="1">
        <v>0.68181818000000005</v>
      </c>
      <c r="N955" s="2">
        <v>187.95</v>
      </c>
      <c r="O955" s="3">
        <v>220</v>
      </c>
      <c r="P955" s="1">
        <v>0</v>
      </c>
      <c r="Q955" s="1" t="s">
        <v>25</v>
      </c>
      <c r="R955" s="1" t="s">
        <v>25</v>
      </c>
      <c r="S955" s="1">
        <v>50</v>
      </c>
      <c r="T955" s="1">
        <v>1</v>
      </c>
      <c r="U955" s="1">
        <v>1</v>
      </c>
      <c r="V955">
        <f t="shared" si="14"/>
        <v>149.99999960000002</v>
      </c>
    </row>
    <row r="956" spans="1:22" ht="13" x14ac:dyDescent="0.15">
      <c r="A956" s="4">
        <v>44777</v>
      </c>
      <c r="B956" s="5">
        <v>0.6843055555555555</v>
      </c>
      <c r="C956" s="1">
        <v>1747</v>
      </c>
      <c r="D956" s="1">
        <v>13002606</v>
      </c>
      <c r="E956" s="1">
        <v>13</v>
      </c>
      <c r="F956" s="1">
        <v>22589</v>
      </c>
      <c r="G956" s="1" t="s">
        <v>21</v>
      </c>
      <c r="H956" s="1">
        <v>18</v>
      </c>
      <c r="I956" s="1">
        <v>142036</v>
      </c>
      <c r="J956" s="1" t="s">
        <v>101</v>
      </c>
      <c r="K956" s="1" t="s">
        <v>51</v>
      </c>
      <c r="L956" s="1" t="s">
        <v>76</v>
      </c>
      <c r="M956" s="1">
        <v>0.31818182</v>
      </c>
      <c r="N956" s="2">
        <v>187.95</v>
      </c>
      <c r="O956" s="3">
        <v>220</v>
      </c>
      <c r="P956" s="1">
        <v>0</v>
      </c>
      <c r="Q956" s="1" t="s">
        <v>25</v>
      </c>
      <c r="R956" s="1" t="s">
        <v>25</v>
      </c>
      <c r="S956" s="1">
        <v>50</v>
      </c>
      <c r="T956" s="1">
        <v>1</v>
      </c>
      <c r="U956" s="1">
        <v>2</v>
      </c>
      <c r="V956">
        <f t="shared" si="14"/>
        <v>70.000000400000005</v>
      </c>
    </row>
    <row r="957" spans="1:22" ht="13" x14ac:dyDescent="0.15">
      <c r="A957" s="4">
        <v>44777</v>
      </c>
      <c r="B957" s="5">
        <v>0.44711805555555556</v>
      </c>
      <c r="C957" s="1">
        <v>1674</v>
      </c>
      <c r="D957" s="1">
        <v>13002606</v>
      </c>
      <c r="E957" s="1">
        <v>13</v>
      </c>
      <c r="F957" s="1">
        <v>22589</v>
      </c>
      <c r="G957" s="1" t="s">
        <v>21</v>
      </c>
      <c r="H957" s="1">
        <v>15</v>
      </c>
      <c r="I957" s="1">
        <v>5312</v>
      </c>
      <c r="J957" s="1" t="s">
        <v>642</v>
      </c>
      <c r="K957" s="1" t="s">
        <v>64</v>
      </c>
      <c r="L957" s="1" t="s">
        <v>612</v>
      </c>
      <c r="M957" s="1">
        <v>1</v>
      </c>
      <c r="N957" s="2">
        <v>283.52</v>
      </c>
      <c r="O957" s="3">
        <v>383</v>
      </c>
      <c r="P957" s="1">
        <v>38</v>
      </c>
      <c r="Q957" s="1">
        <v>30</v>
      </c>
      <c r="R957" s="1">
        <v>200000000024</v>
      </c>
      <c r="S957" s="1">
        <v>50</v>
      </c>
      <c r="T957" s="1">
        <v>1</v>
      </c>
      <c r="U957" s="1">
        <v>1</v>
      </c>
      <c r="V957">
        <f t="shared" si="14"/>
        <v>383</v>
      </c>
    </row>
    <row r="958" spans="1:22" ht="13" x14ac:dyDescent="0.15">
      <c r="A958" s="4">
        <v>44777</v>
      </c>
      <c r="B958" s="5">
        <v>0.45601851851851855</v>
      </c>
      <c r="C958" s="1">
        <v>1675</v>
      </c>
      <c r="D958" s="1">
        <v>13002606</v>
      </c>
      <c r="E958" s="1">
        <v>13</v>
      </c>
      <c r="F958" s="1">
        <v>22589</v>
      </c>
      <c r="G958" s="1" t="s">
        <v>21</v>
      </c>
      <c r="H958" s="1">
        <v>18</v>
      </c>
      <c r="I958" s="1">
        <v>82396</v>
      </c>
      <c r="J958" s="1" t="s">
        <v>610</v>
      </c>
      <c r="K958" s="1" t="s">
        <v>51</v>
      </c>
      <c r="L958" s="1" t="s">
        <v>216</v>
      </c>
      <c r="M958" s="1">
        <v>1</v>
      </c>
      <c r="N958" s="2">
        <v>80.650000000000006</v>
      </c>
      <c r="O958" s="3">
        <v>101</v>
      </c>
      <c r="P958" s="1">
        <v>0</v>
      </c>
      <c r="Q958" s="1" t="s">
        <v>25</v>
      </c>
      <c r="R958" s="1" t="s">
        <v>25</v>
      </c>
      <c r="S958" s="1">
        <v>50</v>
      </c>
      <c r="T958" s="1">
        <v>1</v>
      </c>
      <c r="U958" s="1">
        <v>1</v>
      </c>
      <c r="V958">
        <f t="shared" si="14"/>
        <v>101</v>
      </c>
    </row>
    <row r="959" spans="1:22" ht="13" x14ac:dyDescent="0.15">
      <c r="A959" s="4">
        <v>44777</v>
      </c>
      <c r="B959" s="5">
        <v>0.4934722222222222</v>
      </c>
      <c r="C959" s="1">
        <v>1688</v>
      </c>
      <c r="D959" s="1">
        <v>13002606</v>
      </c>
      <c r="E959" s="1">
        <v>13</v>
      </c>
      <c r="F959" s="1">
        <v>22589</v>
      </c>
      <c r="G959" s="1" t="s">
        <v>21</v>
      </c>
      <c r="H959" s="1">
        <v>15</v>
      </c>
      <c r="I959" s="1">
        <v>82396</v>
      </c>
      <c r="J959" s="1" t="s">
        <v>610</v>
      </c>
      <c r="K959" s="1" t="s">
        <v>51</v>
      </c>
      <c r="L959" s="1" t="s">
        <v>216</v>
      </c>
      <c r="M959" s="1">
        <v>1</v>
      </c>
      <c r="N959" s="2">
        <v>80.650000000000006</v>
      </c>
      <c r="O959" s="3">
        <v>101</v>
      </c>
      <c r="P959" s="1">
        <v>5</v>
      </c>
      <c r="Q959" s="1">
        <v>9</v>
      </c>
      <c r="R959" s="1">
        <v>200010006867</v>
      </c>
      <c r="S959" s="1">
        <v>50</v>
      </c>
      <c r="T959" s="1">
        <v>1</v>
      </c>
      <c r="U959" s="1">
        <v>1</v>
      </c>
      <c r="V959">
        <f t="shared" si="14"/>
        <v>101</v>
      </c>
    </row>
    <row r="960" spans="1:22" ht="13" x14ac:dyDescent="0.15">
      <c r="A960" s="4">
        <v>44777</v>
      </c>
      <c r="B960" s="5">
        <v>0.45601851851851855</v>
      </c>
      <c r="C960" s="1">
        <v>1675</v>
      </c>
      <c r="D960" s="1">
        <v>13002606</v>
      </c>
      <c r="E960" s="1">
        <v>13</v>
      </c>
      <c r="F960" s="1">
        <v>22589</v>
      </c>
      <c r="G960" s="1" t="s">
        <v>21</v>
      </c>
      <c r="H960" s="1">
        <v>18</v>
      </c>
      <c r="I960" s="1">
        <v>18722</v>
      </c>
      <c r="J960" s="1" t="s">
        <v>941</v>
      </c>
      <c r="K960" s="1" t="s">
        <v>34</v>
      </c>
      <c r="L960" s="1" t="s">
        <v>942</v>
      </c>
      <c r="M960" s="1">
        <v>1</v>
      </c>
      <c r="N960" s="2">
        <v>57.7</v>
      </c>
      <c r="O960" s="3">
        <v>72.5</v>
      </c>
      <c r="P960" s="1">
        <v>0</v>
      </c>
      <c r="Q960" s="1" t="s">
        <v>25</v>
      </c>
      <c r="R960" s="1" t="s">
        <v>25</v>
      </c>
      <c r="S960" s="1">
        <v>50</v>
      </c>
      <c r="T960" s="1">
        <v>1</v>
      </c>
      <c r="U960" s="1">
        <v>2</v>
      </c>
      <c r="V960">
        <f t="shared" si="14"/>
        <v>72.5</v>
      </c>
    </row>
    <row r="961" spans="1:22" ht="13" x14ac:dyDescent="0.15">
      <c r="A961" s="4">
        <v>44777</v>
      </c>
      <c r="B961" s="5">
        <v>0.45601851851851855</v>
      </c>
      <c r="C961" s="1">
        <v>1675</v>
      </c>
      <c r="D961" s="1">
        <v>13002606</v>
      </c>
      <c r="E961" s="1">
        <v>13</v>
      </c>
      <c r="F961" s="1">
        <v>22589</v>
      </c>
      <c r="G961" s="1" t="s">
        <v>21</v>
      </c>
      <c r="H961" s="1">
        <v>18</v>
      </c>
      <c r="I961" s="1">
        <v>13574</v>
      </c>
      <c r="J961" s="1" t="s">
        <v>416</v>
      </c>
      <c r="K961" s="1" t="s">
        <v>48</v>
      </c>
      <c r="L961" s="1" t="s">
        <v>417</v>
      </c>
      <c r="M961" s="1">
        <v>0.1</v>
      </c>
      <c r="N961" s="2">
        <v>927.61</v>
      </c>
      <c r="O961" s="3">
        <v>1197</v>
      </c>
      <c r="P961" s="1">
        <v>0</v>
      </c>
      <c r="Q961" s="1" t="s">
        <v>25</v>
      </c>
      <c r="R961" s="1" t="s">
        <v>25</v>
      </c>
      <c r="S961" s="1">
        <v>50</v>
      </c>
      <c r="T961" s="1">
        <v>1</v>
      </c>
      <c r="U961" s="1">
        <v>3</v>
      </c>
      <c r="V961">
        <f t="shared" si="14"/>
        <v>119.7</v>
      </c>
    </row>
    <row r="962" spans="1:22" ht="13" x14ac:dyDescent="0.15">
      <c r="A962" s="4">
        <v>44777</v>
      </c>
      <c r="B962" s="5">
        <v>0.45702546296296298</v>
      </c>
      <c r="C962" s="1">
        <v>1676</v>
      </c>
      <c r="D962" s="1">
        <v>13002606</v>
      </c>
      <c r="E962" s="1">
        <v>13</v>
      </c>
      <c r="F962" s="1">
        <v>22589</v>
      </c>
      <c r="G962" s="1" t="s">
        <v>21</v>
      </c>
      <c r="H962" s="1">
        <v>15</v>
      </c>
      <c r="I962" s="1">
        <v>42974</v>
      </c>
      <c r="J962" s="1" t="s">
        <v>943</v>
      </c>
      <c r="K962" s="1" t="s">
        <v>34</v>
      </c>
      <c r="L962" s="1" t="s">
        <v>226</v>
      </c>
      <c r="M962" s="1">
        <v>2</v>
      </c>
      <c r="N962" s="2">
        <v>44.45</v>
      </c>
      <c r="O962" s="3">
        <v>72</v>
      </c>
      <c r="P962" s="1">
        <v>14</v>
      </c>
      <c r="Q962" s="1">
        <v>9</v>
      </c>
      <c r="R962" s="1">
        <v>200010023943</v>
      </c>
      <c r="S962" s="1">
        <v>50</v>
      </c>
      <c r="T962" s="1">
        <v>1</v>
      </c>
      <c r="U962" s="1">
        <v>3</v>
      </c>
      <c r="V962">
        <f t="shared" si="14"/>
        <v>144</v>
      </c>
    </row>
    <row r="963" spans="1:22" ht="13" x14ac:dyDescent="0.15">
      <c r="A963" s="4">
        <v>44777</v>
      </c>
      <c r="B963" s="5">
        <v>0.45702546296296298</v>
      </c>
      <c r="C963" s="1">
        <v>1676</v>
      </c>
      <c r="D963" s="1">
        <v>13002606</v>
      </c>
      <c r="E963" s="1">
        <v>13</v>
      </c>
      <c r="F963" s="1">
        <v>22589</v>
      </c>
      <c r="G963" s="1" t="s">
        <v>21</v>
      </c>
      <c r="H963" s="1">
        <v>15</v>
      </c>
      <c r="I963" s="1">
        <v>434298</v>
      </c>
      <c r="J963" s="1" t="s">
        <v>828</v>
      </c>
      <c r="K963" s="1" t="s">
        <v>29</v>
      </c>
      <c r="L963" s="1" t="s">
        <v>335</v>
      </c>
      <c r="M963" s="1">
        <v>1</v>
      </c>
      <c r="N963" s="2">
        <v>85.97</v>
      </c>
      <c r="O963" s="3">
        <v>123</v>
      </c>
      <c r="P963" s="1">
        <v>8</v>
      </c>
      <c r="Q963" s="1">
        <v>9</v>
      </c>
      <c r="R963" s="1">
        <v>200010023943</v>
      </c>
      <c r="S963" s="1">
        <v>50</v>
      </c>
      <c r="T963" s="1">
        <v>1</v>
      </c>
      <c r="U963" s="1">
        <v>4</v>
      </c>
      <c r="V963">
        <f t="shared" ref="V963:V1026" si="15">O963*M963</f>
        <v>123</v>
      </c>
    </row>
    <row r="964" spans="1:22" ht="13" x14ac:dyDescent="0.15">
      <c r="A964" s="4">
        <v>44777</v>
      </c>
      <c r="B964" s="5">
        <v>0.45702546296296298</v>
      </c>
      <c r="C964" s="1">
        <v>1676</v>
      </c>
      <c r="D964" s="1">
        <v>13002606</v>
      </c>
      <c r="E964" s="1">
        <v>13</v>
      </c>
      <c r="F964" s="1">
        <v>22589</v>
      </c>
      <c r="G964" s="1" t="s">
        <v>21</v>
      </c>
      <c r="H964" s="1">
        <v>15</v>
      </c>
      <c r="I964" s="1">
        <v>170308</v>
      </c>
      <c r="J964" s="1" t="s">
        <v>944</v>
      </c>
      <c r="K964" s="1" t="s">
        <v>110</v>
      </c>
      <c r="L964" s="1" t="s">
        <v>159</v>
      </c>
      <c r="M964" s="1">
        <v>1</v>
      </c>
      <c r="N964" s="2">
        <v>78.760000000000005</v>
      </c>
      <c r="O964" s="3">
        <v>97</v>
      </c>
      <c r="P964" s="1">
        <v>4</v>
      </c>
      <c r="Q964" s="1">
        <v>9</v>
      </c>
      <c r="R964" s="1">
        <v>200010023943</v>
      </c>
      <c r="S964" s="1">
        <v>50</v>
      </c>
      <c r="T964" s="1">
        <v>1</v>
      </c>
      <c r="U964" s="1">
        <v>1</v>
      </c>
      <c r="V964">
        <f t="shared" si="15"/>
        <v>97</v>
      </c>
    </row>
    <row r="965" spans="1:22" ht="13" x14ac:dyDescent="0.15">
      <c r="A965" s="4">
        <v>44777</v>
      </c>
      <c r="B965" s="5">
        <v>0.45702546296296298</v>
      </c>
      <c r="C965" s="1">
        <v>1676</v>
      </c>
      <c r="D965" s="1">
        <v>13002606</v>
      </c>
      <c r="E965" s="1">
        <v>13</v>
      </c>
      <c r="F965" s="1">
        <v>22589</v>
      </c>
      <c r="G965" s="1" t="s">
        <v>21</v>
      </c>
      <c r="H965" s="1">
        <v>15</v>
      </c>
      <c r="I965" s="1">
        <v>149571</v>
      </c>
      <c r="J965" s="1" t="s">
        <v>945</v>
      </c>
      <c r="K965" s="1" t="s">
        <v>23</v>
      </c>
      <c r="L965" s="1" t="s">
        <v>159</v>
      </c>
      <c r="M965" s="1">
        <v>1</v>
      </c>
      <c r="N965" s="2">
        <v>106.7</v>
      </c>
      <c r="O965" s="3">
        <v>127</v>
      </c>
      <c r="P965" s="1">
        <v>6</v>
      </c>
      <c r="Q965" s="1">
        <v>9</v>
      </c>
      <c r="R965" s="1">
        <v>200010023943</v>
      </c>
      <c r="S965" s="1">
        <v>50</v>
      </c>
      <c r="T965" s="1">
        <v>1</v>
      </c>
      <c r="U965" s="1">
        <v>2</v>
      </c>
      <c r="V965">
        <f t="shared" si="15"/>
        <v>127</v>
      </c>
    </row>
    <row r="966" spans="1:22" ht="13" x14ac:dyDescent="0.15">
      <c r="A966" s="4">
        <v>44777</v>
      </c>
      <c r="B966" s="5">
        <v>0.46196759259259257</v>
      </c>
      <c r="C966" s="1">
        <v>1677</v>
      </c>
      <c r="D966" s="1">
        <v>13002606</v>
      </c>
      <c r="E966" s="1">
        <v>13</v>
      </c>
      <c r="F966" s="1">
        <v>22589</v>
      </c>
      <c r="G966" s="1" t="s">
        <v>21</v>
      </c>
      <c r="H966" s="1">
        <v>18</v>
      </c>
      <c r="I966" s="1">
        <v>59697</v>
      </c>
      <c r="J966" s="1" t="s">
        <v>946</v>
      </c>
      <c r="K966" s="1" t="s">
        <v>117</v>
      </c>
      <c r="L966" s="1" t="s">
        <v>355</v>
      </c>
      <c r="M966" s="1">
        <v>1</v>
      </c>
      <c r="N966" s="2">
        <v>2238.25</v>
      </c>
      <c r="O966" s="3">
        <v>2642</v>
      </c>
      <c r="P966" s="1">
        <v>184</v>
      </c>
      <c r="Q966" s="1">
        <v>11</v>
      </c>
      <c r="R966" s="1">
        <v>200010000010</v>
      </c>
      <c r="S966" s="1">
        <v>50</v>
      </c>
      <c r="T966" s="1">
        <v>1</v>
      </c>
      <c r="U966" s="1">
        <v>3</v>
      </c>
      <c r="V966">
        <f t="shared" si="15"/>
        <v>2642</v>
      </c>
    </row>
    <row r="967" spans="1:22" ht="13" x14ac:dyDescent="0.15">
      <c r="A967" s="4">
        <v>44777</v>
      </c>
      <c r="B967" s="5">
        <v>0.46196759259259257</v>
      </c>
      <c r="C967" s="1">
        <v>1677</v>
      </c>
      <c r="D967" s="1">
        <v>13002606</v>
      </c>
      <c r="E967" s="1">
        <v>13</v>
      </c>
      <c r="F967" s="1">
        <v>22589</v>
      </c>
      <c r="G967" s="1" t="s">
        <v>21</v>
      </c>
      <c r="H967" s="1">
        <v>18</v>
      </c>
      <c r="I967" s="1">
        <v>5939</v>
      </c>
      <c r="J967" s="1" t="s">
        <v>465</v>
      </c>
      <c r="K967" s="1" t="s">
        <v>51</v>
      </c>
      <c r="L967" s="1" t="s">
        <v>175</v>
      </c>
      <c r="M967" s="1">
        <v>1</v>
      </c>
      <c r="N967" s="2">
        <v>1070.22</v>
      </c>
      <c r="O967" s="3">
        <v>1338</v>
      </c>
      <c r="P967" s="1">
        <v>200</v>
      </c>
      <c r="Q967" s="1">
        <v>11</v>
      </c>
      <c r="R967" s="1">
        <v>200010000010</v>
      </c>
      <c r="S967" s="1">
        <v>50</v>
      </c>
      <c r="T967" s="1">
        <v>1</v>
      </c>
      <c r="U967" s="1">
        <v>1</v>
      </c>
      <c r="V967">
        <f t="shared" si="15"/>
        <v>1338</v>
      </c>
    </row>
    <row r="968" spans="1:22" ht="13" x14ac:dyDescent="0.15">
      <c r="A968" s="4">
        <v>44777</v>
      </c>
      <c r="B968" s="5">
        <v>0.46196759259259257</v>
      </c>
      <c r="C968" s="1">
        <v>1677</v>
      </c>
      <c r="D968" s="1">
        <v>13002606</v>
      </c>
      <c r="E968" s="1">
        <v>13</v>
      </c>
      <c r="F968" s="1">
        <v>22589</v>
      </c>
      <c r="G968" s="1" t="s">
        <v>21</v>
      </c>
      <c r="H968" s="1">
        <v>18</v>
      </c>
      <c r="I968" s="1">
        <v>442</v>
      </c>
      <c r="J968" s="1" t="s">
        <v>947</v>
      </c>
      <c r="K968" s="1" t="s">
        <v>23</v>
      </c>
      <c r="L968" s="1" t="s">
        <v>948</v>
      </c>
      <c r="M968" s="1">
        <v>1</v>
      </c>
      <c r="N968" s="2">
        <v>142.6</v>
      </c>
      <c r="O968" s="3">
        <v>170</v>
      </c>
      <c r="P968" s="1">
        <v>17</v>
      </c>
      <c r="Q968" s="1">
        <v>11</v>
      </c>
      <c r="R968" s="1">
        <v>200010000010</v>
      </c>
      <c r="S968" s="1">
        <v>50</v>
      </c>
      <c r="T968" s="1">
        <v>1</v>
      </c>
      <c r="U968" s="1">
        <v>2</v>
      </c>
      <c r="V968">
        <f t="shared" si="15"/>
        <v>170</v>
      </c>
    </row>
    <row r="969" spans="1:22" ht="13" x14ac:dyDescent="0.15">
      <c r="A969" s="4">
        <v>44777</v>
      </c>
      <c r="B969" s="5">
        <v>0.46196759259259257</v>
      </c>
      <c r="C969" s="1">
        <v>1677</v>
      </c>
      <c r="D969" s="1">
        <v>13002606</v>
      </c>
      <c r="E969" s="1">
        <v>13</v>
      </c>
      <c r="F969" s="1">
        <v>22589</v>
      </c>
      <c r="G969" s="1" t="s">
        <v>21</v>
      </c>
      <c r="H969" s="1">
        <v>18</v>
      </c>
      <c r="I969" s="1">
        <v>111259</v>
      </c>
      <c r="J969" s="1" t="s">
        <v>949</v>
      </c>
      <c r="K969" s="1" t="s">
        <v>23</v>
      </c>
      <c r="L969" s="1" t="s">
        <v>950</v>
      </c>
      <c r="M969" s="1">
        <v>1</v>
      </c>
      <c r="N969" s="2">
        <v>539.66</v>
      </c>
      <c r="O969" s="3">
        <v>598</v>
      </c>
      <c r="P969" s="1">
        <v>59</v>
      </c>
      <c r="Q969" s="1">
        <v>11</v>
      </c>
      <c r="R969" s="1">
        <v>200010000010</v>
      </c>
      <c r="S969" s="1">
        <v>50</v>
      </c>
      <c r="T969" s="1">
        <v>1</v>
      </c>
      <c r="U969" s="1">
        <v>4</v>
      </c>
      <c r="V969">
        <f t="shared" si="15"/>
        <v>598</v>
      </c>
    </row>
    <row r="970" spans="1:22" ht="13" x14ac:dyDescent="0.15">
      <c r="A970" s="4">
        <v>44777</v>
      </c>
      <c r="B970" s="5">
        <v>0.46325231481481483</v>
      </c>
      <c r="C970" s="1">
        <v>1678</v>
      </c>
      <c r="D970" s="1">
        <v>13002606</v>
      </c>
      <c r="E970" s="1">
        <v>13</v>
      </c>
      <c r="F970" s="1">
        <v>22589</v>
      </c>
      <c r="G970" s="1" t="s">
        <v>21</v>
      </c>
      <c r="H970" s="1">
        <v>18</v>
      </c>
      <c r="I970" s="1">
        <v>13104</v>
      </c>
      <c r="J970" s="1" t="s">
        <v>951</v>
      </c>
      <c r="K970" s="1" t="s">
        <v>61</v>
      </c>
      <c r="L970" s="1" t="s">
        <v>410</v>
      </c>
      <c r="M970" s="1">
        <v>1</v>
      </c>
      <c r="N970" s="2">
        <v>179.46</v>
      </c>
      <c r="O970" s="3">
        <v>279</v>
      </c>
      <c r="P970" s="1">
        <v>0</v>
      </c>
      <c r="Q970" s="1" t="s">
        <v>25</v>
      </c>
      <c r="R970" s="1" t="s">
        <v>25</v>
      </c>
      <c r="S970" s="1">
        <v>50</v>
      </c>
      <c r="T970" s="1">
        <v>1</v>
      </c>
      <c r="U970" s="1">
        <v>2</v>
      </c>
      <c r="V970">
        <f t="shared" si="15"/>
        <v>279</v>
      </c>
    </row>
    <row r="971" spans="1:22" ht="13" x14ac:dyDescent="0.15">
      <c r="A971" s="4">
        <v>44777</v>
      </c>
      <c r="B971" s="5">
        <v>0.46325231481481483</v>
      </c>
      <c r="C971" s="1">
        <v>1678</v>
      </c>
      <c r="D971" s="1">
        <v>13002606</v>
      </c>
      <c r="E971" s="1">
        <v>13</v>
      </c>
      <c r="F971" s="1">
        <v>22589</v>
      </c>
      <c r="G971" s="1" t="s">
        <v>21</v>
      </c>
      <c r="H971" s="1">
        <v>18</v>
      </c>
      <c r="I971" s="1">
        <v>159108</v>
      </c>
      <c r="J971" s="1" t="s">
        <v>952</v>
      </c>
      <c r="K971" s="1" t="s">
        <v>117</v>
      </c>
      <c r="L971" s="1" t="s">
        <v>651</v>
      </c>
      <c r="M971" s="1">
        <v>1</v>
      </c>
      <c r="N971" s="2">
        <v>70</v>
      </c>
      <c r="O971" s="3">
        <v>110</v>
      </c>
      <c r="P971" s="1">
        <v>0</v>
      </c>
      <c r="Q971" s="1" t="s">
        <v>25</v>
      </c>
      <c r="R971" s="1" t="s">
        <v>25</v>
      </c>
      <c r="S971" s="1">
        <v>50</v>
      </c>
      <c r="T971" s="1">
        <v>1</v>
      </c>
      <c r="U971" s="1">
        <v>1</v>
      </c>
      <c r="V971">
        <f t="shared" si="15"/>
        <v>110</v>
      </c>
    </row>
    <row r="972" spans="1:22" ht="13" x14ac:dyDescent="0.15">
      <c r="A972" s="4">
        <v>44777</v>
      </c>
      <c r="B972" s="5">
        <v>0.46325231481481483</v>
      </c>
      <c r="C972" s="1">
        <v>1678</v>
      </c>
      <c r="D972" s="1">
        <v>13002606</v>
      </c>
      <c r="E972" s="1">
        <v>13</v>
      </c>
      <c r="F972" s="1">
        <v>22589</v>
      </c>
      <c r="G972" s="1" t="s">
        <v>21</v>
      </c>
      <c r="H972" s="1">
        <v>18</v>
      </c>
      <c r="I972" s="1">
        <v>354089</v>
      </c>
      <c r="J972" s="1" t="s">
        <v>369</v>
      </c>
      <c r="K972" s="1" t="s">
        <v>29</v>
      </c>
      <c r="L972" s="1" t="s">
        <v>335</v>
      </c>
      <c r="M972" s="1">
        <v>1</v>
      </c>
      <c r="N972" s="2">
        <v>39.369999999999997</v>
      </c>
      <c r="O972" s="3">
        <v>60</v>
      </c>
      <c r="P972" s="1">
        <v>0</v>
      </c>
      <c r="Q972" s="1" t="s">
        <v>25</v>
      </c>
      <c r="R972" s="1" t="s">
        <v>25</v>
      </c>
      <c r="S972" s="1">
        <v>50</v>
      </c>
      <c r="T972" s="1">
        <v>1</v>
      </c>
      <c r="U972" s="1">
        <v>3</v>
      </c>
      <c r="V972">
        <f t="shared" si="15"/>
        <v>60</v>
      </c>
    </row>
    <row r="973" spans="1:22" ht="13" x14ac:dyDescent="0.15">
      <c r="A973" s="4">
        <v>44777</v>
      </c>
      <c r="B973" s="5">
        <v>0.47031250000000002</v>
      </c>
      <c r="C973" s="1">
        <v>1679</v>
      </c>
      <c r="D973" s="1">
        <v>13002606</v>
      </c>
      <c r="E973" s="1">
        <v>13</v>
      </c>
      <c r="F973" s="1">
        <v>22589</v>
      </c>
      <c r="G973" s="1" t="s">
        <v>21</v>
      </c>
      <c r="H973" s="1">
        <v>15</v>
      </c>
      <c r="I973" s="1">
        <v>150533</v>
      </c>
      <c r="J973" s="1" t="s">
        <v>953</v>
      </c>
      <c r="K973" s="1" t="s">
        <v>117</v>
      </c>
      <c r="L973" s="1" t="s">
        <v>27</v>
      </c>
      <c r="M973" s="1">
        <v>1</v>
      </c>
      <c r="N973" s="2">
        <v>886.98</v>
      </c>
      <c r="O973" s="3">
        <v>1145</v>
      </c>
      <c r="P973" s="1">
        <v>80</v>
      </c>
      <c r="Q973" s="1">
        <v>9</v>
      </c>
      <c r="R973" s="1">
        <v>200010018491</v>
      </c>
      <c r="S973" s="1">
        <v>50</v>
      </c>
      <c r="T973" s="1">
        <v>1</v>
      </c>
      <c r="U973" s="1">
        <v>1</v>
      </c>
      <c r="V973">
        <f t="shared" si="15"/>
        <v>1145</v>
      </c>
    </row>
    <row r="974" spans="1:22" ht="13" x14ac:dyDescent="0.15">
      <c r="A974" s="4">
        <v>44777</v>
      </c>
      <c r="B974" s="5">
        <v>0.47031250000000002</v>
      </c>
      <c r="C974" s="1">
        <v>1679</v>
      </c>
      <c r="D974" s="1">
        <v>13002606</v>
      </c>
      <c r="E974" s="1">
        <v>13</v>
      </c>
      <c r="F974" s="1">
        <v>22589</v>
      </c>
      <c r="G974" s="1" t="s">
        <v>21</v>
      </c>
      <c r="H974" s="1">
        <v>15</v>
      </c>
      <c r="I974" s="1">
        <v>59853</v>
      </c>
      <c r="J974" s="1" t="s">
        <v>954</v>
      </c>
      <c r="K974" s="1" t="s">
        <v>51</v>
      </c>
      <c r="L974" s="1" t="s">
        <v>955</v>
      </c>
      <c r="M974" s="1">
        <v>1</v>
      </c>
      <c r="N974" s="2">
        <v>134.74</v>
      </c>
      <c r="O974" s="3">
        <v>209</v>
      </c>
      <c r="P974" s="1">
        <v>20</v>
      </c>
      <c r="Q974" s="1">
        <v>9</v>
      </c>
      <c r="R974" s="1">
        <v>200010018491</v>
      </c>
      <c r="S974" s="1">
        <v>50</v>
      </c>
      <c r="T974" s="1">
        <v>1</v>
      </c>
      <c r="U974" s="1">
        <v>2</v>
      </c>
      <c r="V974">
        <f t="shared" si="15"/>
        <v>209</v>
      </c>
    </row>
    <row r="975" spans="1:22" ht="13" x14ac:dyDescent="0.15">
      <c r="A975" s="4">
        <v>44777</v>
      </c>
      <c r="B975" s="5">
        <v>0.47141203703703705</v>
      </c>
      <c r="C975" s="1">
        <v>1680</v>
      </c>
      <c r="D975" s="1">
        <v>13002606</v>
      </c>
      <c r="E975" s="1">
        <v>13</v>
      </c>
      <c r="F975" s="1">
        <v>22589</v>
      </c>
      <c r="G975" s="1" t="s">
        <v>21</v>
      </c>
      <c r="H975" s="1">
        <v>15</v>
      </c>
      <c r="I975" s="1">
        <v>7520</v>
      </c>
      <c r="J975" s="1" t="s">
        <v>956</v>
      </c>
      <c r="K975" s="1" t="s">
        <v>48</v>
      </c>
      <c r="L975" s="1" t="s">
        <v>89</v>
      </c>
      <c r="M975" s="1">
        <v>1</v>
      </c>
      <c r="N975" s="2">
        <v>497.74</v>
      </c>
      <c r="O975" s="3">
        <v>658</v>
      </c>
      <c r="P975" s="1">
        <v>46</v>
      </c>
      <c r="Q975" s="1">
        <v>9</v>
      </c>
      <c r="R975" s="1">
        <v>200010018491</v>
      </c>
      <c r="S975" s="1">
        <v>50</v>
      </c>
      <c r="T975" s="1">
        <v>1</v>
      </c>
      <c r="U975" s="1">
        <v>1</v>
      </c>
      <c r="V975">
        <f t="shared" si="15"/>
        <v>658</v>
      </c>
    </row>
    <row r="976" spans="1:22" ht="13" x14ac:dyDescent="0.15">
      <c r="A976" s="4">
        <v>44777</v>
      </c>
      <c r="B976" s="5">
        <v>0.47372685185185187</v>
      </c>
      <c r="C976" s="1">
        <v>1681</v>
      </c>
      <c r="D976" s="1">
        <v>13002606</v>
      </c>
      <c r="E976" s="1">
        <v>13</v>
      </c>
      <c r="F976" s="1">
        <v>22589</v>
      </c>
      <c r="G976" s="1" t="s">
        <v>21</v>
      </c>
      <c r="H976" s="1">
        <v>18</v>
      </c>
      <c r="I976" s="1">
        <v>494048</v>
      </c>
      <c r="J976" s="1" t="s">
        <v>957</v>
      </c>
      <c r="K976" s="1" t="s">
        <v>117</v>
      </c>
      <c r="L976" s="1" t="s">
        <v>453</v>
      </c>
      <c r="M976" s="1">
        <v>1</v>
      </c>
      <c r="N976" s="2">
        <v>455</v>
      </c>
      <c r="O976" s="3">
        <v>601</v>
      </c>
      <c r="P976" s="1">
        <v>90</v>
      </c>
      <c r="Q976" s="1">
        <v>27</v>
      </c>
      <c r="R976" s="1">
        <v>200010000015</v>
      </c>
      <c r="S976" s="1">
        <v>50</v>
      </c>
      <c r="T976" s="1">
        <v>1</v>
      </c>
      <c r="U976" s="1">
        <v>2</v>
      </c>
      <c r="V976">
        <f t="shared" si="15"/>
        <v>601</v>
      </c>
    </row>
    <row r="977" spans="1:22" ht="13" x14ac:dyDescent="0.15">
      <c r="A977" s="4">
        <v>44777</v>
      </c>
      <c r="B977" s="5">
        <v>0.47372685185185187</v>
      </c>
      <c r="C977" s="1">
        <v>1681</v>
      </c>
      <c r="D977" s="1">
        <v>13002606</v>
      </c>
      <c r="E977" s="1">
        <v>13</v>
      </c>
      <c r="F977" s="1">
        <v>22589</v>
      </c>
      <c r="G977" s="1" t="s">
        <v>21</v>
      </c>
      <c r="H977" s="1">
        <v>18</v>
      </c>
      <c r="I977" s="1">
        <v>339150</v>
      </c>
      <c r="J977" s="1" t="s">
        <v>958</v>
      </c>
      <c r="K977" s="1" t="s">
        <v>23</v>
      </c>
      <c r="L977" s="1" t="s">
        <v>202</v>
      </c>
      <c r="M977" s="1">
        <v>1</v>
      </c>
      <c r="N977" s="2">
        <v>31.38</v>
      </c>
      <c r="O977" s="3">
        <v>40</v>
      </c>
      <c r="P977" s="1">
        <v>4</v>
      </c>
      <c r="Q977" s="1">
        <v>27</v>
      </c>
      <c r="R977" s="1">
        <v>200010000015</v>
      </c>
      <c r="S977" s="1">
        <v>50</v>
      </c>
      <c r="T977" s="1">
        <v>1</v>
      </c>
      <c r="U977" s="1">
        <v>1</v>
      </c>
      <c r="V977">
        <f t="shared" si="15"/>
        <v>40</v>
      </c>
    </row>
    <row r="978" spans="1:22" ht="13" x14ac:dyDescent="0.15">
      <c r="A978" s="4">
        <v>44777</v>
      </c>
      <c r="B978" s="5">
        <v>0.47739583333333335</v>
      </c>
      <c r="C978" s="1">
        <v>1682</v>
      </c>
      <c r="D978" s="1">
        <v>13002606</v>
      </c>
      <c r="E978" s="1">
        <v>13</v>
      </c>
      <c r="F978" s="1">
        <v>22589</v>
      </c>
      <c r="G978" s="1" t="s">
        <v>21</v>
      </c>
      <c r="H978" s="1">
        <v>18</v>
      </c>
      <c r="I978" s="1">
        <v>162483</v>
      </c>
      <c r="J978" s="1" t="s">
        <v>225</v>
      </c>
      <c r="K978" s="1" t="s">
        <v>141</v>
      </c>
      <c r="L978" s="1" t="s">
        <v>959</v>
      </c>
      <c r="M978" s="1">
        <v>4</v>
      </c>
      <c r="N978" s="2">
        <v>7.37</v>
      </c>
      <c r="O978" s="3">
        <v>12</v>
      </c>
      <c r="P978" s="1">
        <v>0</v>
      </c>
      <c r="Q978" s="1" t="s">
        <v>25</v>
      </c>
      <c r="R978" s="1" t="s">
        <v>25</v>
      </c>
      <c r="S978" s="1">
        <v>50</v>
      </c>
      <c r="T978" s="1">
        <v>1</v>
      </c>
      <c r="U978" s="1">
        <v>1</v>
      </c>
      <c r="V978">
        <f t="shared" si="15"/>
        <v>48</v>
      </c>
    </row>
    <row r="979" spans="1:22" ht="13" x14ac:dyDescent="0.15">
      <c r="A979" s="4">
        <v>44777</v>
      </c>
      <c r="B979" s="5">
        <v>0.74052083333333329</v>
      </c>
      <c r="C979" s="1">
        <v>1761</v>
      </c>
      <c r="D979" s="1">
        <v>13002606</v>
      </c>
      <c r="E979" s="1">
        <v>13</v>
      </c>
      <c r="F979" s="1">
        <v>22589</v>
      </c>
      <c r="G979" s="1" t="s">
        <v>21</v>
      </c>
      <c r="H979" s="1">
        <v>18</v>
      </c>
      <c r="I979" s="1">
        <v>162483</v>
      </c>
      <c r="J979" s="1" t="s">
        <v>225</v>
      </c>
      <c r="K979" s="1" t="s">
        <v>141</v>
      </c>
      <c r="L979" s="1" t="s">
        <v>959</v>
      </c>
      <c r="M979" s="1">
        <v>1</v>
      </c>
      <c r="N979" s="2">
        <v>7.37</v>
      </c>
      <c r="O979" s="3">
        <v>12</v>
      </c>
      <c r="P979" s="1">
        <v>0</v>
      </c>
      <c r="Q979" s="1" t="s">
        <v>25</v>
      </c>
      <c r="R979" s="1" t="s">
        <v>25</v>
      </c>
      <c r="S979" s="1">
        <v>50</v>
      </c>
      <c r="T979" s="1">
        <v>1</v>
      </c>
      <c r="U979" s="1">
        <v>1</v>
      </c>
      <c r="V979">
        <f t="shared" si="15"/>
        <v>12</v>
      </c>
    </row>
    <row r="980" spans="1:22" ht="13" x14ac:dyDescent="0.15">
      <c r="A980" s="4">
        <v>44777</v>
      </c>
      <c r="B980" s="5">
        <v>0.47797453703703702</v>
      </c>
      <c r="C980" s="1">
        <v>1683</v>
      </c>
      <c r="D980" s="1">
        <v>13002606</v>
      </c>
      <c r="E980" s="1">
        <v>13</v>
      </c>
      <c r="F980" s="1">
        <v>22589</v>
      </c>
      <c r="G980" s="1" t="s">
        <v>21</v>
      </c>
      <c r="H980" s="1">
        <v>15</v>
      </c>
      <c r="I980" s="1">
        <v>1106</v>
      </c>
      <c r="J980" s="1" t="s">
        <v>960</v>
      </c>
      <c r="K980" s="1" t="s">
        <v>34</v>
      </c>
      <c r="L980" s="1" t="s">
        <v>961</v>
      </c>
      <c r="M980" s="1">
        <v>0.12</v>
      </c>
      <c r="N980" s="2">
        <v>492.1</v>
      </c>
      <c r="O980" s="3">
        <v>593</v>
      </c>
      <c r="P980" s="1">
        <v>1.1599999999999999</v>
      </c>
      <c r="Q980" s="1">
        <v>9</v>
      </c>
      <c r="R980" s="1">
        <v>200010014077</v>
      </c>
      <c r="S980" s="1">
        <v>50</v>
      </c>
      <c r="T980" s="1">
        <v>1</v>
      </c>
      <c r="U980" s="1">
        <v>1</v>
      </c>
      <c r="V980">
        <f t="shared" si="15"/>
        <v>71.16</v>
      </c>
    </row>
    <row r="981" spans="1:22" ht="13" x14ac:dyDescent="0.15">
      <c r="A981" s="4">
        <v>44777</v>
      </c>
      <c r="B981" s="5">
        <v>0.48498842592592595</v>
      </c>
      <c r="C981" s="1">
        <v>1684</v>
      </c>
      <c r="D981" s="1">
        <v>13002606</v>
      </c>
      <c r="E981" s="1">
        <v>13</v>
      </c>
      <c r="F981" s="1">
        <v>22589</v>
      </c>
      <c r="G981" s="1" t="s">
        <v>21</v>
      </c>
      <c r="H981" s="1">
        <v>18</v>
      </c>
      <c r="I981" s="1">
        <v>2625</v>
      </c>
      <c r="J981" s="1" t="s">
        <v>962</v>
      </c>
      <c r="K981" s="1" t="s">
        <v>51</v>
      </c>
      <c r="L981" s="1" t="s">
        <v>963</v>
      </c>
      <c r="M981" s="1">
        <v>1</v>
      </c>
      <c r="N981" s="2">
        <v>119.25</v>
      </c>
      <c r="O981" s="3">
        <v>135</v>
      </c>
      <c r="P981" s="1">
        <v>0</v>
      </c>
      <c r="Q981" s="1" t="s">
        <v>25</v>
      </c>
      <c r="R981" s="1" t="s">
        <v>25</v>
      </c>
      <c r="S981" s="1">
        <v>50</v>
      </c>
      <c r="T981" s="1">
        <v>1</v>
      </c>
      <c r="U981" s="1">
        <v>1</v>
      </c>
      <c r="V981">
        <f t="shared" si="15"/>
        <v>135</v>
      </c>
    </row>
    <row r="982" spans="1:22" ht="13" x14ac:dyDescent="0.15">
      <c r="A982" s="4">
        <v>44777</v>
      </c>
      <c r="B982" s="5">
        <v>0.48834490740740738</v>
      </c>
      <c r="C982" s="1">
        <v>1685</v>
      </c>
      <c r="D982" s="1">
        <v>13002606</v>
      </c>
      <c r="E982" s="1">
        <v>13</v>
      </c>
      <c r="F982" s="1">
        <v>22589</v>
      </c>
      <c r="G982" s="1" t="s">
        <v>21</v>
      </c>
      <c r="H982" s="1">
        <v>18</v>
      </c>
      <c r="I982" s="1">
        <v>69536</v>
      </c>
      <c r="J982" s="1" t="s">
        <v>964</v>
      </c>
      <c r="K982" s="1" t="s">
        <v>34</v>
      </c>
      <c r="L982" s="1" t="s">
        <v>43</v>
      </c>
      <c r="M982" s="1">
        <v>1</v>
      </c>
      <c r="N982" s="2">
        <v>566.80999999999995</v>
      </c>
      <c r="O982" s="3">
        <v>652</v>
      </c>
      <c r="P982" s="1">
        <v>45</v>
      </c>
      <c r="Q982" s="1">
        <v>9</v>
      </c>
      <c r="R982" s="1">
        <v>200010022986</v>
      </c>
      <c r="S982" s="1">
        <v>50</v>
      </c>
      <c r="T982" s="1">
        <v>1</v>
      </c>
      <c r="U982" s="1">
        <v>1</v>
      </c>
      <c r="V982">
        <f t="shared" si="15"/>
        <v>652</v>
      </c>
    </row>
    <row r="983" spans="1:22" ht="13" x14ac:dyDescent="0.15">
      <c r="A983" s="4">
        <v>44777</v>
      </c>
      <c r="B983" s="5">
        <v>0.48834490740740738</v>
      </c>
      <c r="C983" s="1">
        <v>1685</v>
      </c>
      <c r="D983" s="1">
        <v>13002606</v>
      </c>
      <c r="E983" s="1">
        <v>13</v>
      </c>
      <c r="F983" s="1">
        <v>22589</v>
      </c>
      <c r="G983" s="1" t="s">
        <v>21</v>
      </c>
      <c r="H983" s="1">
        <v>18</v>
      </c>
      <c r="I983" s="1">
        <v>60526</v>
      </c>
      <c r="J983" s="1" t="s">
        <v>280</v>
      </c>
      <c r="K983" s="1" t="s">
        <v>51</v>
      </c>
      <c r="L983" s="1" t="s">
        <v>197</v>
      </c>
      <c r="M983" s="1">
        <v>1</v>
      </c>
      <c r="N983" s="2">
        <v>266.95</v>
      </c>
      <c r="O983" s="3">
        <v>361</v>
      </c>
      <c r="P983" s="1">
        <v>25</v>
      </c>
      <c r="Q983" s="1">
        <v>9</v>
      </c>
      <c r="R983" s="1">
        <v>200010022986</v>
      </c>
      <c r="S983" s="1">
        <v>50</v>
      </c>
      <c r="T983" s="1">
        <v>1</v>
      </c>
      <c r="U983" s="1">
        <v>3</v>
      </c>
      <c r="V983">
        <f t="shared" si="15"/>
        <v>361</v>
      </c>
    </row>
    <row r="984" spans="1:22" ht="13" x14ac:dyDescent="0.15">
      <c r="A984" s="4">
        <v>44777</v>
      </c>
      <c r="B984" s="5">
        <v>0.48834490740740738</v>
      </c>
      <c r="C984" s="1">
        <v>1685</v>
      </c>
      <c r="D984" s="1">
        <v>13002606</v>
      </c>
      <c r="E984" s="1">
        <v>13</v>
      </c>
      <c r="F984" s="1">
        <v>22589</v>
      </c>
      <c r="G984" s="1" t="s">
        <v>21</v>
      </c>
      <c r="H984" s="1">
        <v>18</v>
      </c>
      <c r="I984" s="1">
        <v>443168</v>
      </c>
      <c r="J984" s="1" t="s">
        <v>495</v>
      </c>
      <c r="K984" s="1" t="s">
        <v>51</v>
      </c>
      <c r="L984" s="1" t="s">
        <v>52</v>
      </c>
      <c r="M984" s="1">
        <v>1</v>
      </c>
      <c r="N984" s="2">
        <v>69.83</v>
      </c>
      <c r="O984" s="3">
        <v>110</v>
      </c>
      <c r="P984" s="1">
        <v>11</v>
      </c>
      <c r="Q984" s="1">
        <v>9</v>
      </c>
      <c r="R984" s="1">
        <v>200010022986</v>
      </c>
      <c r="S984" s="1">
        <v>50</v>
      </c>
      <c r="T984" s="1">
        <v>1</v>
      </c>
      <c r="U984" s="1">
        <v>4</v>
      </c>
      <c r="V984">
        <f t="shared" si="15"/>
        <v>110</v>
      </c>
    </row>
    <row r="985" spans="1:22" ht="13" x14ac:dyDescent="0.15">
      <c r="A985" s="4">
        <v>44777</v>
      </c>
      <c r="B985" s="5">
        <v>0.48834490740740738</v>
      </c>
      <c r="C985" s="1">
        <v>1685</v>
      </c>
      <c r="D985" s="1">
        <v>13002606</v>
      </c>
      <c r="E985" s="1">
        <v>13</v>
      </c>
      <c r="F985" s="1">
        <v>22589</v>
      </c>
      <c r="G985" s="1" t="s">
        <v>21</v>
      </c>
      <c r="H985" s="1">
        <v>18</v>
      </c>
      <c r="I985" s="1">
        <v>105888</v>
      </c>
      <c r="J985" s="1" t="s">
        <v>119</v>
      </c>
      <c r="K985" s="1" t="s">
        <v>117</v>
      </c>
      <c r="L985" s="1" t="s">
        <v>120</v>
      </c>
      <c r="M985" s="1">
        <v>1</v>
      </c>
      <c r="N985" s="2">
        <v>35.770000000000003</v>
      </c>
      <c r="O985" s="3">
        <v>58</v>
      </c>
      <c r="P985" s="1">
        <v>5</v>
      </c>
      <c r="Q985" s="1">
        <v>9</v>
      </c>
      <c r="R985" s="1">
        <v>200010022986</v>
      </c>
      <c r="S985" s="1">
        <v>50</v>
      </c>
      <c r="T985" s="1">
        <v>1</v>
      </c>
      <c r="U985" s="1">
        <v>2</v>
      </c>
      <c r="V985">
        <f t="shared" si="15"/>
        <v>58</v>
      </c>
    </row>
    <row r="986" spans="1:22" ht="13" x14ac:dyDescent="0.15">
      <c r="A986" s="4">
        <v>44777</v>
      </c>
      <c r="B986" s="5">
        <v>0.48922453703703705</v>
      </c>
      <c r="C986" s="1">
        <v>1686</v>
      </c>
      <c r="D986" s="1">
        <v>13002606</v>
      </c>
      <c r="E986" s="1">
        <v>13</v>
      </c>
      <c r="F986" s="1">
        <v>22589</v>
      </c>
      <c r="G986" s="1" t="s">
        <v>21</v>
      </c>
      <c r="H986" s="1">
        <v>15</v>
      </c>
      <c r="I986" s="1">
        <v>173202</v>
      </c>
      <c r="J986" s="1" t="s">
        <v>273</v>
      </c>
      <c r="K986" s="1" t="s">
        <v>51</v>
      </c>
      <c r="L986" s="1" t="s">
        <v>274</v>
      </c>
      <c r="M986" s="1">
        <v>1</v>
      </c>
      <c r="N986" s="2">
        <v>21.92</v>
      </c>
      <c r="O986" s="3">
        <v>34</v>
      </c>
      <c r="P986" s="1">
        <v>0</v>
      </c>
      <c r="Q986" s="1" t="s">
        <v>25</v>
      </c>
      <c r="R986" s="1" t="s">
        <v>25</v>
      </c>
      <c r="S986" s="1">
        <v>50</v>
      </c>
      <c r="T986" s="1">
        <v>1</v>
      </c>
      <c r="U986" s="1">
        <v>2</v>
      </c>
      <c r="V986">
        <f t="shared" si="15"/>
        <v>34</v>
      </c>
    </row>
    <row r="987" spans="1:22" ht="13" x14ac:dyDescent="0.15">
      <c r="A987" s="4">
        <v>44777</v>
      </c>
      <c r="B987" s="5">
        <v>0.48922453703703705</v>
      </c>
      <c r="C987" s="1">
        <v>1686</v>
      </c>
      <c r="D987" s="1">
        <v>13002606</v>
      </c>
      <c r="E987" s="1">
        <v>13</v>
      </c>
      <c r="F987" s="1">
        <v>22589</v>
      </c>
      <c r="G987" s="1" t="s">
        <v>21</v>
      </c>
      <c r="H987" s="1">
        <v>15</v>
      </c>
      <c r="I987" s="1">
        <v>463100</v>
      </c>
      <c r="J987" s="1" t="s">
        <v>411</v>
      </c>
      <c r="K987" s="1" t="s">
        <v>51</v>
      </c>
      <c r="L987" s="1" t="s">
        <v>35</v>
      </c>
      <c r="M987" s="1">
        <v>1</v>
      </c>
      <c r="N987" s="2">
        <v>47.5</v>
      </c>
      <c r="O987" s="3">
        <v>73</v>
      </c>
      <c r="P987" s="1">
        <v>0</v>
      </c>
      <c r="Q987" s="1" t="s">
        <v>25</v>
      </c>
      <c r="R987" s="1" t="s">
        <v>25</v>
      </c>
      <c r="S987" s="1">
        <v>50</v>
      </c>
      <c r="T987" s="1">
        <v>1</v>
      </c>
      <c r="U987" s="1">
        <v>1</v>
      </c>
      <c r="V987">
        <f t="shared" si="15"/>
        <v>73</v>
      </c>
    </row>
    <row r="988" spans="1:22" ht="13" x14ac:dyDescent="0.15">
      <c r="A988" s="4">
        <v>44777</v>
      </c>
      <c r="B988" s="5">
        <v>0.49130787037037038</v>
      </c>
      <c r="C988" s="1">
        <v>1687</v>
      </c>
      <c r="D988" s="1">
        <v>13002606</v>
      </c>
      <c r="E988" s="1">
        <v>13</v>
      </c>
      <c r="F988" s="1">
        <v>22589</v>
      </c>
      <c r="G988" s="1" t="s">
        <v>21</v>
      </c>
      <c r="H988" s="1">
        <v>15</v>
      </c>
      <c r="I988" s="1">
        <v>84599</v>
      </c>
      <c r="J988" s="1" t="s">
        <v>965</v>
      </c>
      <c r="K988" s="1" t="s">
        <v>117</v>
      </c>
      <c r="L988" s="1" t="s">
        <v>175</v>
      </c>
      <c r="M988" s="1">
        <v>1</v>
      </c>
      <c r="N988" s="2">
        <v>95.95</v>
      </c>
      <c r="O988" s="3">
        <v>137</v>
      </c>
      <c r="P988" s="1">
        <v>0</v>
      </c>
      <c r="Q988" s="1" t="s">
        <v>25</v>
      </c>
      <c r="R988" s="1" t="s">
        <v>25</v>
      </c>
      <c r="S988" s="1">
        <v>50</v>
      </c>
      <c r="T988" s="1">
        <v>1</v>
      </c>
      <c r="U988" s="1">
        <v>1</v>
      </c>
      <c r="V988">
        <f t="shared" si="15"/>
        <v>137</v>
      </c>
    </row>
    <row r="989" spans="1:22" ht="13" x14ac:dyDescent="0.15">
      <c r="A989" s="4">
        <v>44777</v>
      </c>
      <c r="B989" s="5">
        <v>0.4934722222222222</v>
      </c>
      <c r="C989" s="1">
        <v>1688</v>
      </c>
      <c r="D989" s="1">
        <v>13002606</v>
      </c>
      <c r="E989" s="1">
        <v>13</v>
      </c>
      <c r="F989" s="1">
        <v>22589</v>
      </c>
      <c r="G989" s="1" t="s">
        <v>21</v>
      </c>
      <c r="H989" s="1">
        <v>15</v>
      </c>
      <c r="I989" s="1">
        <v>418134</v>
      </c>
      <c r="J989" s="1" t="s">
        <v>418</v>
      </c>
      <c r="K989" s="1" t="s">
        <v>29</v>
      </c>
      <c r="L989" s="1" t="s">
        <v>335</v>
      </c>
      <c r="M989" s="1">
        <v>1</v>
      </c>
      <c r="N989" s="2">
        <v>30.54</v>
      </c>
      <c r="O989" s="3">
        <v>36</v>
      </c>
      <c r="P989" s="1">
        <v>2</v>
      </c>
      <c r="Q989" s="1">
        <v>9</v>
      </c>
      <c r="R989" s="1">
        <v>200010006867</v>
      </c>
      <c r="S989" s="1">
        <v>50</v>
      </c>
      <c r="T989" s="1">
        <v>1</v>
      </c>
      <c r="U989" s="1">
        <v>3</v>
      </c>
      <c r="V989">
        <f t="shared" si="15"/>
        <v>36</v>
      </c>
    </row>
    <row r="990" spans="1:22" ht="13" x14ac:dyDescent="0.15">
      <c r="A990" s="4">
        <v>44777</v>
      </c>
      <c r="B990" s="5">
        <v>0.4934722222222222</v>
      </c>
      <c r="C990" s="1">
        <v>1688</v>
      </c>
      <c r="D990" s="1">
        <v>13002606</v>
      </c>
      <c r="E990" s="1">
        <v>13</v>
      </c>
      <c r="F990" s="1">
        <v>22589</v>
      </c>
      <c r="G990" s="1" t="s">
        <v>21</v>
      </c>
      <c r="H990" s="1">
        <v>15</v>
      </c>
      <c r="I990" s="1">
        <v>418134</v>
      </c>
      <c r="J990" s="1" t="s">
        <v>418</v>
      </c>
      <c r="K990" s="1" t="s">
        <v>29</v>
      </c>
      <c r="L990" s="1" t="s">
        <v>335</v>
      </c>
      <c r="M990" s="1">
        <v>1</v>
      </c>
      <c r="N990" s="2">
        <v>30.54</v>
      </c>
      <c r="O990" s="3">
        <v>36</v>
      </c>
      <c r="P990" s="1">
        <v>2</v>
      </c>
      <c r="Q990" s="1">
        <v>9</v>
      </c>
      <c r="R990" s="1">
        <v>200010006867</v>
      </c>
      <c r="S990" s="1">
        <v>50</v>
      </c>
      <c r="T990" s="1">
        <v>1</v>
      </c>
      <c r="U990" s="1">
        <v>4</v>
      </c>
      <c r="V990">
        <f t="shared" si="15"/>
        <v>36</v>
      </c>
    </row>
    <row r="991" spans="1:22" ht="13" x14ac:dyDescent="0.15">
      <c r="A991" s="4">
        <v>44777</v>
      </c>
      <c r="B991" s="5">
        <v>0.4934722222222222</v>
      </c>
      <c r="C991" s="1">
        <v>1688</v>
      </c>
      <c r="D991" s="1">
        <v>13002606</v>
      </c>
      <c r="E991" s="1">
        <v>13</v>
      </c>
      <c r="F991" s="1">
        <v>22589</v>
      </c>
      <c r="G991" s="1" t="s">
        <v>21</v>
      </c>
      <c r="H991" s="1">
        <v>15</v>
      </c>
      <c r="I991" s="1">
        <v>418134</v>
      </c>
      <c r="J991" s="1" t="s">
        <v>418</v>
      </c>
      <c r="K991" s="1" t="s">
        <v>29</v>
      </c>
      <c r="L991" s="1" t="s">
        <v>335</v>
      </c>
      <c r="M991" s="1">
        <v>1</v>
      </c>
      <c r="N991" s="2">
        <v>30.54</v>
      </c>
      <c r="O991" s="3">
        <v>36</v>
      </c>
      <c r="P991" s="1">
        <v>2</v>
      </c>
      <c r="Q991" s="1">
        <v>9</v>
      </c>
      <c r="R991" s="1">
        <v>200010006867</v>
      </c>
      <c r="S991" s="1">
        <v>50</v>
      </c>
      <c r="T991" s="1">
        <v>1</v>
      </c>
      <c r="U991" s="1">
        <v>5</v>
      </c>
      <c r="V991">
        <f t="shared" si="15"/>
        <v>36</v>
      </c>
    </row>
    <row r="992" spans="1:22" ht="13" x14ac:dyDescent="0.15">
      <c r="A992" s="4">
        <v>44777</v>
      </c>
      <c r="B992" s="5">
        <v>0.4934722222222222</v>
      </c>
      <c r="C992" s="1">
        <v>1688</v>
      </c>
      <c r="D992" s="1">
        <v>13002606</v>
      </c>
      <c r="E992" s="1">
        <v>13</v>
      </c>
      <c r="F992" s="1">
        <v>22589</v>
      </c>
      <c r="G992" s="1" t="s">
        <v>21</v>
      </c>
      <c r="H992" s="1">
        <v>15</v>
      </c>
      <c r="I992" s="1">
        <v>418134</v>
      </c>
      <c r="J992" s="1" t="s">
        <v>418</v>
      </c>
      <c r="K992" s="1" t="s">
        <v>29</v>
      </c>
      <c r="L992" s="1" t="s">
        <v>335</v>
      </c>
      <c r="M992" s="1">
        <v>1</v>
      </c>
      <c r="N992" s="2">
        <v>30.54</v>
      </c>
      <c r="O992" s="3">
        <v>36</v>
      </c>
      <c r="P992" s="1">
        <v>2</v>
      </c>
      <c r="Q992" s="1">
        <v>9</v>
      </c>
      <c r="R992" s="1">
        <v>200010006867</v>
      </c>
      <c r="S992" s="1">
        <v>50</v>
      </c>
      <c r="T992" s="1">
        <v>1</v>
      </c>
      <c r="U992" s="1">
        <v>6</v>
      </c>
      <c r="V992">
        <f t="shared" si="15"/>
        <v>36</v>
      </c>
    </row>
    <row r="993" spans="1:22" ht="13" x14ac:dyDescent="0.15">
      <c r="A993" s="4">
        <v>44777</v>
      </c>
      <c r="B993" s="5">
        <v>0.4934722222222222</v>
      </c>
      <c r="C993" s="1">
        <v>1688</v>
      </c>
      <c r="D993" s="1">
        <v>13002606</v>
      </c>
      <c r="E993" s="1">
        <v>13</v>
      </c>
      <c r="F993" s="1">
        <v>22589</v>
      </c>
      <c r="G993" s="1" t="s">
        <v>21</v>
      </c>
      <c r="H993" s="1">
        <v>15</v>
      </c>
      <c r="I993" s="1">
        <v>418134</v>
      </c>
      <c r="J993" s="1" t="s">
        <v>418</v>
      </c>
      <c r="K993" s="1" t="s">
        <v>29</v>
      </c>
      <c r="L993" s="1" t="s">
        <v>335</v>
      </c>
      <c r="M993" s="1">
        <v>1</v>
      </c>
      <c r="N993" s="2">
        <v>30.54</v>
      </c>
      <c r="O993" s="3">
        <v>36</v>
      </c>
      <c r="P993" s="1">
        <v>2</v>
      </c>
      <c r="Q993" s="1">
        <v>9</v>
      </c>
      <c r="R993" s="1">
        <v>200010006867</v>
      </c>
      <c r="S993" s="1">
        <v>50</v>
      </c>
      <c r="T993" s="1">
        <v>1</v>
      </c>
      <c r="U993" s="1">
        <v>7</v>
      </c>
      <c r="V993">
        <f t="shared" si="15"/>
        <v>36</v>
      </c>
    </row>
    <row r="994" spans="1:22" ht="13" x14ac:dyDescent="0.15">
      <c r="A994" s="4">
        <v>44777</v>
      </c>
      <c r="B994" s="5">
        <v>0.4934722222222222</v>
      </c>
      <c r="C994" s="1">
        <v>1688</v>
      </c>
      <c r="D994" s="1">
        <v>13002606</v>
      </c>
      <c r="E994" s="1">
        <v>13</v>
      </c>
      <c r="F994" s="1">
        <v>22589</v>
      </c>
      <c r="G994" s="1" t="s">
        <v>21</v>
      </c>
      <c r="H994" s="1">
        <v>15</v>
      </c>
      <c r="I994" s="1">
        <v>418134</v>
      </c>
      <c r="J994" s="1" t="s">
        <v>418</v>
      </c>
      <c r="K994" s="1" t="s">
        <v>29</v>
      </c>
      <c r="L994" s="1" t="s">
        <v>335</v>
      </c>
      <c r="M994" s="1">
        <v>1</v>
      </c>
      <c r="N994" s="2">
        <v>30.54</v>
      </c>
      <c r="O994" s="3">
        <v>36</v>
      </c>
      <c r="P994" s="1">
        <v>2</v>
      </c>
      <c r="Q994" s="1">
        <v>9</v>
      </c>
      <c r="R994" s="1">
        <v>200010006867</v>
      </c>
      <c r="S994" s="1">
        <v>50</v>
      </c>
      <c r="T994" s="1">
        <v>1</v>
      </c>
      <c r="U994" s="1">
        <v>8</v>
      </c>
      <c r="V994">
        <f t="shared" si="15"/>
        <v>36</v>
      </c>
    </row>
    <row r="995" spans="1:22" ht="13" x14ac:dyDescent="0.15">
      <c r="A995" s="4">
        <v>44777</v>
      </c>
      <c r="B995" s="5">
        <v>0.4934722222222222</v>
      </c>
      <c r="C995" s="1">
        <v>1688</v>
      </c>
      <c r="D995" s="1">
        <v>13002606</v>
      </c>
      <c r="E995" s="1">
        <v>13</v>
      </c>
      <c r="F995" s="1">
        <v>22589</v>
      </c>
      <c r="G995" s="1" t="s">
        <v>21</v>
      </c>
      <c r="H995" s="1">
        <v>15</v>
      </c>
      <c r="I995" s="1">
        <v>418134</v>
      </c>
      <c r="J995" s="1" t="s">
        <v>418</v>
      </c>
      <c r="K995" s="1" t="s">
        <v>29</v>
      </c>
      <c r="L995" s="1" t="s">
        <v>335</v>
      </c>
      <c r="M995" s="1">
        <v>1</v>
      </c>
      <c r="N995" s="2">
        <v>30.54</v>
      </c>
      <c r="O995" s="3">
        <v>36</v>
      </c>
      <c r="P995" s="1">
        <v>2</v>
      </c>
      <c r="Q995" s="1">
        <v>9</v>
      </c>
      <c r="R995" s="1">
        <v>200010006867</v>
      </c>
      <c r="S995" s="1">
        <v>50</v>
      </c>
      <c r="T995" s="1">
        <v>1</v>
      </c>
      <c r="U995" s="1">
        <v>9</v>
      </c>
      <c r="V995">
        <f t="shared" si="15"/>
        <v>36</v>
      </c>
    </row>
    <row r="996" spans="1:22" ht="13" x14ac:dyDescent="0.15">
      <c r="A996" s="4">
        <v>44777</v>
      </c>
      <c r="B996" s="5">
        <v>0.4934722222222222</v>
      </c>
      <c r="C996" s="1">
        <v>1688</v>
      </c>
      <c r="D996" s="1">
        <v>13002606</v>
      </c>
      <c r="E996" s="1">
        <v>13</v>
      </c>
      <c r="F996" s="1">
        <v>22589</v>
      </c>
      <c r="G996" s="1" t="s">
        <v>21</v>
      </c>
      <c r="H996" s="1">
        <v>15</v>
      </c>
      <c r="I996" s="1">
        <v>418134</v>
      </c>
      <c r="J996" s="1" t="s">
        <v>418</v>
      </c>
      <c r="K996" s="1" t="s">
        <v>29</v>
      </c>
      <c r="L996" s="1" t="s">
        <v>335</v>
      </c>
      <c r="M996" s="1">
        <v>1</v>
      </c>
      <c r="N996" s="2">
        <v>30.54</v>
      </c>
      <c r="O996" s="3">
        <v>36</v>
      </c>
      <c r="P996" s="1">
        <v>2</v>
      </c>
      <c r="Q996" s="1">
        <v>9</v>
      </c>
      <c r="R996" s="1">
        <v>200010006867</v>
      </c>
      <c r="S996" s="1">
        <v>50</v>
      </c>
      <c r="T996" s="1">
        <v>1</v>
      </c>
      <c r="U996" s="1">
        <v>10</v>
      </c>
      <c r="V996">
        <f t="shared" si="15"/>
        <v>36</v>
      </c>
    </row>
    <row r="997" spans="1:22" ht="13" x14ac:dyDescent="0.15">
      <c r="A997" s="4">
        <v>44777</v>
      </c>
      <c r="B997" s="5">
        <v>0.4934722222222222</v>
      </c>
      <c r="C997" s="1">
        <v>1688</v>
      </c>
      <c r="D997" s="1">
        <v>13002606</v>
      </c>
      <c r="E997" s="1">
        <v>13</v>
      </c>
      <c r="F997" s="1">
        <v>22589</v>
      </c>
      <c r="G997" s="1" t="s">
        <v>21</v>
      </c>
      <c r="H997" s="1">
        <v>15</v>
      </c>
      <c r="I997" s="1">
        <v>418134</v>
      </c>
      <c r="J997" s="1" t="s">
        <v>418</v>
      </c>
      <c r="K997" s="1" t="s">
        <v>29</v>
      </c>
      <c r="L997" s="1" t="s">
        <v>335</v>
      </c>
      <c r="M997" s="1">
        <v>1</v>
      </c>
      <c r="N997" s="2">
        <v>30.54</v>
      </c>
      <c r="O997" s="3">
        <v>36</v>
      </c>
      <c r="P997" s="1">
        <v>2</v>
      </c>
      <c r="Q997" s="1">
        <v>9</v>
      </c>
      <c r="R997" s="1">
        <v>200010006867</v>
      </c>
      <c r="S997" s="1">
        <v>50</v>
      </c>
      <c r="T997" s="1">
        <v>1</v>
      </c>
      <c r="U997" s="1">
        <v>11</v>
      </c>
      <c r="V997">
        <f t="shared" si="15"/>
        <v>36</v>
      </c>
    </row>
    <row r="998" spans="1:22" ht="13" x14ac:dyDescent="0.15">
      <c r="A998" s="4">
        <v>44777</v>
      </c>
      <c r="B998" s="5">
        <v>0.4934722222222222</v>
      </c>
      <c r="C998" s="1">
        <v>1688</v>
      </c>
      <c r="D998" s="1">
        <v>13002606</v>
      </c>
      <c r="E998" s="1">
        <v>13</v>
      </c>
      <c r="F998" s="1">
        <v>22589</v>
      </c>
      <c r="G998" s="1" t="s">
        <v>21</v>
      </c>
      <c r="H998" s="1">
        <v>15</v>
      </c>
      <c r="I998" s="1">
        <v>418134</v>
      </c>
      <c r="J998" s="1" t="s">
        <v>418</v>
      </c>
      <c r="K998" s="1" t="s">
        <v>29</v>
      </c>
      <c r="L998" s="1" t="s">
        <v>335</v>
      </c>
      <c r="M998" s="1">
        <v>1</v>
      </c>
      <c r="N998" s="2">
        <v>30.54</v>
      </c>
      <c r="O998" s="3">
        <v>36</v>
      </c>
      <c r="P998" s="1">
        <v>2</v>
      </c>
      <c r="Q998" s="1">
        <v>9</v>
      </c>
      <c r="R998" s="1">
        <v>200010006867</v>
      </c>
      <c r="S998" s="1">
        <v>50</v>
      </c>
      <c r="T998" s="1">
        <v>1</v>
      </c>
      <c r="U998" s="1">
        <v>12</v>
      </c>
      <c r="V998">
        <f t="shared" si="15"/>
        <v>36</v>
      </c>
    </row>
    <row r="999" spans="1:22" ht="13" x14ac:dyDescent="0.15">
      <c r="A999" s="4">
        <v>44777</v>
      </c>
      <c r="B999" s="5">
        <v>0.61011574074074071</v>
      </c>
      <c r="C999" s="1">
        <v>1733</v>
      </c>
      <c r="D999" s="1">
        <v>13002606</v>
      </c>
      <c r="E999" s="1">
        <v>13</v>
      </c>
      <c r="F999" s="1">
        <v>22589</v>
      </c>
      <c r="G999" s="1" t="s">
        <v>21</v>
      </c>
      <c r="H999" s="1">
        <v>15</v>
      </c>
      <c r="I999" s="1">
        <v>418134</v>
      </c>
      <c r="J999" s="1" t="s">
        <v>418</v>
      </c>
      <c r="K999" s="1" t="s">
        <v>29</v>
      </c>
      <c r="L999" s="1" t="s">
        <v>335</v>
      </c>
      <c r="M999" s="1">
        <v>1</v>
      </c>
      <c r="N999" s="2">
        <v>30.54</v>
      </c>
      <c r="O999" s="3">
        <v>36</v>
      </c>
      <c r="P999" s="1">
        <v>2</v>
      </c>
      <c r="Q999" s="1">
        <v>9</v>
      </c>
      <c r="R999" s="1">
        <v>200010004764</v>
      </c>
      <c r="S999" s="1">
        <v>50</v>
      </c>
      <c r="T999" s="1">
        <v>1</v>
      </c>
      <c r="U999" s="1">
        <v>1</v>
      </c>
      <c r="V999">
        <f t="shared" si="15"/>
        <v>36</v>
      </c>
    </row>
    <row r="1000" spans="1:22" ht="13" x14ac:dyDescent="0.15">
      <c r="A1000" s="4">
        <v>44777</v>
      </c>
      <c r="B1000" s="5">
        <v>0.4934722222222222</v>
      </c>
      <c r="C1000" s="1">
        <v>1688</v>
      </c>
      <c r="D1000" s="1">
        <v>13002606</v>
      </c>
      <c r="E1000" s="1">
        <v>13</v>
      </c>
      <c r="F1000" s="1">
        <v>22589</v>
      </c>
      <c r="G1000" s="1" t="s">
        <v>21</v>
      </c>
      <c r="H1000" s="1">
        <v>15</v>
      </c>
      <c r="I1000" s="1">
        <v>435123</v>
      </c>
      <c r="J1000" s="1" t="s">
        <v>966</v>
      </c>
      <c r="K1000" s="1" t="s">
        <v>51</v>
      </c>
      <c r="L1000" s="1" t="s">
        <v>228</v>
      </c>
      <c r="M1000" s="1">
        <v>1</v>
      </c>
      <c r="N1000" s="2">
        <v>24.04</v>
      </c>
      <c r="O1000" s="3">
        <v>37</v>
      </c>
      <c r="P1000" s="1">
        <v>2</v>
      </c>
      <c r="Q1000" s="1">
        <v>9</v>
      </c>
      <c r="R1000" s="1">
        <v>200010006867</v>
      </c>
      <c r="S1000" s="1">
        <v>50</v>
      </c>
      <c r="T1000" s="1">
        <v>1</v>
      </c>
      <c r="U1000" s="1">
        <v>2</v>
      </c>
      <c r="V1000">
        <f t="shared" si="15"/>
        <v>37</v>
      </c>
    </row>
    <row r="1001" spans="1:22" ht="13" x14ac:dyDescent="0.15">
      <c r="A1001" s="4">
        <v>44777</v>
      </c>
      <c r="B1001" s="5">
        <v>0.4934722222222222</v>
      </c>
      <c r="C1001" s="1">
        <v>1688</v>
      </c>
      <c r="D1001" s="1">
        <v>13002606</v>
      </c>
      <c r="E1001" s="1">
        <v>13</v>
      </c>
      <c r="F1001" s="1">
        <v>22589</v>
      </c>
      <c r="G1001" s="1" t="s">
        <v>21</v>
      </c>
      <c r="H1001" s="1">
        <v>15</v>
      </c>
      <c r="I1001" s="1">
        <v>47735</v>
      </c>
      <c r="J1001" s="1" t="s">
        <v>592</v>
      </c>
      <c r="K1001" s="1" t="s">
        <v>23</v>
      </c>
      <c r="L1001" s="1" t="s">
        <v>175</v>
      </c>
      <c r="M1001" s="1">
        <v>1</v>
      </c>
      <c r="N1001" s="2">
        <v>97.32</v>
      </c>
      <c r="O1001" s="3">
        <v>139</v>
      </c>
      <c r="P1001" s="1">
        <v>9</v>
      </c>
      <c r="Q1001" s="1">
        <v>9</v>
      </c>
      <c r="R1001" s="1">
        <v>200010006867</v>
      </c>
      <c r="S1001" s="1">
        <v>50</v>
      </c>
      <c r="T1001" s="1">
        <v>1</v>
      </c>
      <c r="U1001" s="1">
        <v>13</v>
      </c>
      <c r="V1001">
        <f t="shared" si="15"/>
        <v>139</v>
      </c>
    </row>
    <row r="1002" spans="1:22" ht="13" x14ac:dyDescent="0.15">
      <c r="A1002" s="4">
        <v>44777</v>
      </c>
      <c r="B1002" s="5">
        <v>0.49413194444444447</v>
      </c>
      <c r="C1002" s="1">
        <v>1689</v>
      </c>
      <c r="D1002" s="1">
        <v>13002606</v>
      </c>
      <c r="E1002" s="1">
        <v>13</v>
      </c>
      <c r="F1002" s="1">
        <v>22589</v>
      </c>
      <c r="G1002" s="1" t="s">
        <v>21</v>
      </c>
      <c r="H1002" s="1">
        <v>18</v>
      </c>
      <c r="I1002" s="1">
        <v>22533</v>
      </c>
      <c r="J1002" s="1" t="s">
        <v>156</v>
      </c>
      <c r="K1002" s="1" t="s">
        <v>29</v>
      </c>
      <c r="L1002" s="1" t="s">
        <v>157</v>
      </c>
      <c r="M1002" s="1">
        <v>1</v>
      </c>
      <c r="N1002" s="2">
        <v>130.83000000000001</v>
      </c>
      <c r="O1002" s="3">
        <v>158</v>
      </c>
      <c r="P1002" s="1">
        <v>7</v>
      </c>
      <c r="Q1002" s="1">
        <v>9</v>
      </c>
      <c r="R1002" s="1">
        <v>200010020219</v>
      </c>
      <c r="S1002" s="1">
        <v>50</v>
      </c>
      <c r="T1002" s="1">
        <v>1</v>
      </c>
      <c r="U1002" s="1">
        <v>1</v>
      </c>
      <c r="V1002">
        <f t="shared" si="15"/>
        <v>158</v>
      </c>
    </row>
    <row r="1003" spans="1:22" ht="13" x14ac:dyDescent="0.15">
      <c r="A1003" s="4">
        <v>44777</v>
      </c>
      <c r="B1003" s="5">
        <v>0.54130787037037043</v>
      </c>
      <c r="C1003" s="1">
        <v>1712</v>
      </c>
      <c r="D1003" s="1">
        <v>13002606</v>
      </c>
      <c r="E1003" s="1">
        <v>13</v>
      </c>
      <c r="F1003" s="1">
        <v>22589</v>
      </c>
      <c r="G1003" s="1" t="s">
        <v>21</v>
      </c>
      <c r="H1003" s="1">
        <v>15</v>
      </c>
      <c r="I1003" s="1">
        <v>22533</v>
      </c>
      <c r="J1003" s="1" t="s">
        <v>156</v>
      </c>
      <c r="K1003" s="1" t="s">
        <v>29</v>
      </c>
      <c r="L1003" s="1" t="s">
        <v>157</v>
      </c>
      <c r="M1003" s="1">
        <v>1</v>
      </c>
      <c r="N1003" s="2">
        <v>130.83000000000001</v>
      </c>
      <c r="O1003" s="3">
        <v>158</v>
      </c>
      <c r="P1003" s="1">
        <v>0</v>
      </c>
      <c r="Q1003" s="1" t="s">
        <v>25</v>
      </c>
      <c r="R1003" s="1" t="s">
        <v>25</v>
      </c>
      <c r="S1003" s="1">
        <v>50</v>
      </c>
      <c r="T1003" s="1">
        <v>1</v>
      </c>
      <c r="U1003" s="1">
        <v>1</v>
      </c>
      <c r="V1003">
        <f t="shared" si="15"/>
        <v>158</v>
      </c>
    </row>
    <row r="1004" spans="1:22" ht="13" x14ac:dyDescent="0.15">
      <c r="A1004" s="4">
        <v>44777</v>
      </c>
      <c r="B1004" s="5">
        <v>0.60799768518518515</v>
      </c>
      <c r="C1004" s="1">
        <v>1732</v>
      </c>
      <c r="D1004" s="1">
        <v>13002606</v>
      </c>
      <c r="E1004" s="1">
        <v>13</v>
      </c>
      <c r="F1004" s="1">
        <v>22589</v>
      </c>
      <c r="G1004" s="1" t="s">
        <v>21</v>
      </c>
      <c r="H1004" s="1">
        <v>15</v>
      </c>
      <c r="I1004" s="1">
        <v>22533</v>
      </c>
      <c r="J1004" s="1" t="s">
        <v>156</v>
      </c>
      <c r="K1004" s="1" t="s">
        <v>29</v>
      </c>
      <c r="L1004" s="1" t="s">
        <v>157</v>
      </c>
      <c r="M1004" s="1">
        <v>1</v>
      </c>
      <c r="N1004" s="2">
        <v>130.83000000000001</v>
      </c>
      <c r="O1004" s="3">
        <v>158</v>
      </c>
      <c r="P1004" s="1">
        <v>7</v>
      </c>
      <c r="Q1004" s="1">
        <v>9</v>
      </c>
      <c r="R1004" s="1">
        <v>200010004094</v>
      </c>
      <c r="S1004" s="1">
        <v>50</v>
      </c>
      <c r="T1004" s="1">
        <v>1</v>
      </c>
      <c r="U1004" s="1">
        <v>1</v>
      </c>
      <c r="V1004">
        <f t="shared" si="15"/>
        <v>158</v>
      </c>
    </row>
    <row r="1005" spans="1:22" ht="13" x14ac:dyDescent="0.15">
      <c r="A1005" s="4">
        <v>44777</v>
      </c>
      <c r="B1005" s="5">
        <v>0.6507060185185185</v>
      </c>
      <c r="C1005" s="1">
        <v>1741</v>
      </c>
      <c r="D1005" s="1">
        <v>13002606</v>
      </c>
      <c r="E1005" s="1">
        <v>13</v>
      </c>
      <c r="F1005" s="1">
        <v>22589</v>
      </c>
      <c r="G1005" s="1" t="s">
        <v>21</v>
      </c>
      <c r="H1005" s="1">
        <v>15</v>
      </c>
      <c r="I1005" s="1">
        <v>22533</v>
      </c>
      <c r="J1005" s="1" t="s">
        <v>156</v>
      </c>
      <c r="K1005" s="1" t="s">
        <v>29</v>
      </c>
      <c r="L1005" s="1" t="s">
        <v>157</v>
      </c>
      <c r="M1005" s="1">
        <v>1</v>
      </c>
      <c r="N1005" s="2">
        <v>130.83000000000001</v>
      </c>
      <c r="O1005" s="3">
        <v>158</v>
      </c>
      <c r="P1005" s="1">
        <v>7</v>
      </c>
      <c r="Q1005" s="1">
        <v>9</v>
      </c>
      <c r="R1005" s="1">
        <v>200010026890</v>
      </c>
      <c r="S1005" s="1">
        <v>50</v>
      </c>
      <c r="T1005" s="1">
        <v>1</v>
      </c>
      <c r="U1005" s="1">
        <v>1</v>
      </c>
      <c r="V1005">
        <f t="shared" si="15"/>
        <v>158</v>
      </c>
    </row>
    <row r="1006" spans="1:22" ht="13" x14ac:dyDescent="0.15">
      <c r="A1006" s="4">
        <v>44777</v>
      </c>
      <c r="B1006" s="5">
        <v>0.49413194444444447</v>
      </c>
      <c r="C1006" s="1">
        <v>1689</v>
      </c>
      <c r="D1006" s="1">
        <v>13002606</v>
      </c>
      <c r="E1006" s="1">
        <v>13</v>
      </c>
      <c r="F1006" s="1">
        <v>22589</v>
      </c>
      <c r="G1006" s="1" t="s">
        <v>21</v>
      </c>
      <c r="H1006" s="1">
        <v>18</v>
      </c>
      <c r="I1006" s="1">
        <v>345211</v>
      </c>
      <c r="J1006" s="1" t="s">
        <v>92</v>
      </c>
      <c r="K1006" s="1" t="s">
        <v>51</v>
      </c>
      <c r="L1006" s="1" t="s">
        <v>93</v>
      </c>
      <c r="M1006" s="1">
        <v>1</v>
      </c>
      <c r="N1006" s="2">
        <v>25.71</v>
      </c>
      <c r="O1006" s="3">
        <v>31</v>
      </c>
      <c r="P1006" s="1">
        <v>1</v>
      </c>
      <c r="Q1006" s="1">
        <v>9</v>
      </c>
      <c r="R1006" s="1">
        <v>200010020219</v>
      </c>
      <c r="S1006" s="1">
        <v>50</v>
      </c>
      <c r="T1006" s="1">
        <v>1</v>
      </c>
      <c r="U1006" s="1">
        <v>2</v>
      </c>
      <c r="V1006">
        <f t="shared" si="15"/>
        <v>31</v>
      </c>
    </row>
    <row r="1007" spans="1:22" ht="13" x14ac:dyDescent="0.15">
      <c r="A1007" s="4">
        <v>44777</v>
      </c>
      <c r="B1007" s="5">
        <v>0.49444444444444446</v>
      </c>
      <c r="C1007" s="1">
        <v>1690</v>
      </c>
      <c r="D1007" s="1">
        <v>13002606</v>
      </c>
      <c r="E1007" s="1">
        <v>13</v>
      </c>
      <c r="F1007" s="1">
        <v>22589</v>
      </c>
      <c r="G1007" s="1" t="s">
        <v>21</v>
      </c>
      <c r="H1007" s="1">
        <v>15</v>
      </c>
      <c r="I1007" s="1">
        <v>113184</v>
      </c>
      <c r="J1007" s="1" t="s">
        <v>705</v>
      </c>
      <c r="K1007" s="1" t="s">
        <v>23</v>
      </c>
      <c r="L1007" s="1" t="s">
        <v>39</v>
      </c>
      <c r="M1007" s="1">
        <v>1</v>
      </c>
      <c r="N1007" s="2">
        <v>204.56</v>
      </c>
      <c r="O1007" s="3">
        <v>250</v>
      </c>
      <c r="P1007" s="1">
        <v>12</v>
      </c>
      <c r="Q1007" s="1">
        <v>9</v>
      </c>
      <c r="R1007" s="1">
        <v>200010006867</v>
      </c>
      <c r="S1007" s="1">
        <v>50</v>
      </c>
      <c r="T1007" s="1">
        <v>1</v>
      </c>
      <c r="U1007" s="1">
        <v>1</v>
      </c>
      <c r="V1007">
        <f t="shared" si="15"/>
        <v>250</v>
      </c>
    </row>
    <row r="1008" spans="1:22" ht="13" x14ac:dyDescent="0.15">
      <c r="A1008" s="4">
        <v>44777</v>
      </c>
      <c r="B1008" s="5">
        <v>0.49729166666666669</v>
      </c>
      <c r="C1008" s="1">
        <v>1691</v>
      </c>
      <c r="D1008" s="1">
        <v>13002606</v>
      </c>
      <c r="E1008" s="1">
        <v>13</v>
      </c>
      <c r="F1008" s="1">
        <v>22589</v>
      </c>
      <c r="G1008" s="1" t="s">
        <v>21</v>
      </c>
      <c r="H1008" s="1">
        <v>15</v>
      </c>
      <c r="I1008" s="1">
        <v>100378</v>
      </c>
      <c r="J1008" s="1" t="s">
        <v>722</v>
      </c>
      <c r="K1008" s="1" t="s">
        <v>34</v>
      </c>
      <c r="L1008" s="1" t="s">
        <v>723</v>
      </c>
      <c r="M1008" s="1">
        <v>1</v>
      </c>
      <c r="N1008" s="2">
        <v>60.39</v>
      </c>
      <c r="O1008" s="3">
        <v>74</v>
      </c>
      <c r="P1008" s="1">
        <v>3</v>
      </c>
      <c r="Q1008" s="1">
        <v>9</v>
      </c>
      <c r="R1008" s="1">
        <v>200010000071</v>
      </c>
      <c r="S1008" s="1">
        <v>50</v>
      </c>
      <c r="T1008" s="1">
        <v>1</v>
      </c>
      <c r="U1008" s="1">
        <v>1</v>
      </c>
      <c r="V1008">
        <f t="shared" si="15"/>
        <v>74</v>
      </c>
    </row>
    <row r="1009" spans="1:22" ht="13" x14ac:dyDescent="0.15">
      <c r="A1009" s="4">
        <v>44777</v>
      </c>
      <c r="B1009" s="5">
        <v>0.49729166666666669</v>
      </c>
      <c r="C1009" s="1">
        <v>1691</v>
      </c>
      <c r="D1009" s="1">
        <v>13002606</v>
      </c>
      <c r="E1009" s="1">
        <v>13</v>
      </c>
      <c r="F1009" s="1">
        <v>22589</v>
      </c>
      <c r="G1009" s="1" t="s">
        <v>21</v>
      </c>
      <c r="H1009" s="1">
        <v>15</v>
      </c>
      <c r="I1009" s="1">
        <v>100378</v>
      </c>
      <c r="J1009" s="1" t="s">
        <v>722</v>
      </c>
      <c r="K1009" s="1" t="s">
        <v>23</v>
      </c>
      <c r="L1009" s="1" t="s">
        <v>723</v>
      </c>
      <c r="M1009" s="1">
        <v>1</v>
      </c>
      <c r="N1009" s="2">
        <v>61.38</v>
      </c>
      <c r="O1009" s="3">
        <v>75</v>
      </c>
      <c r="P1009" s="1">
        <v>3</v>
      </c>
      <c r="Q1009" s="1">
        <v>9</v>
      </c>
      <c r="R1009" s="1">
        <v>200010000071</v>
      </c>
      <c r="S1009" s="1">
        <v>50</v>
      </c>
      <c r="T1009" s="1">
        <v>1</v>
      </c>
      <c r="U1009" s="1">
        <v>2</v>
      </c>
      <c r="V1009">
        <f t="shared" si="15"/>
        <v>75</v>
      </c>
    </row>
    <row r="1010" spans="1:22" ht="13" x14ac:dyDescent="0.15">
      <c r="A1010" s="4">
        <v>44777</v>
      </c>
      <c r="B1010" s="5">
        <v>0.49881944444444443</v>
      </c>
      <c r="C1010" s="1">
        <v>1692</v>
      </c>
      <c r="D1010" s="1">
        <v>13002606</v>
      </c>
      <c r="E1010" s="1">
        <v>13</v>
      </c>
      <c r="F1010" s="1">
        <v>22589</v>
      </c>
      <c r="G1010" s="1" t="s">
        <v>21</v>
      </c>
      <c r="H1010" s="1">
        <v>15</v>
      </c>
      <c r="I1010" s="1">
        <v>443646</v>
      </c>
      <c r="J1010" s="1" t="s">
        <v>967</v>
      </c>
      <c r="K1010" s="1" t="s">
        <v>51</v>
      </c>
      <c r="L1010" s="1" t="s">
        <v>238</v>
      </c>
      <c r="M1010" s="1">
        <v>1</v>
      </c>
      <c r="N1010" s="2">
        <v>19.66</v>
      </c>
      <c r="O1010" s="3">
        <v>25</v>
      </c>
      <c r="P1010" s="1">
        <v>1</v>
      </c>
      <c r="Q1010" s="1">
        <v>9</v>
      </c>
      <c r="R1010" s="1">
        <v>200010015481</v>
      </c>
      <c r="S1010" s="1">
        <v>50</v>
      </c>
      <c r="T1010" s="1">
        <v>1</v>
      </c>
      <c r="U1010" s="1">
        <v>1</v>
      </c>
      <c r="V1010">
        <f t="shared" si="15"/>
        <v>25</v>
      </c>
    </row>
    <row r="1011" spans="1:22" ht="13" x14ac:dyDescent="0.15">
      <c r="A1011" s="4">
        <v>44777</v>
      </c>
      <c r="B1011" s="5">
        <v>0.49881944444444443</v>
      </c>
      <c r="C1011" s="1">
        <v>1692</v>
      </c>
      <c r="D1011" s="1">
        <v>13002606</v>
      </c>
      <c r="E1011" s="1">
        <v>13</v>
      </c>
      <c r="F1011" s="1">
        <v>22589</v>
      </c>
      <c r="G1011" s="1" t="s">
        <v>21</v>
      </c>
      <c r="H1011" s="1">
        <v>15</v>
      </c>
      <c r="I1011" s="1">
        <v>443646</v>
      </c>
      <c r="J1011" s="1" t="s">
        <v>967</v>
      </c>
      <c r="K1011" s="1" t="s">
        <v>51</v>
      </c>
      <c r="L1011" s="1" t="s">
        <v>238</v>
      </c>
      <c r="M1011" s="1">
        <v>1</v>
      </c>
      <c r="N1011" s="2">
        <v>19.66</v>
      </c>
      <c r="O1011" s="3">
        <v>25</v>
      </c>
      <c r="P1011" s="1">
        <v>1</v>
      </c>
      <c r="Q1011" s="1">
        <v>9</v>
      </c>
      <c r="R1011" s="1">
        <v>200010015481</v>
      </c>
      <c r="S1011" s="1">
        <v>50</v>
      </c>
      <c r="T1011" s="1">
        <v>1</v>
      </c>
      <c r="U1011" s="1">
        <v>2</v>
      </c>
      <c r="V1011">
        <f t="shared" si="15"/>
        <v>25</v>
      </c>
    </row>
    <row r="1012" spans="1:22" ht="13" x14ac:dyDescent="0.15">
      <c r="A1012" s="4">
        <v>44777</v>
      </c>
      <c r="B1012" s="5">
        <v>0.50612268518518522</v>
      </c>
      <c r="C1012" s="1">
        <v>1693</v>
      </c>
      <c r="D1012" s="1">
        <v>13002606</v>
      </c>
      <c r="E1012" s="1">
        <v>13</v>
      </c>
      <c r="F1012" s="1">
        <v>22589</v>
      </c>
      <c r="G1012" s="1" t="s">
        <v>21</v>
      </c>
      <c r="H1012" s="1">
        <v>18</v>
      </c>
      <c r="I1012" s="1">
        <v>345530</v>
      </c>
      <c r="J1012" s="1" t="s">
        <v>968</v>
      </c>
      <c r="K1012" s="1" t="s">
        <v>51</v>
      </c>
      <c r="L1012" s="1" t="s">
        <v>383</v>
      </c>
      <c r="M1012" s="1">
        <v>1</v>
      </c>
      <c r="N1012" s="2">
        <v>20.88</v>
      </c>
      <c r="O1012" s="3">
        <v>25</v>
      </c>
      <c r="P1012" s="1">
        <v>0</v>
      </c>
      <c r="Q1012" s="1" t="s">
        <v>25</v>
      </c>
      <c r="R1012" s="1" t="s">
        <v>25</v>
      </c>
      <c r="S1012" s="1">
        <v>50</v>
      </c>
      <c r="T1012" s="1">
        <v>1</v>
      </c>
      <c r="U1012" s="1">
        <v>2</v>
      </c>
      <c r="V1012">
        <f t="shared" si="15"/>
        <v>25</v>
      </c>
    </row>
    <row r="1013" spans="1:22" ht="13" x14ac:dyDescent="0.15">
      <c r="A1013" s="4">
        <v>44777</v>
      </c>
      <c r="B1013" s="5">
        <v>0.50612268518518522</v>
      </c>
      <c r="C1013" s="1">
        <v>1693</v>
      </c>
      <c r="D1013" s="1">
        <v>13002606</v>
      </c>
      <c r="E1013" s="1">
        <v>13</v>
      </c>
      <c r="F1013" s="1">
        <v>22589</v>
      </c>
      <c r="G1013" s="1" t="s">
        <v>21</v>
      </c>
      <c r="H1013" s="1">
        <v>18</v>
      </c>
      <c r="I1013" s="1">
        <v>475359</v>
      </c>
      <c r="J1013" s="1" t="s">
        <v>969</v>
      </c>
      <c r="K1013" s="1" t="s">
        <v>58</v>
      </c>
      <c r="L1013" s="1" t="s">
        <v>970</v>
      </c>
      <c r="M1013" s="1">
        <v>1</v>
      </c>
      <c r="N1013" s="2">
        <v>46.63</v>
      </c>
      <c r="O1013" s="3">
        <v>76</v>
      </c>
      <c r="P1013" s="1">
        <v>0</v>
      </c>
      <c r="Q1013" s="1" t="s">
        <v>25</v>
      </c>
      <c r="R1013" s="1" t="s">
        <v>25</v>
      </c>
      <c r="S1013" s="1">
        <v>50</v>
      </c>
      <c r="T1013" s="1">
        <v>1</v>
      </c>
      <c r="U1013" s="1">
        <v>1</v>
      </c>
      <c r="V1013">
        <f t="shared" si="15"/>
        <v>76</v>
      </c>
    </row>
    <row r="1014" spans="1:22" ht="13" x14ac:dyDescent="0.15">
      <c r="A1014" s="4">
        <v>44777</v>
      </c>
      <c r="B1014" s="5">
        <v>0.50817129629629632</v>
      </c>
      <c r="C1014" s="1">
        <v>1694</v>
      </c>
      <c r="D1014" s="1">
        <v>13002606</v>
      </c>
      <c r="E1014" s="1">
        <v>13</v>
      </c>
      <c r="F1014" s="1">
        <v>22589</v>
      </c>
      <c r="G1014" s="1" t="s">
        <v>21</v>
      </c>
      <c r="H1014" s="1">
        <v>18</v>
      </c>
      <c r="I1014" s="1">
        <v>513866</v>
      </c>
      <c r="J1014" s="1" t="s">
        <v>971</v>
      </c>
      <c r="K1014" s="1" t="s">
        <v>51</v>
      </c>
      <c r="L1014" s="1" t="s">
        <v>216</v>
      </c>
      <c r="M1014" s="1">
        <v>1</v>
      </c>
      <c r="N1014" s="2">
        <v>270.95</v>
      </c>
      <c r="O1014" s="3">
        <v>366</v>
      </c>
      <c r="P1014" s="1">
        <v>25</v>
      </c>
      <c r="Q1014" s="1">
        <v>9</v>
      </c>
      <c r="R1014" s="1">
        <v>200010013137</v>
      </c>
      <c r="S1014" s="1">
        <v>50</v>
      </c>
      <c r="T1014" s="1">
        <v>1</v>
      </c>
      <c r="U1014" s="1">
        <v>1</v>
      </c>
      <c r="V1014">
        <f t="shared" si="15"/>
        <v>366</v>
      </c>
    </row>
    <row r="1015" spans="1:22" ht="13" x14ac:dyDescent="0.15">
      <c r="A1015" s="4">
        <v>44777</v>
      </c>
      <c r="B1015" s="5">
        <v>0.50817129629629632</v>
      </c>
      <c r="C1015" s="1">
        <v>1694</v>
      </c>
      <c r="D1015" s="1">
        <v>13002606</v>
      </c>
      <c r="E1015" s="1">
        <v>13</v>
      </c>
      <c r="F1015" s="1">
        <v>22589</v>
      </c>
      <c r="G1015" s="1" t="s">
        <v>21</v>
      </c>
      <c r="H1015" s="1">
        <v>18</v>
      </c>
      <c r="I1015" s="1">
        <v>193095</v>
      </c>
      <c r="J1015" s="1" t="s">
        <v>972</v>
      </c>
      <c r="K1015" s="1" t="s">
        <v>23</v>
      </c>
      <c r="L1015" s="1" t="s">
        <v>415</v>
      </c>
      <c r="M1015" s="1">
        <v>1</v>
      </c>
      <c r="N1015" s="2">
        <v>201.26</v>
      </c>
      <c r="O1015" s="3">
        <v>272</v>
      </c>
      <c r="P1015" s="1">
        <v>19</v>
      </c>
      <c r="Q1015" s="1">
        <v>9</v>
      </c>
      <c r="R1015" s="1">
        <v>200010013137</v>
      </c>
      <c r="S1015" s="1">
        <v>50</v>
      </c>
      <c r="T1015" s="1">
        <v>1</v>
      </c>
      <c r="U1015" s="1">
        <v>2</v>
      </c>
      <c r="V1015">
        <f t="shared" si="15"/>
        <v>272</v>
      </c>
    </row>
    <row r="1016" spans="1:22" ht="13" x14ac:dyDescent="0.15">
      <c r="A1016" s="4">
        <v>44777</v>
      </c>
      <c r="B1016" s="5">
        <v>0.50817129629629632</v>
      </c>
      <c r="C1016" s="1">
        <v>1694</v>
      </c>
      <c r="D1016" s="1">
        <v>13002606</v>
      </c>
      <c r="E1016" s="1">
        <v>13</v>
      </c>
      <c r="F1016" s="1">
        <v>22589</v>
      </c>
      <c r="G1016" s="1" t="s">
        <v>21</v>
      </c>
      <c r="H1016" s="1">
        <v>18</v>
      </c>
      <c r="I1016" s="1">
        <v>61029</v>
      </c>
      <c r="J1016" s="1" t="s">
        <v>829</v>
      </c>
      <c r="K1016" s="1" t="s">
        <v>34</v>
      </c>
      <c r="L1016" s="1" t="s">
        <v>830</v>
      </c>
      <c r="M1016" s="1">
        <v>1</v>
      </c>
      <c r="N1016" s="2">
        <v>403.72</v>
      </c>
      <c r="O1016" s="3">
        <v>488</v>
      </c>
      <c r="P1016" s="1">
        <v>24</v>
      </c>
      <c r="Q1016" s="1">
        <v>9</v>
      </c>
      <c r="R1016" s="1">
        <v>200010013137</v>
      </c>
      <c r="S1016" s="1">
        <v>50</v>
      </c>
      <c r="T1016" s="1">
        <v>1</v>
      </c>
      <c r="U1016" s="1">
        <v>3</v>
      </c>
      <c r="V1016">
        <f t="shared" si="15"/>
        <v>488</v>
      </c>
    </row>
    <row r="1017" spans="1:22" ht="13" x14ac:dyDescent="0.15">
      <c r="A1017" s="4">
        <v>44777</v>
      </c>
      <c r="B1017" s="5">
        <v>0.5115277777777778</v>
      </c>
      <c r="C1017" s="1">
        <v>1695</v>
      </c>
      <c r="D1017" s="1">
        <v>13002606</v>
      </c>
      <c r="E1017" s="1">
        <v>13</v>
      </c>
      <c r="F1017" s="1">
        <v>22589</v>
      </c>
      <c r="G1017" s="1" t="s">
        <v>21</v>
      </c>
      <c r="H1017" s="1">
        <v>15</v>
      </c>
      <c r="I1017" s="1">
        <v>159431</v>
      </c>
      <c r="J1017" s="1" t="s">
        <v>973</v>
      </c>
      <c r="K1017" s="1" t="s">
        <v>29</v>
      </c>
      <c r="L1017" s="1" t="s">
        <v>974</v>
      </c>
      <c r="M1017" s="1">
        <v>0.2</v>
      </c>
      <c r="N1017" s="2">
        <v>411.84</v>
      </c>
      <c r="O1017" s="3">
        <v>544</v>
      </c>
      <c r="P1017" s="1">
        <v>6.8</v>
      </c>
      <c r="Q1017" s="1">
        <v>9</v>
      </c>
      <c r="R1017" s="1">
        <v>200010021056</v>
      </c>
      <c r="S1017" s="1">
        <v>50</v>
      </c>
      <c r="T1017" s="1">
        <v>1</v>
      </c>
      <c r="U1017" s="1">
        <v>1</v>
      </c>
      <c r="V1017">
        <f t="shared" si="15"/>
        <v>108.80000000000001</v>
      </c>
    </row>
    <row r="1018" spans="1:22" ht="13" x14ac:dyDescent="0.15">
      <c r="A1018" s="4">
        <v>44777</v>
      </c>
      <c r="B1018" s="5">
        <v>0.51216435185185183</v>
      </c>
      <c r="C1018" s="1">
        <v>1696</v>
      </c>
      <c r="D1018" s="1">
        <v>13002606</v>
      </c>
      <c r="E1018" s="1">
        <v>13</v>
      </c>
      <c r="F1018" s="1">
        <v>22589</v>
      </c>
      <c r="G1018" s="1" t="s">
        <v>21</v>
      </c>
      <c r="H1018" s="1">
        <v>15</v>
      </c>
      <c r="I1018" s="1">
        <v>295405</v>
      </c>
      <c r="J1018" s="1" t="s">
        <v>975</v>
      </c>
      <c r="K1018" s="1" t="s">
        <v>23</v>
      </c>
      <c r="L1018" s="1" t="s">
        <v>248</v>
      </c>
      <c r="M1018" s="1">
        <v>1</v>
      </c>
      <c r="N1018" s="2">
        <v>35.39</v>
      </c>
      <c r="O1018" s="3">
        <v>44</v>
      </c>
      <c r="P1018" s="1">
        <v>2</v>
      </c>
      <c r="Q1018" s="1">
        <v>9</v>
      </c>
      <c r="R1018" s="1">
        <v>200010021056</v>
      </c>
      <c r="S1018" s="1">
        <v>50</v>
      </c>
      <c r="T1018" s="1">
        <v>1</v>
      </c>
      <c r="U1018" s="1">
        <v>1</v>
      </c>
      <c r="V1018">
        <f t="shared" si="15"/>
        <v>44</v>
      </c>
    </row>
    <row r="1019" spans="1:22" ht="13" x14ac:dyDescent="0.15">
      <c r="A1019" s="4">
        <v>44777</v>
      </c>
      <c r="B1019" s="5">
        <v>0.5130555555555556</v>
      </c>
      <c r="C1019" s="1">
        <v>1697</v>
      </c>
      <c r="D1019" s="1">
        <v>13002606</v>
      </c>
      <c r="E1019" s="1">
        <v>13</v>
      </c>
      <c r="F1019" s="1">
        <v>22589</v>
      </c>
      <c r="G1019" s="1" t="s">
        <v>21</v>
      </c>
      <c r="H1019" s="1">
        <v>15</v>
      </c>
      <c r="I1019" s="1">
        <v>295405</v>
      </c>
      <c r="J1019" s="1" t="s">
        <v>975</v>
      </c>
      <c r="K1019" s="1" t="s">
        <v>23</v>
      </c>
      <c r="L1019" s="1" t="s">
        <v>248</v>
      </c>
      <c r="M1019" s="1">
        <v>1</v>
      </c>
      <c r="N1019" s="2">
        <v>35.39</v>
      </c>
      <c r="O1019" s="3">
        <v>44</v>
      </c>
      <c r="P1019" s="1">
        <v>0</v>
      </c>
      <c r="Q1019" s="1" t="s">
        <v>25</v>
      </c>
      <c r="R1019" s="1" t="s">
        <v>25</v>
      </c>
      <c r="S1019" s="1">
        <v>50</v>
      </c>
      <c r="T1019" s="1">
        <v>1</v>
      </c>
      <c r="U1019" s="1">
        <v>1</v>
      </c>
      <c r="V1019">
        <f t="shared" si="15"/>
        <v>44</v>
      </c>
    </row>
    <row r="1020" spans="1:22" ht="13" x14ac:dyDescent="0.15">
      <c r="A1020" s="4">
        <v>44777</v>
      </c>
      <c r="B1020" s="5">
        <v>0.51480324074074069</v>
      </c>
      <c r="C1020" s="1">
        <v>1698</v>
      </c>
      <c r="D1020" s="1">
        <v>13002606</v>
      </c>
      <c r="E1020" s="1">
        <v>13</v>
      </c>
      <c r="F1020" s="1">
        <v>22589</v>
      </c>
      <c r="G1020" s="1" t="s">
        <v>21</v>
      </c>
      <c r="H1020" s="1">
        <v>15</v>
      </c>
      <c r="I1020" s="1">
        <v>22338</v>
      </c>
      <c r="J1020" s="1" t="s">
        <v>763</v>
      </c>
      <c r="K1020" s="1" t="s">
        <v>64</v>
      </c>
      <c r="L1020" s="1" t="s">
        <v>717</v>
      </c>
      <c r="M1020" s="1">
        <v>0.33333332999999998</v>
      </c>
      <c r="N1020" s="2">
        <v>826.66</v>
      </c>
      <c r="O1020" s="3">
        <v>1067</v>
      </c>
      <c r="P1020" s="1">
        <v>24.67</v>
      </c>
      <c r="Q1020" s="1">
        <v>9</v>
      </c>
      <c r="R1020" s="1">
        <v>200010016190</v>
      </c>
      <c r="S1020" s="1">
        <v>50</v>
      </c>
      <c r="T1020" s="1">
        <v>1</v>
      </c>
      <c r="U1020" s="1">
        <v>1</v>
      </c>
      <c r="V1020">
        <f t="shared" si="15"/>
        <v>355.66666311</v>
      </c>
    </row>
    <row r="1021" spans="1:22" ht="13" x14ac:dyDescent="0.15">
      <c r="A1021" s="4">
        <v>44777</v>
      </c>
      <c r="B1021" s="5">
        <v>0.52053240740740736</v>
      </c>
      <c r="C1021" s="1">
        <v>1699</v>
      </c>
      <c r="D1021" s="1">
        <v>13002606</v>
      </c>
      <c r="E1021" s="1">
        <v>13</v>
      </c>
      <c r="F1021" s="1">
        <v>22589</v>
      </c>
      <c r="G1021" s="1" t="s">
        <v>21</v>
      </c>
      <c r="H1021" s="1">
        <v>15</v>
      </c>
      <c r="I1021" s="1">
        <v>386692</v>
      </c>
      <c r="J1021" s="1" t="s">
        <v>976</v>
      </c>
      <c r="K1021" s="1" t="s">
        <v>34</v>
      </c>
      <c r="L1021" s="1" t="s">
        <v>335</v>
      </c>
      <c r="M1021" s="1">
        <v>1</v>
      </c>
      <c r="N1021" s="2">
        <v>71.12</v>
      </c>
      <c r="O1021" s="3">
        <v>101</v>
      </c>
      <c r="P1021" s="1">
        <v>7</v>
      </c>
      <c r="Q1021" s="1">
        <v>9</v>
      </c>
      <c r="R1021" s="1">
        <v>200010001659</v>
      </c>
      <c r="S1021" s="1">
        <v>50</v>
      </c>
      <c r="T1021" s="1">
        <v>1</v>
      </c>
      <c r="U1021" s="1">
        <v>2</v>
      </c>
      <c r="V1021">
        <f t="shared" si="15"/>
        <v>101</v>
      </c>
    </row>
    <row r="1022" spans="1:22" ht="13" x14ac:dyDescent="0.15">
      <c r="A1022" s="4">
        <v>44777</v>
      </c>
      <c r="B1022" s="5">
        <v>0.52053240740740736</v>
      </c>
      <c r="C1022" s="1">
        <v>1699</v>
      </c>
      <c r="D1022" s="1">
        <v>13002606</v>
      </c>
      <c r="E1022" s="1">
        <v>13</v>
      </c>
      <c r="F1022" s="1">
        <v>22589</v>
      </c>
      <c r="G1022" s="1" t="s">
        <v>21</v>
      </c>
      <c r="H1022" s="1">
        <v>15</v>
      </c>
      <c r="I1022" s="1">
        <v>137134</v>
      </c>
      <c r="J1022" s="1" t="s">
        <v>340</v>
      </c>
      <c r="K1022" s="1" t="s">
        <v>51</v>
      </c>
      <c r="L1022" s="1" t="s">
        <v>341</v>
      </c>
      <c r="M1022" s="1">
        <v>1</v>
      </c>
      <c r="N1022" s="2">
        <v>178.18</v>
      </c>
      <c r="O1022" s="3">
        <v>216</v>
      </c>
      <c r="P1022" s="1">
        <v>10</v>
      </c>
      <c r="Q1022" s="1">
        <v>9</v>
      </c>
      <c r="R1022" s="1">
        <v>200010001659</v>
      </c>
      <c r="S1022" s="1">
        <v>50</v>
      </c>
      <c r="T1022" s="1">
        <v>1</v>
      </c>
      <c r="U1022" s="1">
        <v>4</v>
      </c>
      <c r="V1022">
        <f t="shared" si="15"/>
        <v>216</v>
      </c>
    </row>
    <row r="1023" spans="1:22" ht="13" x14ac:dyDescent="0.15">
      <c r="A1023" s="4">
        <v>44777</v>
      </c>
      <c r="B1023" s="5">
        <v>0.52053240740740736</v>
      </c>
      <c r="C1023" s="1">
        <v>1699</v>
      </c>
      <c r="D1023" s="1">
        <v>13002606</v>
      </c>
      <c r="E1023" s="1">
        <v>13</v>
      </c>
      <c r="F1023" s="1">
        <v>22589</v>
      </c>
      <c r="G1023" s="1" t="s">
        <v>21</v>
      </c>
      <c r="H1023" s="1">
        <v>15</v>
      </c>
      <c r="I1023" s="1">
        <v>29515</v>
      </c>
      <c r="J1023" s="1" t="s">
        <v>977</v>
      </c>
      <c r="K1023" s="1" t="s">
        <v>51</v>
      </c>
      <c r="L1023" s="1" t="s">
        <v>978</v>
      </c>
      <c r="M1023" s="1">
        <v>1</v>
      </c>
      <c r="N1023" s="2">
        <v>51.96</v>
      </c>
      <c r="O1023" s="3">
        <v>82</v>
      </c>
      <c r="P1023" s="1">
        <v>8</v>
      </c>
      <c r="Q1023" s="1">
        <v>9</v>
      </c>
      <c r="R1023" s="1">
        <v>200010001659</v>
      </c>
      <c r="S1023" s="1">
        <v>50</v>
      </c>
      <c r="T1023" s="1">
        <v>1</v>
      </c>
      <c r="U1023" s="1">
        <v>3</v>
      </c>
      <c r="V1023">
        <f t="shared" si="15"/>
        <v>82</v>
      </c>
    </row>
    <row r="1024" spans="1:22" ht="13" x14ac:dyDescent="0.15">
      <c r="A1024" s="4">
        <v>44777</v>
      </c>
      <c r="B1024" s="5">
        <v>0.52053240740740736</v>
      </c>
      <c r="C1024" s="1">
        <v>1699</v>
      </c>
      <c r="D1024" s="1">
        <v>13002606</v>
      </c>
      <c r="E1024" s="1">
        <v>13</v>
      </c>
      <c r="F1024" s="1">
        <v>22589</v>
      </c>
      <c r="G1024" s="1" t="s">
        <v>21</v>
      </c>
      <c r="H1024" s="1">
        <v>15</v>
      </c>
      <c r="I1024" s="1">
        <v>440757</v>
      </c>
      <c r="J1024" s="1" t="s">
        <v>979</v>
      </c>
      <c r="K1024" s="1" t="s">
        <v>61</v>
      </c>
      <c r="L1024" s="1" t="s">
        <v>49</v>
      </c>
      <c r="M1024" s="1">
        <v>1</v>
      </c>
      <c r="N1024" s="2">
        <v>15.84</v>
      </c>
      <c r="O1024" s="3">
        <v>25</v>
      </c>
      <c r="P1024" s="1">
        <v>1</v>
      </c>
      <c r="Q1024" s="1">
        <v>9</v>
      </c>
      <c r="R1024" s="1">
        <v>200010001659</v>
      </c>
      <c r="S1024" s="1">
        <v>50</v>
      </c>
      <c r="T1024" s="1">
        <v>1</v>
      </c>
      <c r="U1024" s="1">
        <v>1</v>
      </c>
      <c r="V1024">
        <f t="shared" si="15"/>
        <v>25</v>
      </c>
    </row>
    <row r="1025" spans="1:22" ht="13" x14ac:dyDescent="0.15">
      <c r="A1025" s="4">
        <v>44777</v>
      </c>
      <c r="B1025" s="5">
        <v>0.67237268518518523</v>
      </c>
      <c r="C1025" s="1">
        <v>1743</v>
      </c>
      <c r="D1025" s="1">
        <v>13002606</v>
      </c>
      <c r="E1025" s="1">
        <v>13</v>
      </c>
      <c r="F1025" s="1">
        <v>22589</v>
      </c>
      <c r="G1025" s="1" t="s">
        <v>21</v>
      </c>
      <c r="H1025" s="1">
        <v>18</v>
      </c>
      <c r="I1025" s="1">
        <v>440757</v>
      </c>
      <c r="J1025" s="1" t="s">
        <v>979</v>
      </c>
      <c r="K1025" s="1" t="s">
        <v>61</v>
      </c>
      <c r="L1025" s="1" t="s">
        <v>49</v>
      </c>
      <c r="M1025" s="1">
        <v>1</v>
      </c>
      <c r="N1025" s="2">
        <v>15.84</v>
      </c>
      <c r="O1025" s="3">
        <v>25</v>
      </c>
      <c r="P1025" s="1">
        <v>1</v>
      </c>
      <c r="Q1025" s="1">
        <v>9</v>
      </c>
      <c r="R1025" s="1">
        <v>200010021345</v>
      </c>
      <c r="S1025" s="1">
        <v>50</v>
      </c>
      <c r="T1025" s="1">
        <v>1</v>
      </c>
      <c r="U1025" s="1">
        <v>1</v>
      </c>
      <c r="V1025">
        <f t="shared" si="15"/>
        <v>25</v>
      </c>
    </row>
    <row r="1026" spans="1:22" ht="13" x14ac:dyDescent="0.15">
      <c r="A1026" s="4">
        <v>44777</v>
      </c>
      <c r="B1026" s="5">
        <v>0.67237268518518523</v>
      </c>
      <c r="C1026" s="1">
        <v>1743</v>
      </c>
      <c r="D1026" s="1">
        <v>13002606</v>
      </c>
      <c r="E1026" s="1">
        <v>13</v>
      </c>
      <c r="F1026" s="1">
        <v>22589</v>
      </c>
      <c r="G1026" s="1" t="s">
        <v>21</v>
      </c>
      <c r="H1026" s="1">
        <v>18</v>
      </c>
      <c r="I1026" s="1">
        <v>440757</v>
      </c>
      <c r="J1026" s="1" t="s">
        <v>979</v>
      </c>
      <c r="K1026" s="1" t="s">
        <v>61</v>
      </c>
      <c r="L1026" s="1" t="s">
        <v>49</v>
      </c>
      <c r="M1026" s="1">
        <v>1</v>
      </c>
      <c r="N1026" s="2">
        <v>15.84</v>
      </c>
      <c r="O1026" s="3">
        <v>25</v>
      </c>
      <c r="P1026" s="1">
        <v>1</v>
      </c>
      <c r="Q1026" s="1">
        <v>9</v>
      </c>
      <c r="R1026" s="1">
        <v>200010021345</v>
      </c>
      <c r="S1026" s="1">
        <v>50</v>
      </c>
      <c r="T1026" s="1">
        <v>1</v>
      </c>
      <c r="U1026" s="1">
        <v>2</v>
      </c>
      <c r="V1026">
        <f t="shared" si="15"/>
        <v>25</v>
      </c>
    </row>
    <row r="1027" spans="1:22" ht="13" x14ac:dyDescent="0.15">
      <c r="A1027" s="4">
        <v>44777</v>
      </c>
      <c r="B1027" s="5">
        <v>0.52184027777777775</v>
      </c>
      <c r="C1027" s="1">
        <v>1700</v>
      </c>
      <c r="D1027" s="1">
        <v>13002606</v>
      </c>
      <c r="E1027" s="1">
        <v>13</v>
      </c>
      <c r="F1027" s="1">
        <v>22589</v>
      </c>
      <c r="G1027" s="1" t="s">
        <v>21</v>
      </c>
      <c r="H1027" s="1">
        <v>15</v>
      </c>
      <c r="I1027" s="1">
        <v>118475</v>
      </c>
      <c r="J1027" s="1" t="s">
        <v>980</v>
      </c>
      <c r="K1027" s="1" t="s">
        <v>29</v>
      </c>
      <c r="L1027" s="1" t="s">
        <v>750</v>
      </c>
      <c r="M1027" s="1">
        <v>1</v>
      </c>
      <c r="N1027" s="2">
        <v>150.72999999999999</v>
      </c>
      <c r="O1027" s="3">
        <v>207</v>
      </c>
      <c r="P1027" s="1">
        <v>14</v>
      </c>
      <c r="Q1027" s="1">
        <v>9</v>
      </c>
      <c r="R1027" s="1">
        <v>200010001659</v>
      </c>
      <c r="S1027" s="1">
        <v>50</v>
      </c>
      <c r="T1027" s="1">
        <v>1</v>
      </c>
      <c r="U1027" s="1">
        <v>1</v>
      </c>
      <c r="V1027">
        <f t="shared" ref="V1027:V1090" si="16">O1027*M1027</f>
        <v>207</v>
      </c>
    </row>
    <row r="1028" spans="1:22" ht="13" x14ac:dyDescent="0.15">
      <c r="A1028" s="4">
        <v>44777</v>
      </c>
      <c r="B1028" s="5">
        <v>0.52355324074074072</v>
      </c>
      <c r="C1028" s="1">
        <v>1701</v>
      </c>
      <c r="D1028" s="1">
        <v>13002606</v>
      </c>
      <c r="E1028" s="1">
        <v>13</v>
      </c>
      <c r="F1028" s="1">
        <v>22589</v>
      </c>
      <c r="G1028" s="1" t="s">
        <v>21</v>
      </c>
      <c r="H1028" s="1">
        <v>15</v>
      </c>
      <c r="I1028" s="1">
        <v>5196</v>
      </c>
      <c r="J1028" s="1" t="s">
        <v>981</v>
      </c>
      <c r="K1028" s="1" t="s">
        <v>34</v>
      </c>
      <c r="L1028" s="1" t="s">
        <v>39</v>
      </c>
      <c r="M1028" s="1">
        <v>1</v>
      </c>
      <c r="N1028" s="2">
        <v>16.32</v>
      </c>
      <c r="O1028" s="3">
        <v>20</v>
      </c>
      <c r="P1028" s="1">
        <v>1</v>
      </c>
      <c r="Q1028" s="1">
        <v>9</v>
      </c>
      <c r="R1028" s="1">
        <v>200010022491</v>
      </c>
      <c r="S1028" s="1">
        <v>50</v>
      </c>
      <c r="T1028" s="1">
        <v>1</v>
      </c>
      <c r="U1028" s="1">
        <v>2</v>
      </c>
      <c r="V1028">
        <f t="shared" si="16"/>
        <v>20</v>
      </c>
    </row>
    <row r="1029" spans="1:22" ht="13" x14ac:dyDescent="0.15">
      <c r="A1029" s="4">
        <v>44777</v>
      </c>
      <c r="B1029" s="5">
        <v>0.52355324074074072</v>
      </c>
      <c r="C1029" s="1">
        <v>1701</v>
      </c>
      <c r="D1029" s="1">
        <v>13002606</v>
      </c>
      <c r="E1029" s="1">
        <v>13</v>
      </c>
      <c r="F1029" s="1">
        <v>22589</v>
      </c>
      <c r="G1029" s="1" t="s">
        <v>21</v>
      </c>
      <c r="H1029" s="1">
        <v>15</v>
      </c>
      <c r="I1029" s="1">
        <v>12025</v>
      </c>
      <c r="J1029" s="1" t="s">
        <v>982</v>
      </c>
      <c r="K1029" s="1" t="s">
        <v>23</v>
      </c>
      <c r="L1029" s="1" t="s">
        <v>983</v>
      </c>
      <c r="M1029" s="1">
        <v>1</v>
      </c>
      <c r="N1029" s="2">
        <v>572.16999999999996</v>
      </c>
      <c r="O1029" s="3">
        <v>634</v>
      </c>
      <c r="P1029" s="1">
        <v>19</v>
      </c>
      <c r="Q1029" s="1">
        <v>9</v>
      </c>
      <c r="R1029" s="1">
        <v>200010022491</v>
      </c>
      <c r="S1029" s="1">
        <v>50</v>
      </c>
      <c r="T1029" s="1">
        <v>1</v>
      </c>
      <c r="U1029" s="1">
        <v>1</v>
      </c>
      <c r="V1029">
        <f t="shared" si="16"/>
        <v>634</v>
      </c>
    </row>
    <row r="1030" spans="1:22" ht="13" x14ac:dyDescent="0.15">
      <c r="A1030" s="4">
        <v>44777</v>
      </c>
      <c r="B1030" s="5">
        <v>0.52497685185185183</v>
      </c>
      <c r="C1030" s="1">
        <v>1702</v>
      </c>
      <c r="D1030" s="1">
        <v>13002606</v>
      </c>
      <c r="E1030" s="1">
        <v>13</v>
      </c>
      <c r="F1030" s="1">
        <v>22589</v>
      </c>
      <c r="G1030" s="1" t="s">
        <v>21</v>
      </c>
      <c r="H1030" s="1">
        <v>15</v>
      </c>
      <c r="I1030" s="1">
        <v>18118</v>
      </c>
      <c r="J1030" s="1" t="s">
        <v>984</v>
      </c>
      <c r="K1030" s="1" t="s">
        <v>117</v>
      </c>
      <c r="L1030" s="1" t="s">
        <v>985</v>
      </c>
      <c r="M1030" s="1">
        <v>1</v>
      </c>
      <c r="N1030" s="2">
        <v>102.28</v>
      </c>
      <c r="O1030" s="3">
        <v>141</v>
      </c>
      <c r="P1030" s="1">
        <v>9</v>
      </c>
      <c r="Q1030" s="1">
        <v>9</v>
      </c>
      <c r="R1030" s="1">
        <v>200010006024</v>
      </c>
      <c r="S1030" s="1">
        <v>50</v>
      </c>
      <c r="T1030" s="1">
        <v>1</v>
      </c>
      <c r="U1030" s="1">
        <v>1</v>
      </c>
      <c r="V1030">
        <f t="shared" si="16"/>
        <v>141</v>
      </c>
    </row>
    <row r="1031" spans="1:22" ht="13" x14ac:dyDescent="0.15">
      <c r="A1031" s="4">
        <v>44777</v>
      </c>
      <c r="B1031" s="5">
        <v>0.52650462962962963</v>
      </c>
      <c r="C1031" s="1">
        <v>1703</v>
      </c>
      <c r="D1031" s="1">
        <v>13002606</v>
      </c>
      <c r="E1031" s="1">
        <v>13</v>
      </c>
      <c r="F1031" s="1">
        <v>22589</v>
      </c>
      <c r="G1031" s="1" t="s">
        <v>21</v>
      </c>
      <c r="H1031" s="1">
        <v>18</v>
      </c>
      <c r="I1031" s="1">
        <v>29118</v>
      </c>
      <c r="J1031" s="1" t="s">
        <v>520</v>
      </c>
      <c r="K1031" s="1" t="s">
        <v>51</v>
      </c>
      <c r="L1031" s="1" t="s">
        <v>269</v>
      </c>
      <c r="M1031" s="1">
        <v>3</v>
      </c>
      <c r="N1031" s="2">
        <v>29.75</v>
      </c>
      <c r="O1031" s="3">
        <v>49</v>
      </c>
      <c r="P1031" s="1">
        <v>0</v>
      </c>
      <c r="Q1031" s="1" t="s">
        <v>25</v>
      </c>
      <c r="R1031" s="1" t="s">
        <v>25</v>
      </c>
      <c r="S1031" s="1">
        <v>50</v>
      </c>
      <c r="T1031" s="1">
        <v>1</v>
      </c>
      <c r="U1031" s="1">
        <v>3</v>
      </c>
      <c r="V1031">
        <f t="shared" si="16"/>
        <v>147</v>
      </c>
    </row>
    <row r="1032" spans="1:22" ht="13" x14ac:dyDescent="0.15">
      <c r="A1032" s="4">
        <v>44777</v>
      </c>
      <c r="B1032" s="5">
        <v>0.52650462962962963</v>
      </c>
      <c r="C1032" s="1">
        <v>1703</v>
      </c>
      <c r="D1032" s="1">
        <v>13002606</v>
      </c>
      <c r="E1032" s="1">
        <v>13</v>
      </c>
      <c r="F1032" s="1">
        <v>22589</v>
      </c>
      <c r="G1032" s="1" t="s">
        <v>21</v>
      </c>
      <c r="H1032" s="1">
        <v>18</v>
      </c>
      <c r="I1032" s="1">
        <v>81988</v>
      </c>
      <c r="J1032" s="1" t="s">
        <v>451</v>
      </c>
      <c r="K1032" s="1" t="s">
        <v>61</v>
      </c>
      <c r="L1032" s="1" t="s">
        <v>269</v>
      </c>
      <c r="M1032" s="1">
        <v>3</v>
      </c>
      <c r="N1032" s="2">
        <v>4.62</v>
      </c>
      <c r="O1032" s="3">
        <v>8</v>
      </c>
      <c r="P1032" s="1">
        <v>0</v>
      </c>
      <c r="Q1032" s="1" t="s">
        <v>25</v>
      </c>
      <c r="R1032" s="1" t="s">
        <v>25</v>
      </c>
      <c r="S1032" s="1">
        <v>50</v>
      </c>
      <c r="T1032" s="1">
        <v>1</v>
      </c>
      <c r="U1032" s="1">
        <v>4</v>
      </c>
      <c r="V1032">
        <f t="shared" si="16"/>
        <v>24</v>
      </c>
    </row>
    <row r="1033" spans="1:22" ht="13" x14ac:dyDescent="0.15">
      <c r="A1033" s="4">
        <v>44777</v>
      </c>
      <c r="B1033" s="5">
        <v>0.52650462962962963</v>
      </c>
      <c r="C1033" s="1">
        <v>1703</v>
      </c>
      <c r="D1033" s="1">
        <v>13002606</v>
      </c>
      <c r="E1033" s="1">
        <v>13</v>
      </c>
      <c r="F1033" s="1">
        <v>22589</v>
      </c>
      <c r="G1033" s="1" t="s">
        <v>21</v>
      </c>
      <c r="H1033" s="1">
        <v>18</v>
      </c>
      <c r="I1033" s="1">
        <v>260841</v>
      </c>
      <c r="J1033" s="1" t="s">
        <v>986</v>
      </c>
      <c r="K1033" s="1" t="s">
        <v>51</v>
      </c>
      <c r="L1033" s="1" t="s">
        <v>167</v>
      </c>
      <c r="M1033" s="1">
        <v>1</v>
      </c>
      <c r="N1033" s="2">
        <v>9.67</v>
      </c>
      <c r="O1033" s="3">
        <v>16</v>
      </c>
      <c r="P1033" s="1">
        <v>0</v>
      </c>
      <c r="Q1033" s="1" t="s">
        <v>25</v>
      </c>
      <c r="R1033" s="1" t="s">
        <v>25</v>
      </c>
      <c r="S1033" s="1">
        <v>50</v>
      </c>
      <c r="T1033" s="1">
        <v>1</v>
      </c>
      <c r="U1033" s="1">
        <v>1</v>
      </c>
      <c r="V1033">
        <f t="shared" si="16"/>
        <v>16</v>
      </c>
    </row>
    <row r="1034" spans="1:22" ht="13" x14ac:dyDescent="0.15">
      <c r="A1034" s="4">
        <v>44777</v>
      </c>
      <c r="B1034" s="5">
        <v>0.54795138888888884</v>
      </c>
      <c r="C1034" s="1">
        <v>1714</v>
      </c>
      <c r="D1034" s="1">
        <v>13002606</v>
      </c>
      <c r="E1034" s="1">
        <v>13</v>
      </c>
      <c r="F1034" s="1">
        <v>22589</v>
      </c>
      <c r="G1034" s="1" t="s">
        <v>21</v>
      </c>
      <c r="H1034" s="1">
        <v>18</v>
      </c>
      <c r="I1034" s="1">
        <v>260841</v>
      </c>
      <c r="J1034" s="1" t="s">
        <v>986</v>
      </c>
      <c r="K1034" s="1" t="s">
        <v>51</v>
      </c>
      <c r="L1034" s="1" t="s">
        <v>167</v>
      </c>
      <c r="M1034" s="1">
        <v>1</v>
      </c>
      <c r="N1034" s="2">
        <v>9.67</v>
      </c>
      <c r="O1034" s="3">
        <v>16</v>
      </c>
      <c r="P1034" s="1">
        <v>1</v>
      </c>
      <c r="Q1034" s="1">
        <v>9</v>
      </c>
      <c r="R1034" s="1">
        <v>200010018671</v>
      </c>
      <c r="S1034" s="1">
        <v>50</v>
      </c>
      <c r="T1034" s="1">
        <v>1</v>
      </c>
      <c r="U1034" s="1">
        <v>2</v>
      </c>
      <c r="V1034">
        <f t="shared" si="16"/>
        <v>16</v>
      </c>
    </row>
    <row r="1035" spans="1:22" ht="13" x14ac:dyDescent="0.15">
      <c r="A1035" s="4">
        <v>44777</v>
      </c>
      <c r="B1035" s="5">
        <v>0.58459490740740738</v>
      </c>
      <c r="C1035" s="1">
        <v>1725</v>
      </c>
      <c r="D1035" s="1">
        <v>13002606</v>
      </c>
      <c r="E1035" s="1">
        <v>13</v>
      </c>
      <c r="F1035" s="1">
        <v>22589</v>
      </c>
      <c r="G1035" s="1" t="s">
        <v>21</v>
      </c>
      <c r="H1035" s="1">
        <v>15</v>
      </c>
      <c r="I1035" s="1">
        <v>260841</v>
      </c>
      <c r="J1035" s="1" t="s">
        <v>986</v>
      </c>
      <c r="K1035" s="1" t="s">
        <v>51</v>
      </c>
      <c r="L1035" s="1" t="s">
        <v>167</v>
      </c>
      <c r="M1035" s="1">
        <v>1</v>
      </c>
      <c r="N1035" s="2">
        <v>9.67</v>
      </c>
      <c r="O1035" s="3">
        <v>16</v>
      </c>
      <c r="P1035" s="1">
        <v>0</v>
      </c>
      <c r="Q1035" s="1" t="s">
        <v>25</v>
      </c>
      <c r="R1035" s="1" t="s">
        <v>25</v>
      </c>
      <c r="S1035" s="1">
        <v>50</v>
      </c>
      <c r="T1035" s="1">
        <v>1</v>
      </c>
      <c r="U1035" s="1">
        <v>1</v>
      </c>
      <c r="V1035">
        <f t="shared" si="16"/>
        <v>16</v>
      </c>
    </row>
    <row r="1036" spans="1:22" ht="13" x14ac:dyDescent="0.15">
      <c r="A1036" s="4">
        <v>44777</v>
      </c>
      <c r="B1036" s="5">
        <v>0.52650462962962963</v>
      </c>
      <c r="C1036" s="1">
        <v>1703</v>
      </c>
      <c r="D1036" s="1">
        <v>13002606</v>
      </c>
      <c r="E1036" s="1">
        <v>13</v>
      </c>
      <c r="F1036" s="1">
        <v>22589</v>
      </c>
      <c r="G1036" s="1" t="s">
        <v>21</v>
      </c>
      <c r="H1036" s="1">
        <v>18</v>
      </c>
      <c r="I1036" s="1">
        <v>260840</v>
      </c>
      <c r="J1036" s="1" t="s">
        <v>358</v>
      </c>
      <c r="K1036" s="1" t="s">
        <v>51</v>
      </c>
      <c r="L1036" s="1" t="s">
        <v>167</v>
      </c>
      <c r="M1036" s="1">
        <v>1</v>
      </c>
      <c r="N1036" s="2">
        <v>9.66</v>
      </c>
      <c r="O1036" s="3">
        <v>16</v>
      </c>
      <c r="P1036" s="1">
        <v>0</v>
      </c>
      <c r="Q1036" s="1" t="s">
        <v>25</v>
      </c>
      <c r="R1036" s="1" t="s">
        <v>25</v>
      </c>
      <c r="S1036" s="1">
        <v>50</v>
      </c>
      <c r="T1036" s="1">
        <v>1</v>
      </c>
      <c r="U1036" s="1">
        <v>2</v>
      </c>
      <c r="V1036">
        <f t="shared" si="16"/>
        <v>16</v>
      </c>
    </row>
    <row r="1037" spans="1:22" ht="13" x14ac:dyDescent="0.15">
      <c r="A1037" s="4">
        <v>44777</v>
      </c>
      <c r="B1037" s="5">
        <v>0.5397453703703704</v>
      </c>
      <c r="C1037" s="1">
        <v>1709</v>
      </c>
      <c r="D1037" s="1">
        <v>13002606</v>
      </c>
      <c r="E1037" s="1">
        <v>13</v>
      </c>
      <c r="F1037" s="1">
        <v>22589</v>
      </c>
      <c r="G1037" s="1" t="s">
        <v>21</v>
      </c>
      <c r="H1037" s="1">
        <v>18</v>
      </c>
      <c r="I1037" s="1">
        <v>260840</v>
      </c>
      <c r="J1037" s="1" t="s">
        <v>358</v>
      </c>
      <c r="K1037" s="1" t="s">
        <v>51</v>
      </c>
      <c r="L1037" s="1" t="s">
        <v>167</v>
      </c>
      <c r="M1037" s="1">
        <v>1</v>
      </c>
      <c r="N1037" s="2">
        <v>9.66</v>
      </c>
      <c r="O1037" s="3">
        <v>16</v>
      </c>
      <c r="P1037" s="1">
        <v>0</v>
      </c>
      <c r="Q1037" s="1" t="s">
        <v>25</v>
      </c>
      <c r="R1037" s="1" t="s">
        <v>25</v>
      </c>
      <c r="S1037" s="1">
        <v>50</v>
      </c>
      <c r="T1037" s="1">
        <v>1</v>
      </c>
      <c r="U1037" s="1">
        <v>1</v>
      </c>
      <c r="V1037">
        <f t="shared" si="16"/>
        <v>16</v>
      </c>
    </row>
    <row r="1038" spans="1:22" ht="13" x14ac:dyDescent="0.15">
      <c r="A1038" s="4">
        <v>44777</v>
      </c>
      <c r="B1038" s="5">
        <v>0.5276967592592593</v>
      </c>
      <c r="C1038" s="1">
        <v>1704</v>
      </c>
      <c r="D1038" s="1">
        <v>13002606</v>
      </c>
      <c r="E1038" s="1">
        <v>13</v>
      </c>
      <c r="F1038" s="1">
        <v>22589</v>
      </c>
      <c r="G1038" s="1" t="s">
        <v>21</v>
      </c>
      <c r="H1038" s="1">
        <v>15</v>
      </c>
      <c r="I1038" s="1">
        <v>466557</v>
      </c>
      <c r="J1038" s="1" t="s">
        <v>987</v>
      </c>
      <c r="K1038" s="1" t="s">
        <v>34</v>
      </c>
      <c r="L1038" s="1" t="s">
        <v>988</v>
      </c>
      <c r="M1038" s="1">
        <v>1</v>
      </c>
      <c r="N1038" s="2">
        <v>100.58</v>
      </c>
      <c r="O1038" s="3">
        <v>146</v>
      </c>
      <c r="P1038" s="1">
        <v>36</v>
      </c>
      <c r="Q1038" s="1">
        <v>939</v>
      </c>
      <c r="R1038" s="1">
        <v>200000000042</v>
      </c>
      <c r="S1038" s="1">
        <v>50</v>
      </c>
      <c r="T1038" s="1">
        <v>1</v>
      </c>
      <c r="U1038" s="1">
        <v>1</v>
      </c>
      <c r="V1038">
        <f t="shared" si="16"/>
        <v>146</v>
      </c>
    </row>
    <row r="1039" spans="1:22" ht="13" x14ac:dyDescent="0.15">
      <c r="A1039" s="4">
        <v>44777</v>
      </c>
      <c r="B1039" s="5">
        <v>0.52925925925925921</v>
      </c>
      <c r="C1039" s="1">
        <v>1705</v>
      </c>
      <c r="D1039" s="1">
        <v>13002606</v>
      </c>
      <c r="E1039" s="1">
        <v>13</v>
      </c>
      <c r="F1039" s="1">
        <v>22589</v>
      </c>
      <c r="G1039" s="1" t="s">
        <v>21</v>
      </c>
      <c r="H1039" s="1">
        <v>15</v>
      </c>
      <c r="I1039" s="1">
        <v>431</v>
      </c>
      <c r="J1039" s="1" t="s">
        <v>989</v>
      </c>
      <c r="K1039" s="1" t="s">
        <v>29</v>
      </c>
      <c r="L1039" s="1" t="s">
        <v>216</v>
      </c>
      <c r="M1039" s="1">
        <v>1</v>
      </c>
      <c r="N1039" s="2">
        <v>41.83</v>
      </c>
      <c r="O1039" s="3">
        <v>51</v>
      </c>
      <c r="P1039" s="1">
        <v>0</v>
      </c>
      <c r="Q1039" s="1" t="s">
        <v>25</v>
      </c>
      <c r="R1039" s="1" t="s">
        <v>25</v>
      </c>
      <c r="S1039" s="1">
        <v>50</v>
      </c>
      <c r="T1039" s="1">
        <v>1</v>
      </c>
      <c r="U1039" s="1">
        <v>1</v>
      </c>
      <c r="V1039">
        <f t="shared" si="16"/>
        <v>51</v>
      </c>
    </row>
    <row r="1040" spans="1:22" ht="13" x14ac:dyDescent="0.15">
      <c r="A1040" s="4">
        <v>44777</v>
      </c>
      <c r="B1040" s="5">
        <v>0.53077546296296296</v>
      </c>
      <c r="C1040" s="1">
        <v>1706</v>
      </c>
      <c r="D1040" s="1">
        <v>13002606</v>
      </c>
      <c r="E1040" s="1">
        <v>13</v>
      </c>
      <c r="F1040" s="1">
        <v>22589</v>
      </c>
      <c r="G1040" s="1" t="s">
        <v>21</v>
      </c>
      <c r="H1040" s="1">
        <v>15</v>
      </c>
      <c r="I1040" s="1">
        <v>2302</v>
      </c>
      <c r="J1040" s="1" t="s">
        <v>81</v>
      </c>
      <c r="K1040" s="1" t="s">
        <v>23</v>
      </c>
      <c r="L1040" s="1" t="s">
        <v>82</v>
      </c>
      <c r="M1040" s="1">
        <v>1</v>
      </c>
      <c r="N1040" s="2">
        <v>149.12</v>
      </c>
      <c r="O1040" s="3">
        <v>179</v>
      </c>
      <c r="P1040" s="1">
        <v>8</v>
      </c>
      <c r="Q1040" s="1">
        <v>9</v>
      </c>
      <c r="R1040" s="1">
        <v>200010001054</v>
      </c>
      <c r="S1040" s="1">
        <v>50</v>
      </c>
      <c r="T1040" s="1">
        <v>1</v>
      </c>
      <c r="U1040" s="1">
        <v>2</v>
      </c>
      <c r="V1040">
        <f t="shared" si="16"/>
        <v>179</v>
      </c>
    </row>
    <row r="1041" spans="1:22" ht="13" x14ac:dyDescent="0.15">
      <c r="A1041" s="4">
        <v>44777</v>
      </c>
      <c r="B1041" s="5">
        <v>0.53077546296296296</v>
      </c>
      <c r="C1041" s="1">
        <v>1706</v>
      </c>
      <c r="D1041" s="1">
        <v>13002606</v>
      </c>
      <c r="E1041" s="1">
        <v>13</v>
      </c>
      <c r="F1041" s="1">
        <v>22589</v>
      </c>
      <c r="G1041" s="1" t="s">
        <v>21</v>
      </c>
      <c r="H1041" s="1">
        <v>15</v>
      </c>
      <c r="I1041" s="1">
        <v>434298</v>
      </c>
      <c r="J1041" s="1" t="s">
        <v>828</v>
      </c>
      <c r="K1041" s="1" t="s">
        <v>29</v>
      </c>
      <c r="L1041" s="1" t="s">
        <v>335</v>
      </c>
      <c r="M1041" s="1">
        <v>1</v>
      </c>
      <c r="N1041" s="2">
        <v>85.97</v>
      </c>
      <c r="O1041" s="3">
        <v>123</v>
      </c>
      <c r="P1041" s="1">
        <v>8</v>
      </c>
      <c r="Q1041" s="1">
        <v>9</v>
      </c>
      <c r="R1041" s="1">
        <v>200010001054</v>
      </c>
      <c r="S1041" s="1">
        <v>50</v>
      </c>
      <c r="T1041" s="1">
        <v>1</v>
      </c>
      <c r="U1041" s="1">
        <v>4</v>
      </c>
      <c r="V1041">
        <f t="shared" si="16"/>
        <v>123</v>
      </c>
    </row>
    <row r="1042" spans="1:22" ht="13" x14ac:dyDescent="0.15">
      <c r="A1042" s="4">
        <v>44777</v>
      </c>
      <c r="B1042" s="5">
        <v>0.53077546296296296</v>
      </c>
      <c r="C1042" s="1">
        <v>1706</v>
      </c>
      <c r="D1042" s="1">
        <v>13002606</v>
      </c>
      <c r="E1042" s="1">
        <v>13</v>
      </c>
      <c r="F1042" s="1">
        <v>22589</v>
      </c>
      <c r="G1042" s="1" t="s">
        <v>21</v>
      </c>
      <c r="H1042" s="1">
        <v>15</v>
      </c>
      <c r="I1042" s="1">
        <v>434298</v>
      </c>
      <c r="J1042" s="1" t="s">
        <v>828</v>
      </c>
      <c r="K1042" s="1" t="s">
        <v>29</v>
      </c>
      <c r="L1042" s="1" t="s">
        <v>335</v>
      </c>
      <c r="M1042" s="1">
        <v>1</v>
      </c>
      <c r="N1042" s="2">
        <v>85.97</v>
      </c>
      <c r="O1042" s="3">
        <v>123</v>
      </c>
      <c r="P1042" s="1">
        <v>8</v>
      </c>
      <c r="Q1042" s="1">
        <v>9</v>
      </c>
      <c r="R1042" s="1">
        <v>200010001054</v>
      </c>
      <c r="S1042" s="1">
        <v>50</v>
      </c>
      <c r="T1042" s="1">
        <v>1</v>
      </c>
      <c r="U1042" s="1">
        <v>5</v>
      </c>
      <c r="V1042">
        <f t="shared" si="16"/>
        <v>123</v>
      </c>
    </row>
    <row r="1043" spans="1:22" ht="13" x14ac:dyDescent="0.15">
      <c r="A1043" s="4">
        <v>44777</v>
      </c>
      <c r="B1043" s="5">
        <v>0.53077546296296296</v>
      </c>
      <c r="C1043" s="1">
        <v>1706</v>
      </c>
      <c r="D1043" s="1">
        <v>13002606</v>
      </c>
      <c r="E1043" s="1">
        <v>13</v>
      </c>
      <c r="F1043" s="1">
        <v>22589</v>
      </c>
      <c r="G1043" s="1" t="s">
        <v>21</v>
      </c>
      <c r="H1043" s="1">
        <v>15</v>
      </c>
      <c r="I1043" s="1">
        <v>292049</v>
      </c>
      <c r="J1043" s="1" t="s">
        <v>990</v>
      </c>
      <c r="K1043" s="1" t="s">
        <v>51</v>
      </c>
      <c r="L1043" s="1" t="s">
        <v>717</v>
      </c>
      <c r="M1043" s="1">
        <v>1</v>
      </c>
      <c r="N1043" s="2">
        <v>491.86</v>
      </c>
      <c r="O1043" s="3">
        <v>591</v>
      </c>
      <c r="P1043" s="1">
        <v>17</v>
      </c>
      <c r="Q1043" s="1">
        <v>9</v>
      </c>
      <c r="R1043" s="1">
        <v>200010001054</v>
      </c>
      <c r="S1043" s="1">
        <v>50</v>
      </c>
      <c r="T1043" s="1">
        <v>1</v>
      </c>
      <c r="U1043" s="1">
        <v>3</v>
      </c>
      <c r="V1043">
        <f t="shared" si="16"/>
        <v>591</v>
      </c>
    </row>
    <row r="1044" spans="1:22" ht="13" x14ac:dyDescent="0.15">
      <c r="A1044" s="4">
        <v>44777</v>
      </c>
      <c r="B1044" s="5">
        <v>0.53077546296296296</v>
      </c>
      <c r="C1044" s="1">
        <v>1706</v>
      </c>
      <c r="D1044" s="1">
        <v>13002606</v>
      </c>
      <c r="E1044" s="1">
        <v>13</v>
      </c>
      <c r="F1044" s="1">
        <v>22589</v>
      </c>
      <c r="G1044" s="1" t="s">
        <v>21</v>
      </c>
      <c r="H1044" s="1">
        <v>15</v>
      </c>
      <c r="I1044" s="1">
        <v>300536</v>
      </c>
      <c r="J1044" s="1" t="s">
        <v>991</v>
      </c>
      <c r="K1044" s="1" t="s">
        <v>45</v>
      </c>
      <c r="L1044" s="1" t="s">
        <v>992</v>
      </c>
      <c r="M1044" s="1">
        <v>1</v>
      </c>
      <c r="N1044" s="2">
        <v>307.68</v>
      </c>
      <c r="O1044" s="3">
        <v>375</v>
      </c>
      <c r="P1044" s="1">
        <v>18</v>
      </c>
      <c r="Q1044" s="1">
        <v>9</v>
      </c>
      <c r="R1044" s="1">
        <v>200010001054</v>
      </c>
      <c r="S1044" s="1">
        <v>50</v>
      </c>
      <c r="T1044" s="1">
        <v>1</v>
      </c>
      <c r="U1044" s="1">
        <v>1</v>
      </c>
      <c r="V1044">
        <f t="shared" si="16"/>
        <v>375</v>
      </c>
    </row>
    <row r="1045" spans="1:22" ht="13" x14ac:dyDescent="0.15">
      <c r="A1045" s="4">
        <v>44777</v>
      </c>
      <c r="B1045" s="5">
        <v>0.53268518518518515</v>
      </c>
      <c r="C1045" s="1">
        <v>1707</v>
      </c>
      <c r="D1045" s="1">
        <v>13002606</v>
      </c>
      <c r="E1045" s="1">
        <v>13</v>
      </c>
      <c r="F1045" s="1">
        <v>22589</v>
      </c>
      <c r="G1045" s="1" t="s">
        <v>21</v>
      </c>
      <c r="H1045" s="1">
        <v>15</v>
      </c>
      <c r="I1045" s="1">
        <v>493753</v>
      </c>
      <c r="J1045" s="1" t="s">
        <v>848</v>
      </c>
      <c r="K1045" s="1" t="s">
        <v>45</v>
      </c>
      <c r="L1045" s="1" t="s">
        <v>849</v>
      </c>
      <c r="M1045" s="1">
        <v>1</v>
      </c>
      <c r="N1045" s="2">
        <v>479.59</v>
      </c>
      <c r="O1045" s="3">
        <v>552</v>
      </c>
      <c r="P1045" s="1">
        <v>55</v>
      </c>
      <c r="Q1045" s="1">
        <v>9</v>
      </c>
      <c r="R1045" s="1">
        <v>200010001054</v>
      </c>
      <c r="S1045" s="1">
        <v>50</v>
      </c>
      <c r="T1045" s="1">
        <v>1</v>
      </c>
      <c r="U1045" s="1">
        <v>1</v>
      </c>
      <c r="V1045">
        <f t="shared" si="16"/>
        <v>552</v>
      </c>
    </row>
    <row r="1046" spans="1:22" ht="13" x14ac:dyDescent="0.15">
      <c r="A1046" s="4">
        <v>44777</v>
      </c>
      <c r="B1046" s="5">
        <v>0.53599537037037037</v>
      </c>
      <c r="C1046" s="1">
        <v>1708</v>
      </c>
      <c r="D1046" s="1">
        <v>13002606</v>
      </c>
      <c r="E1046" s="1">
        <v>13</v>
      </c>
      <c r="F1046" s="1">
        <v>22589</v>
      </c>
      <c r="G1046" s="1" t="s">
        <v>21</v>
      </c>
      <c r="H1046" s="1">
        <v>18</v>
      </c>
      <c r="I1046" s="1">
        <v>100563</v>
      </c>
      <c r="J1046" s="1" t="s">
        <v>993</v>
      </c>
      <c r="K1046" s="1" t="s">
        <v>34</v>
      </c>
      <c r="L1046" s="1" t="s">
        <v>723</v>
      </c>
      <c r="M1046" s="1">
        <v>1</v>
      </c>
      <c r="N1046" s="2">
        <v>337.01</v>
      </c>
      <c r="O1046" s="3">
        <v>399</v>
      </c>
      <c r="P1046" s="1">
        <v>19</v>
      </c>
      <c r="Q1046" s="1">
        <v>9</v>
      </c>
      <c r="R1046" s="1">
        <v>200010020285</v>
      </c>
      <c r="S1046" s="1">
        <v>50</v>
      </c>
      <c r="T1046" s="1">
        <v>1</v>
      </c>
      <c r="U1046" s="1">
        <v>1</v>
      </c>
      <c r="V1046">
        <f t="shared" si="16"/>
        <v>399</v>
      </c>
    </row>
    <row r="1047" spans="1:22" ht="13" x14ac:dyDescent="0.15">
      <c r="A1047" s="4">
        <v>44777</v>
      </c>
      <c r="B1047" s="5">
        <v>0.53599537037037037</v>
      </c>
      <c r="C1047" s="1">
        <v>1708</v>
      </c>
      <c r="D1047" s="1">
        <v>13002606</v>
      </c>
      <c r="E1047" s="1">
        <v>13</v>
      </c>
      <c r="F1047" s="1">
        <v>22589</v>
      </c>
      <c r="G1047" s="1" t="s">
        <v>21</v>
      </c>
      <c r="H1047" s="1">
        <v>18</v>
      </c>
      <c r="I1047" s="1">
        <v>100563</v>
      </c>
      <c r="J1047" s="1" t="s">
        <v>993</v>
      </c>
      <c r="K1047" s="1" t="s">
        <v>34</v>
      </c>
      <c r="L1047" s="1" t="s">
        <v>723</v>
      </c>
      <c r="M1047" s="1">
        <v>1</v>
      </c>
      <c r="N1047" s="2">
        <v>337.01</v>
      </c>
      <c r="O1047" s="3">
        <v>399</v>
      </c>
      <c r="P1047" s="1">
        <v>19</v>
      </c>
      <c r="Q1047" s="1">
        <v>9</v>
      </c>
      <c r="R1047" s="1">
        <v>200010020285</v>
      </c>
      <c r="S1047" s="1">
        <v>50</v>
      </c>
      <c r="T1047" s="1">
        <v>1</v>
      </c>
      <c r="U1047" s="1">
        <v>2</v>
      </c>
      <c r="V1047">
        <f t="shared" si="16"/>
        <v>399</v>
      </c>
    </row>
    <row r="1048" spans="1:22" ht="13" x14ac:dyDescent="0.15">
      <c r="A1048" s="4">
        <v>44777</v>
      </c>
      <c r="B1048" s="5">
        <v>0.5397453703703704</v>
      </c>
      <c r="C1048" s="1">
        <v>1709</v>
      </c>
      <c r="D1048" s="1">
        <v>13002606</v>
      </c>
      <c r="E1048" s="1">
        <v>13</v>
      </c>
      <c r="F1048" s="1">
        <v>22589</v>
      </c>
      <c r="G1048" s="1" t="s">
        <v>21</v>
      </c>
      <c r="H1048" s="1">
        <v>18</v>
      </c>
      <c r="I1048" s="1">
        <v>1504330</v>
      </c>
      <c r="J1048" s="1" t="s">
        <v>994</v>
      </c>
      <c r="K1048" s="1" t="s">
        <v>144</v>
      </c>
      <c r="L1048" s="1" t="s">
        <v>723</v>
      </c>
      <c r="M1048" s="1">
        <v>1</v>
      </c>
      <c r="N1048" s="2">
        <v>24.81</v>
      </c>
      <c r="O1048" s="3">
        <v>25</v>
      </c>
      <c r="P1048" s="1">
        <v>0</v>
      </c>
      <c r="Q1048" s="1" t="s">
        <v>25</v>
      </c>
      <c r="R1048" s="1" t="s">
        <v>25</v>
      </c>
      <c r="S1048" s="1">
        <v>50</v>
      </c>
      <c r="T1048" s="1">
        <v>1</v>
      </c>
      <c r="U1048" s="1">
        <v>2</v>
      </c>
      <c r="V1048">
        <f t="shared" si="16"/>
        <v>25</v>
      </c>
    </row>
    <row r="1049" spans="1:22" ht="13" x14ac:dyDescent="0.15">
      <c r="A1049" s="4">
        <v>44777</v>
      </c>
      <c r="B1049" s="5">
        <v>0.54041666666666666</v>
      </c>
      <c r="C1049" s="1">
        <v>1710</v>
      </c>
      <c r="D1049" s="1">
        <v>13002606</v>
      </c>
      <c r="E1049" s="1">
        <v>13</v>
      </c>
      <c r="F1049" s="1">
        <v>22589</v>
      </c>
      <c r="G1049" s="1" t="s">
        <v>21</v>
      </c>
      <c r="H1049" s="1">
        <v>18</v>
      </c>
      <c r="I1049" s="1">
        <v>15543</v>
      </c>
      <c r="J1049" s="1" t="s">
        <v>995</v>
      </c>
      <c r="K1049" s="1" t="s">
        <v>29</v>
      </c>
      <c r="L1049" s="1" t="s">
        <v>996</v>
      </c>
      <c r="M1049" s="1">
        <v>1</v>
      </c>
      <c r="N1049" s="2">
        <v>187.42</v>
      </c>
      <c r="O1049" s="3">
        <v>222</v>
      </c>
      <c r="P1049" s="1">
        <v>50</v>
      </c>
      <c r="Q1049" s="1">
        <v>925</v>
      </c>
      <c r="R1049" s="1">
        <v>200000000492</v>
      </c>
      <c r="S1049" s="1">
        <v>50</v>
      </c>
      <c r="T1049" s="1">
        <v>1</v>
      </c>
      <c r="U1049" s="1">
        <v>1</v>
      </c>
      <c r="V1049">
        <f t="shared" si="16"/>
        <v>222</v>
      </c>
    </row>
    <row r="1050" spans="1:22" ht="13" x14ac:dyDescent="0.15">
      <c r="A1050" s="4">
        <v>44777</v>
      </c>
      <c r="B1050" s="5">
        <v>0.54090277777777773</v>
      </c>
      <c r="C1050" s="1">
        <v>1711</v>
      </c>
      <c r="D1050" s="1">
        <v>13002606</v>
      </c>
      <c r="E1050" s="1">
        <v>13</v>
      </c>
      <c r="F1050" s="1">
        <v>22589</v>
      </c>
      <c r="G1050" s="1" t="s">
        <v>21</v>
      </c>
      <c r="H1050" s="1">
        <v>15</v>
      </c>
      <c r="I1050" s="1">
        <v>378577</v>
      </c>
      <c r="J1050" s="1" t="s">
        <v>997</v>
      </c>
      <c r="K1050" s="1" t="s">
        <v>51</v>
      </c>
      <c r="L1050" s="1" t="s">
        <v>266</v>
      </c>
      <c r="M1050" s="1">
        <v>2</v>
      </c>
      <c r="N1050" s="2">
        <v>26.19</v>
      </c>
      <c r="O1050" s="3">
        <v>43</v>
      </c>
      <c r="P1050" s="1">
        <v>8</v>
      </c>
      <c r="Q1050" s="1">
        <v>9</v>
      </c>
      <c r="R1050" s="1">
        <v>200010021933</v>
      </c>
      <c r="S1050" s="1">
        <v>50</v>
      </c>
      <c r="T1050" s="1">
        <v>1</v>
      </c>
      <c r="U1050" s="1">
        <v>1</v>
      </c>
      <c r="V1050">
        <f t="shared" si="16"/>
        <v>86</v>
      </c>
    </row>
    <row r="1051" spans="1:22" ht="13" x14ac:dyDescent="0.15">
      <c r="A1051" s="4">
        <v>44777</v>
      </c>
      <c r="B1051" s="5">
        <v>0.54312499999999997</v>
      </c>
      <c r="C1051" s="1">
        <v>1713</v>
      </c>
      <c r="D1051" s="1">
        <v>13002606</v>
      </c>
      <c r="E1051" s="1">
        <v>13</v>
      </c>
      <c r="F1051" s="1">
        <v>22589</v>
      </c>
      <c r="G1051" s="1" t="s">
        <v>21</v>
      </c>
      <c r="H1051" s="1">
        <v>15</v>
      </c>
      <c r="I1051" s="1">
        <v>1799</v>
      </c>
      <c r="J1051" s="1" t="s">
        <v>998</v>
      </c>
      <c r="K1051" s="1" t="s">
        <v>34</v>
      </c>
      <c r="L1051" s="1" t="s">
        <v>999</v>
      </c>
      <c r="M1051" s="1">
        <v>1</v>
      </c>
      <c r="N1051" s="2">
        <v>407.45</v>
      </c>
      <c r="O1051" s="3">
        <v>489</v>
      </c>
      <c r="P1051" s="1">
        <v>34</v>
      </c>
      <c r="Q1051" s="1">
        <v>9</v>
      </c>
      <c r="R1051" s="1">
        <v>200010014179</v>
      </c>
      <c r="S1051" s="1">
        <v>50</v>
      </c>
      <c r="T1051" s="1">
        <v>1</v>
      </c>
      <c r="U1051" s="1">
        <v>1</v>
      </c>
      <c r="V1051">
        <f t="shared" si="16"/>
        <v>489</v>
      </c>
    </row>
    <row r="1052" spans="1:22" ht="13" x14ac:dyDescent="0.15">
      <c r="A1052" s="4">
        <v>44777</v>
      </c>
      <c r="B1052" s="5">
        <v>0.54312499999999997</v>
      </c>
      <c r="C1052" s="1">
        <v>1713</v>
      </c>
      <c r="D1052" s="1">
        <v>13002606</v>
      </c>
      <c r="E1052" s="1">
        <v>13</v>
      </c>
      <c r="F1052" s="1">
        <v>22589</v>
      </c>
      <c r="G1052" s="1" t="s">
        <v>21</v>
      </c>
      <c r="H1052" s="1">
        <v>15</v>
      </c>
      <c r="I1052" s="1">
        <v>40051</v>
      </c>
      <c r="J1052" s="1" t="s">
        <v>1000</v>
      </c>
      <c r="K1052" s="1" t="s">
        <v>51</v>
      </c>
      <c r="L1052" s="1" t="s">
        <v>1001</v>
      </c>
      <c r="M1052" s="1">
        <v>1</v>
      </c>
      <c r="N1052" s="2">
        <v>89.96</v>
      </c>
      <c r="O1052" s="3">
        <v>142</v>
      </c>
      <c r="P1052" s="1">
        <v>14</v>
      </c>
      <c r="Q1052" s="1">
        <v>9</v>
      </c>
      <c r="R1052" s="1">
        <v>200010014179</v>
      </c>
      <c r="S1052" s="1">
        <v>50</v>
      </c>
      <c r="T1052" s="1">
        <v>1</v>
      </c>
      <c r="U1052" s="1">
        <v>2</v>
      </c>
      <c r="V1052">
        <f t="shared" si="16"/>
        <v>142</v>
      </c>
    </row>
    <row r="1053" spans="1:22" ht="13" x14ac:dyDescent="0.15">
      <c r="A1053" s="4">
        <v>44777</v>
      </c>
      <c r="B1053" s="5">
        <v>0.54795138888888884</v>
      </c>
      <c r="C1053" s="1">
        <v>1714</v>
      </c>
      <c r="D1053" s="1">
        <v>13002606</v>
      </c>
      <c r="E1053" s="1">
        <v>13</v>
      </c>
      <c r="F1053" s="1">
        <v>22589</v>
      </c>
      <c r="G1053" s="1" t="s">
        <v>21</v>
      </c>
      <c r="H1053" s="1">
        <v>18</v>
      </c>
      <c r="I1053" s="1">
        <v>266253</v>
      </c>
      <c r="J1053" s="1" t="s">
        <v>1002</v>
      </c>
      <c r="K1053" s="1" t="s">
        <v>64</v>
      </c>
      <c r="L1053" s="1" t="s">
        <v>1003</v>
      </c>
      <c r="M1053" s="1">
        <v>1</v>
      </c>
      <c r="N1053" s="2">
        <v>398.77</v>
      </c>
      <c r="O1053" s="3">
        <v>587</v>
      </c>
      <c r="P1053" s="1">
        <v>58</v>
      </c>
      <c r="Q1053" s="1">
        <v>9</v>
      </c>
      <c r="R1053" s="1">
        <v>200010018671</v>
      </c>
      <c r="S1053" s="1">
        <v>50</v>
      </c>
      <c r="T1053" s="1">
        <v>1</v>
      </c>
      <c r="U1053" s="1">
        <v>1</v>
      </c>
      <c r="V1053">
        <f t="shared" si="16"/>
        <v>587</v>
      </c>
    </row>
    <row r="1054" spans="1:22" ht="13" x14ac:dyDescent="0.15">
      <c r="A1054" s="4">
        <v>44777</v>
      </c>
      <c r="B1054" s="5">
        <v>0.54795138888888884</v>
      </c>
      <c r="C1054" s="1">
        <v>1714</v>
      </c>
      <c r="D1054" s="1">
        <v>13002606</v>
      </c>
      <c r="E1054" s="1">
        <v>13</v>
      </c>
      <c r="F1054" s="1">
        <v>22589</v>
      </c>
      <c r="G1054" s="1" t="s">
        <v>21</v>
      </c>
      <c r="H1054" s="1">
        <v>18</v>
      </c>
      <c r="I1054" s="1">
        <v>564766</v>
      </c>
      <c r="J1054" s="1" t="s">
        <v>834</v>
      </c>
      <c r="K1054" s="1" t="s">
        <v>64</v>
      </c>
      <c r="L1054" s="1" t="s">
        <v>509</v>
      </c>
      <c r="M1054" s="1">
        <v>1</v>
      </c>
      <c r="N1054" s="2">
        <v>6.44</v>
      </c>
      <c r="O1054" s="3">
        <v>11</v>
      </c>
      <c r="P1054" s="1">
        <v>1</v>
      </c>
      <c r="Q1054" s="1">
        <v>9</v>
      </c>
      <c r="R1054" s="1">
        <v>200010018671</v>
      </c>
      <c r="S1054" s="1">
        <v>50</v>
      </c>
      <c r="T1054" s="1">
        <v>1</v>
      </c>
      <c r="U1054" s="1">
        <v>3</v>
      </c>
      <c r="V1054">
        <f t="shared" si="16"/>
        <v>11</v>
      </c>
    </row>
    <row r="1055" spans="1:22" ht="13" x14ac:dyDescent="0.15">
      <c r="A1055" s="4">
        <v>44777</v>
      </c>
      <c r="B1055" s="5">
        <v>0.77209490740740738</v>
      </c>
      <c r="C1055" s="1">
        <v>1768</v>
      </c>
      <c r="D1055" s="1">
        <v>13002606</v>
      </c>
      <c r="E1055" s="1">
        <v>13</v>
      </c>
      <c r="F1055" s="1">
        <v>22589</v>
      </c>
      <c r="G1055" s="1" t="s">
        <v>21</v>
      </c>
      <c r="H1055" s="1">
        <v>15</v>
      </c>
      <c r="I1055" s="1">
        <v>564766</v>
      </c>
      <c r="J1055" s="1" t="s">
        <v>834</v>
      </c>
      <c r="K1055" s="1" t="s">
        <v>64</v>
      </c>
      <c r="L1055" s="1" t="s">
        <v>509</v>
      </c>
      <c r="M1055" s="1">
        <v>1</v>
      </c>
      <c r="N1055" s="2">
        <v>6.44</v>
      </c>
      <c r="O1055" s="3">
        <v>11</v>
      </c>
      <c r="P1055" s="1">
        <v>1</v>
      </c>
      <c r="Q1055" s="1">
        <v>9</v>
      </c>
      <c r="R1055" s="1">
        <v>200010001749</v>
      </c>
      <c r="S1055" s="1">
        <v>50</v>
      </c>
      <c r="T1055" s="1">
        <v>1</v>
      </c>
      <c r="U1055" s="1">
        <v>1</v>
      </c>
      <c r="V1055">
        <f t="shared" si="16"/>
        <v>11</v>
      </c>
    </row>
    <row r="1056" spans="1:22" ht="13" x14ac:dyDescent="0.15">
      <c r="A1056" s="4">
        <v>44777</v>
      </c>
      <c r="B1056" s="5">
        <v>0.54795138888888884</v>
      </c>
      <c r="C1056" s="1">
        <v>1714</v>
      </c>
      <c r="D1056" s="1">
        <v>13002606</v>
      </c>
      <c r="E1056" s="1">
        <v>13</v>
      </c>
      <c r="F1056" s="1">
        <v>22589</v>
      </c>
      <c r="G1056" s="1" t="s">
        <v>21</v>
      </c>
      <c r="H1056" s="1">
        <v>18</v>
      </c>
      <c r="I1056" s="1">
        <v>148617</v>
      </c>
      <c r="J1056" s="1" t="s">
        <v>1004</v>
      </c>
      <c r="K1056" s="1" t="s">
        <v>51</v>
      </c>
      <c r="L1056" s="1" t="s">
        <v>80</v>
      </c>
      <c r="M1056" s="1">
        <v>2</v>
      </c>
      <c r="N1056" s="2">
        <v>36.22</v>
      </c>
      <c r="O1056" s="3">
        <v>59</v>
      </c>
      <c r="P1056" s="1">
        <v>11</v>
      </c>
      <c r="Q1056" s="1">
        <v>9</v>
      </c>
      <c r="R1056" s="1">
        <v>200010018671</v>
      </c>
      <c r="S1056" s="1">
        <v>50</v>
      </c>
      <c r="T1056" s="1">
        <v>1</v>
      </c>
      <c r="U1056" s="1">
        <v>4</v>
      </c>
      <c r="V1056">
        <f t="shared" si="16"/>
        <v>118</v>
      </c>
    </row>
    <row r="1057" spans="1:22" ht="13" x14ac:dyDescent="0.15">
      <c r="A1057" s="4">
        <v>44777</v>
      </c>
      <c r="B1057" s="5">
        <v>0.54883101851851857</v>
      </c>
      <c r="C1057" s="1">
        <v>1715</v>
      </c>
      <c r="D1057" s="1">
        <v>13002606</v>
      </c>
      <c r="E1057" s="1">
        <v>13</v>
      </c>
      <c r="F1057" s="1">
        <v>22589</v>
      </c>
      <c r="G1057" s="1" t="s">
        <v>21</v>
      </c>
      <c r="H1057" s="1">
        <v>18</v>
      </c>
      <c r="I1057" s="1">
        <v>45763</v>
      </c>
      <c r="J1057" s="1" t="s">
        <v>1005</v>
      </c>
      <c r="K1057" s="1" t="s">
        <v>23</v>
      </c>
      <c r="L1057" s="1" t="s">
        <v>137</v>
      </c>
      <c r="M1057" s="1">
        <v>1</v>
      </c>
      <c r="N1057" s="2">
        <v>566.89</v>
      </c>
      <c r="O1057" s="3">
        <v>633</v>
      </c>
      <c r="P1057" s="1">
        <v>18</v>
      </c>
      <c r="Q1057" s="1">
        <v>9</v>
      </c>
      <c r="R1057" s="1">
        <v>200010001580</v>
      </c>
      <c r="S1057" s="1">
        <v>50</v>
      </c>
      <c r="T1057" s="1">
        <v>1</v>
      </c>
      <c r="U1057" s="1">
        <v>1</v>
      </c>
      <c r="V1057">
        <f t="shared" si="16"/>
        <v>633</v>
      </c>
    </row>
    <row r="1058" spans="1:22" ht="13" x14ac:dyDescent="0.15">
      <c r="A1058" s="4">
        <v>44777</v>
      </c>
      <c r="B1058" s="5">
        <v>0.5534027777777778</v>
      </c>
      <c r="C1058" s="1">
        <v>1716</v>
      </c>
      <c r="D1058" s="1">
        <v>13002606</v>
      </c>
      <c r="E1058" s="1">
        <v>13</v>
      </c>
      <c r="F1058" s="1">
        <v>22589</v>
      </c>
      <c r="G1058" s="1" t="s">
        <v>21</v>
      </c>
      <c r="H1058" s="1">
        <v>15</v>
      </c>
      <c r="I1058" s="1">
        <v>21850</v>
      </c>
      <c r="J1058" s="1" t="s">
        <v>1006</v>
      </c>
      <c r="K1058" s="1" t="s">
        <v>48</v>
      </c>
      <c r="L1058" s="1" t="s">
        <v>1007</v>
      </c>
      <c r="M1058" s="1">
        <v>1</v>
      </c>
      <c r="N1058" s="2">
        <v>143.47</v>
      </c>
      <c r="O1058" s="3">
        <v>175.5</v>
      </c>
      <c r="P1058" s="1">
        <v>0</v>
      </c>
      <c r="Q1058" s="1" t="s">
        <v>25</v>
      </c>
      <c r="R1058" s="1" t="s">
        <v>25</v>
      </c>
      <c r="S1058" s="1">
        <v>50</v>
      </c>
      <c r="T1058" s="1">
        <v>1</v>
      </c>
      <c r="U1058" s="1">
        <v>1</v>
      </c>
      <c r="V1058">
        <f t="shared" si="16"/>
        <v>175.5</v>
      </c>
    </row>
    <row r="1059" spans="1:22" ht="13" x14ac:dyDescent="0.15">
      <c r="A1059" s="4">
        <v>44777</v>
      </c>
      <c r="B1059" s="5">
        <v>0.56057870370370366</v>
      </c>
      <c r="C1059" s="1">
        <v>1717</v>
      </c>
      <c r="D1059" s="1">
        <v>13002606</v>
      </c>
      <c r="E1059" s="1">
        <v>13</v>
      </c>
      <c r="F1059" s="1">
        <v>22589</v>
      </c>
      <c r="G1059" s="1" t="s">
        <v>21</v>
      </c>
      <c r="H1059" s="1">
        <v>18</v>
      </c>
      <c r="I1059" s="1">
        <v>342088</v>
      </c>
      <c r="J1059" s="1" t="s">
        <v>1008</v>
      </c>
      <c r="K1059" s="1" t="s">
        <v>141</v>
      </c>
      <c r="L1059" s="1" t="s">
        <v>1009</v>
      </c>
      <c r="M1059" s="1">
        <v>2</v>
      </c>
      <c r="N1059" s="2">
        <v>114.9</v>
      </c>
      <c r="O1059" s="3">
        <v>179</v>
      </c>
      <c r="P1059" s="1">
        <v>53</v>
      </c>
      <c r="Q1059" s="1">
        <v>27</v>
      </c>
      <c r="R1059" s="1">
        <v>200010000015</v>
      </c>
      <c r="S1059" s="1">
        <v>50</v>
      </c>
      <c r="T1059" s="1">
        <v>1</v>
      </c>
      <c r="U1059" s="1">
        <v>1</v>
      </c>
      <c r="V1059">
        <f t="shared" si="16"/>
        <v>358</v>
      </c>
    </row>
    <row r="1060" spans="1:22" ht="13" x14ac:dyDescent="0.15">
      <c r="A1060" s="4">
        <v>44777</v>
      </c>
      <c r="B1060" s="5">
        <v>0.56679398148148152</v>
      </c>
      <c r="C1060" s="1">
        <v>1718</v>
      </c>
      <c r="D1060" s="1">
        <v>13002606</v>
      </c>
      <c r="E1060" s="1">
        <v>13</v>
      </c>
      <c r="F1060" s="1">
        <v>22589</v>
      </c>
      <c r="G1060" s="1" t="s">
        <v>21</v>
      </c>
      <c r="H1060" s="1">
        <v>15</v>
      </c>
      <c r="I1060" s="1">
        <v>33001</v>
      </c>
      <c r="J1060" s="1" t="s">
        <v>378</v>
      </c>
      <c r="K1060" s="1" t="s">
        <v>29</v>
      </c>
      <c r="L1060" s="1" t="s">
        <v>269</v>
      </c>
      <c r="M1060" s="1">
        <v>4</v>
      </c>
      <c r="N1060" s="2">
        <v>2.08</v>
      </c>
      <c r="O1060" s="3">
        <v>4</v>
      </c>
      <c r="P1060" s="1">
        <v>13</v>
      </c>
      <c r="Q1060" s="1">
        <v>925</v>
      </c>
      <c r="R1060" s="1">
        <v>200000000492</v>
      </c>
      <c r="S1060" s="1">
        <v>50</v>
      </c>
      <c r="T1060" s="1">
        <v>1</v>
      </c>
      <c r="U1060" s="1">
        <v>1</v>
      </c>
      <c r="V1060">
        <f t="shared" si="16"/>
        <v>16</v>
      </c>
    </row>
    <row r="1061" spans="1:22" ht="13" x14ac:dyDescent="0.15">
      <c r="A1061" s="4">
        <v>44777</v>
      </c>
      <c r="B1061" s="5">
        <v>0.60799768518518515</v>
      </c>
      <c r="C1061" s="1">
        <v>1732</v>
      </c>
      <c r="D1061" s="1">
        <v>13002606</v>
      </c>
      <c r="E1061" s="1">
        <v>13</v>
      </c>
      <c r="F1061" s="1">
        <v>22589</v>
      </c>
      <c r="G1061" s="1" t="s">
        <v>21</v>
      </c>
      <c r="H1061" s="1">
        <v>15</v>
      </c>
      <c r="I1061" s="1">
        <v>33001</v>
      </c>
      <c r="J1061" s="1" t="s">
        <v>378</v>
      </c>
      <c r="K1061" s="1" t="s">
        <v>29</v>
      </c>
      <c r="L1061" s="1" t="s">
        <v>269</v>
      </c>
      <c r="M1061" s="1">
        <v>4</v>
      </c>
      <c r="N1061" s="2">
        <v>2.08</v>
      </c>
      <c r="O1061" s="3">
        <v>4</v>
      </c>
      <c r="P1061" s="1">
        <v>1</v>
      </c>
      <c r="Q1061" s="1">
        <v>9</v>
      </c>
      <c r="R1061" s="1">
        <v>200010004094</v>
      </c>
      <c r="S1061" s="1">
        <v>50</v>
      </c>
      <c r="T1061" s="1">
        <v>1</v>
      </c>
      <c r="U1061" s="1">
        <v>2</v>
      </c>
      <c r="V1061">
        <f t="shared" si="16"/>
        <v>16</v>
      </c>
    </row>
    <row r="1062" spans="1:22" ht="13" x14ac:dyDescent="0.15">
      <c r="A1062" s="4">
        <v>44777</v>
      </c>
      <c r="B1062" s="5">
        <v>0.61011574074074071</v>
      </c>
      <c r="C1062" s="1">
        <v>1733</v>
      </c>
      <c r="D1062" s="1">
        <v>13002606</v>
      </c>
      <c r="E1062" s="1">
        <v>13</v>
      </c>
      <c r="F1062" s="1">
        <v>22589</v>
      </c>
      <c r="G1062" s="1" t="s">
        <v>21</v>
      </c>
      <c r="H1062" s="1">
        <v>15</v>
      </c>
      <c r="I1062" s="1">
        <v>33001</v>
      </c>
      <c r="J1062" s="1" t="s">
        <v>378</v>
      </c>
      <c r="K1062" s="1" t="s">
        <v>29</v>
      </c>
      <c r="L1062" s="1" t="s">
        <v>269</v>
      </c>
      <c r="M1062" s="1">
        <v>4</v>
      </c>
      <c r="N1062" s="2">
        <v>2.08</v>
      </c>
      <c r="O1062" s="3">
        <v>4</v>
      </c>
      <c r="P1062" s="1">
        <v>1</v>
      </c>
      <c r="Q1062" s="1">
        <v>9</v>
      </c>
      <c r="R1062" s="1">
        <v>200010004764</v>
      </c>
      <c r="S1062" s="1">
        <v>50</v>
      </c>
      <c r="T1062" s="1">
        <v>1</v>
      </c>
      <c r="U1062" s="1">
        <v>3</v>
      </c>
      <c r="V1062">
        <f t="shared" si="16"/>
        <v>16</v>
      </c>
    </row>
    <row r="1063" spans="1:22" ht="13" x14ac:dyDescent="0.15">
      <c r="A1063" s="4">
        <v>44777</v>
      </c>
      <c r="B1063" s="5">
        <v>0.56767361111111114</v>
      </c>
      <c r="C1063" s="1">
        <v>1719</v>
      </c>
      <c r="D1063" s="1">
        <v>13002606</v>
      </c>
      <c r="E1063" s="1">
        <v>13</v>
      </c>
      <c r="F1063" s="1">
        <v>22589</v>
      </c>
      <c r="G1063" s="1" t="s">
        <v>21</v>
      </c>
      <c r="H1063" s="1">
        <v>18</v>
      </c>
      <c r="I1063" s="1">
        <v>39416</v>
      </c>
      <c r="J1063" s="1" t="s">
        <v>395</v>
      </c>
      <c r="K1063" s="1" t="s">
        <v>23</v>
      </c>
      <c r="L1063" s="1" t="s">
        <v>175</v>
      </c>
      <c r="M1063" s="1">
        <v>1</v>
      </c>
      <c r="N1063" s="2">
        <v>150.94</v>
      </c>
      <c r="O1063" s="3">
        <v>207</v>
      </c>
      <c r="P1063" s="1">
        <v>14</v>
      </c>
      <c r="Q1063" s="1">
        <v>9</v>
      </c>
      <c r="R1063" s="1">
        <v>200010009626</v>
      </c>
      <c r="S1063" s="1">
        <v>50</v>
      </c>
      <c r="T1063" s="1">
        <v>1</v>
      </c>
      <c r="U1063" s="1">
        <v>1</v>
      </c>
      <c r="V1063">
        <f t="shared" si="16"/>
        <v>207</v>
      </c>
    </row>
    <row r="1064" spans="1:22" ht="13" x14ac:dyDescent="0.15">
      <c r="A1064" s="4">
        <v>44777</v>
      </c>
      <c r="B1064" s="5">
        <v>0.5683449074074074</v>
      </c>
      <c r="C1064" s="1">
        <v>1720</v>
      </c>
      <c r="D1064" s="1">
        <v>13002606</v>
      </c>
      <c r="E1064" s="1">
        <v>13</v>
      </c>
      <c r="F1064" s="1">
        <v>22589</v>
      </c>
      <c r="G1064" s="1" t="s">
        <v>21</v>
      </c>
      <c r="H1064" s="1">
        <v>18</v>
      </c>
      <c r="I1064" s="1">
        <v>435891</v>
      </c>
      <c r="J1064" s="1" t="s">
        <v>1010</v>
      </c>
      <c r="K1064" s="1" t="s">
        <v>23</v>
      </c>
      <c r="L1064" s="1" t="s">
        <v>802</v>
      </c>
      <c r="M1064" s="1">
        <v>1</v>
      </c>
      <c r="N1064" s="2">
        <v>52.8</v>
      </c>
      <c r="O1064" s="3">
        <v>81</v>
      </c>
      <c r="P1064" s="1">
        <v>5</v>
      </c>
      <c r="Q1064" s="1">
        <v>9</v>
      </c>
      <c r="R1064" s="1">
        <v>200010013117</v>
      </c>
      <c r="S1064" s="1">
        <v>50</v>
      </c>
      <c r="T1064" s="1">
        <v>1</v>
      </c>
      <c r="U1064" s="1">
        <v>1</v>
      </c>
      <c r="V1064">
        <f t="shared" si="16"/>
        <v>81</v>
      </c>
    </row>
    <row r="1065" spans="1:22" ht="13" x14ac:dyDescent="0.15">
      <c r="A1065" s="4">
        <v>44777</v>
      </c>
      <c r="B1065" s="5">
        <v>0.5683449074074074</v>
      </c>
      <c r="C1065" s="1">
        <v>1720</v>
      </c>
      <c r="D1065" s="1">
        <v>13002606</v>
      </c>
      <c r="E1065" s="1">
        <v>13</v>
      </c>
      <c r="F1065" s="1">
        <v>22589</v>
      </c>
      <c r="G1065" s="1" t="s">
        <v>21</v>
      </c>
      <c r="H1065" s="1">
        <v>18</v>
      </c>
      <c r="I1065" s="1">
        <v>18836</v>
      </c>
      <c r="J1065" s="1" t="s">
        <v>517</v>
      </c>
      <c r="K1065" s="1" t="s">
        <v>34</v>
      </c>
      <c r="L1065" s="1" t="s">
        <v>197</v>
      </c>
      <c r="M1065" s="1">
        <v>1</v>
      </c>
      <c r="N1065" s="2">
        <v>124.82</v>
      </c>
      <c r="O1065" s="3">
        <v>139</v>
      </c>
      <c r="P1065" s="1">
        <v>0</v>
      </c>
      <c r="Q1065" s="1" t="s">
        <v>25</v>
      </c>
      <c r="R1065" s="1" t="s">
        <v>25</v>
      </c>
      <c r="S1065" s="1">
        <v>50</v>
      </c>
      <c r="T1065" s="1">
        <v>2</v>
      </c>
      <c r="U1065" s="1">
        <v>3</v>
      </c>
      <c r="V1065">
        <f t="shared" si="16"/>
        <v>139</v>
      </c>
    </row>
    <row r="1066" spans="1:22" ht="13" x14ac:dyDescent="0.15">
      <c r="A1066" s="4">
        <v>44777</v>
      </c>
      <c r="B1066" s="5">
        <v>0.5683449074074074</v>
      </c>
      <c r="C1066" s="1">
        <v>1720</v>
      </c>
      <c r="D1066" s="1">
        <v>13002606</v>
      </c>
      <c r="E1066" s="1">
        <v>13</v>
      </c>
      <c r="F1066" s="1">
        <v>22589</v>
      </c>
      <c r="G1066" s="1" t="s">
        <v>21</v>
      </c>
      <c r="H1066" s="1">
        <v>18</v>
      </c>
      <c r="I1066" s="1">
        <v>1106</v>
      </c>
      <c r="J1066" s="1" t="s">
        <v>960</v>
      </c>
      <c r="K1066" s="1" t="s">
        <v>34</v>
      </c>
      <c r="L1066" s="1" t="s">
        <v>961</v>
      </c>
      <c r="M1066" s="1">
        <v>0.16</v>
      </c>
      <c r="N1066" s="2">
        <v>492.1</v>
      </c>
      <c r="O1066" s="3">
        <v>593</v>
      </c>
      <c r="P1066" s="1">
        <v>1.88</v>
      </c>
      <c r="Q1066" s="1">
        <v>9</v>
      </c>
      <c r="R1066" s="1">
        <v>200010013117</v>
      </c>
      <c r="S1066" s="1">
        <v>50</v>
      </c>
      <c r="T1066" s="1">
        <v>1</v>
      </c>
      <c r="U1066" s="1">
        <v>2</v>
      </c>
      <c r="V1066">
        <f t="shared" si="16"/>
        <v>94.88</v>
      </c>
    </row>
    <row r="1067" spans="1:22" ht="13" x14ac:dyDescent="0.15">
      <c r="A1067" s="4">
        <v>44777</v>
      </c>
      <c r="B1067" s="5">
        <v>0.57207175925925924</v>
      </c>
      <c r="C1067" s="1">
        <v>1721</v>
      </c>
      <c r="D1067" s="1">
        <v>13002606</v>
      </c>
      <c r="E1067" s="1">
        <v>13</v>
      </c>
      <c r="F1067" s="1">
        <v>22589</v>
      </c>
      <c r="G1067" s="1" t="s">
        <v>21</v>
      </c>
      <c r="H1067" s="1">
        <v>15</v>
      </c>
      <c r="I1067" s="1">
        <v>99349</v>
      </c>
      <c r="J1067" s="1" t="s">
        <v>1011</v>
      </c>
      <c r="K1067" s="1" t="s">
        <v>34</v>
      </c>
      <c r="L1067" s="1" t="s">
        <v>810</v>
      </c>
      <c r="M1067" s="1">
        <v>0.04</v>
      </c>
      <c r="N1067" s="2">
        <v>438.6</v>
      </c>
      <c r="O1067" s="3">
        <v>645</v>
      </c>
      <c r="P1067" s="1">
        <v>0</v>
      </c>
      <c r="Q1067" s="1" t="s">
        <v>25</v>
      </c>
      <c r="R1067" s="1" t="s">
        <v>25</v>
      </c>
      <c r="S1067" s="1">
        <v>50</v>
      </c>
      <c r="T1067" s="1">
        <v>1</v>
      </c>
      <c r="U1067" s="1">
        <v>1</v>
      </c>
      <c r="V1067">
        <f t="shared" si="16"/>
        <v>25.8</v>
      </c>
    </row>
    <row r="1068" spans="1:22" ht="13" x14ac:dyDescent="0.15">
      <c r="A1068" s="4">
        <v>44777</v>
      </c>
      <c r="B1068" s="5">
        <v>0.57535879629629627</v>
      </c>
      <c r="C1068" s="1">
        <v>1722</v>
      </c>
      <c r="D1068" s="1">
        <v>13002606</v>
      </c>
      <c r="E1068" s="1">
        <v>13</v>
      </c>
      <c r="F1068" s="1">
        <v>22589</v>
      </c>
      <c r="G1068" s="1" t="s">
        <v>21</v>
      </c>
      <c r="H1068" s="1">
        <v>15</v>
      </c>
      <c r="I1068" s="1">
        <v>897</v>
      </c>
      <c r="J1068" s="1" t="s">
        <v>1012</v>
      </c>
      <c r="K1068" s="1" t="s">
        <v>51</v>
      </c>
      <c r="L1068" s="1" t="s">
        <v>195</v>
      </c>
      <c r="M1068" s="1">
        <v>1</v>
      </c>
      <c r="N1068" s="2">
        <v>139.34</v>
      </c>
      <c r="O1068" s="3">
        <v>169</v>
      </c>
      <c r="P1068" s="1">
        <v>8</v>
      </c>
      <c r="Q1068" s="1">
        <v>9</v>
      </c>
      <c r="R1068" s="1">
        <v>200010022591</v>
      </c>
      <c r="S1068" s="1">
        <v>50</v>
      </c>
      <c r="T1068" s="1">
        <v>1</v>
      </c>
      <c r="U1068" s="1">
        <v>3</v>
      </c>
      <c r="V1068">
        <f t="shared" si="16"/>
        <v>169</v>
      </c>
    </row>
    <row r="1069" spans="1:22" ht="13" x14ac:dyDescent="0.15">
      <c r="A1069" s="4">
        <v>44777</v>
      </c>
      <c r="B1069" s="5">
        <v>0.57535879629629627</v>
      </c>
      <c r="C1069" s="1">
        <v>1722</v>
      </c>
      <c r="D1069" s="1">
        <v>13002606</v>
      </c>
      <c r="E1069" s="1">
        <v>13</v>
      </c>
      <c r="F1069" s="1">
        <v>22589</v>
      </c>
      <c r="G1069" s="1" t="s">
        <v>21</v>
      </c>
      <c r="H1069" s="1">
        <v>15</v>
      </c>
      <c r="I1069" s="1">
        <v>21997</v>
      </c>
      <c r="J1069" s="1" t="s">
        <v>1013</v>
      </c>
      <c r="K1069" s="1" t="s">
        <v>51</v>
      </c>
      <c r="L1069" s="1" t="s">
        <v>394</v>
      </c>
      <c r="M1069" s="1">
        <v>1</v>
      </c>
      <c r="N1069" s="2">
        <v>123.64</v>
      </c>
      <c r="O1069" s="3">
        <v>148</v>
      </c>
      <c r="P1069" s="1">
        <v>7</v>
      </c>
      <c r="Q1069" s="1">
        <v>9</v>
      </c>
      <c r="R1069" s="1">
        <v>200010022591</v>
      </c>
      <c r="S1069" s="1">
        <v>50</v>
      </c>
      <c r="T1069" s="1">
        <v>1</v>
      </c>
      <c r="U1069" s="1">
        <v>1</v>
      </c>
      <c r="V1069">
        <f t="shared" si="16"/>
        <v>148</v>
      </c>
    </row>
    <row r="1070" spans="1:22" ht="13" x14ac:dyDescent="0.15">
      <c r="A1070" s="4">
        <v>44777</v>
      </c>
      <c r="B1070" s="5">
        <v>0.57535879629629627</v>
      </c>
      <c r="C1070" s="1">
        <v>1722</v>
      </c>
      <c r="D1070" s="1">
        <v>13002606</v>
      </c>
      <c r="E1070" s="1">
        <v>13</v>
      </c>
      <c r="F1070" s="1">
        <v>22589</v>
      </c>
      <c r="G1070" s="1" t="s">
        <v>21</v>
      </c>
      <c r="H1070" s="1">
        <v>15</v>
      </c>
      <c r="I1070" s="1">
        <v>39393</v>
      </c>
      <c r="J1070" s="1" t="s">
        <v>1014</v>
      </c>
      <c r="K1070" s="1" t="s">
        <v>34</v>
      </c>
      <c r="L1070" s="1" t="s">
        <v>717</v>
      </c>
      <c r="M1070" s="1">
        <v>1</v>
      </c>
      <c r="N1070" s="2">
        <v>42.2</v>
      </c>
      <c r="O1070" s="3">
        <v>53</v>
      </c>
      <c r="P1070" s="1">
        <v>2</v>
      </c>
      <c r="Q1070" s="1">
        <v>9</v>
      </c>
      <c r="R1070" s="1">
        <v>200010022591</v>
      </c>
      <c r="S1070" s="1">
        <v>50</v>
      </c>
      <c r="T1070" s="1">
        <v>1</v>
      </c>
      <c r="U1070" s="1">
        <v>2</v>
      </c>
      <c r="V1070">
        <f t="shared" si="16"/>
        <v>53</v>
      </c>
    </row>
    <row r="1071" spans="1:22" ht="13" x14ac:dyDescent="0.15">
      <c r="A1071" s="4">
        <v>44777</v>
      </c>
      <c r="B1071" s="5">
        <v>0.58322916666666669</v>
      </c>
      <c r="C1071" s="1">
        <v>1724</v>
      </c>
      <c r="D1071" s="1">
        <v>13002606</v>
      </c>
      <c r="E1071" s="1">
        <v>13</v>
      </c>
      <c r="F1071" s="1">
        <v>22589</v>
      </c>
      <c r="G1071" s="1" t="s">
        <v>21</v>
      </c>
      <c r="H1071" s="1">
        <v>18</v>
      </c>
      <c r="I1071" s="1">
        <v>46300</v>
      </c>
      <c r="J1071" s="1" t="s">
        <v>1015</v>
      </c>
      <c r="K1071" s="1" t="s">
        <v>117</v>
      </c>
      <c r="L1071" s="1" t="s">
        <v>118</v>
      </c>
      <c r="M1071" s="1">
        <v>1</v>
      </c>
      <c r="N1071" s="2">
        <v>70.22</v>
      </c>
      <c r="O1071" s="3">
        <v>100</v>
      </c>
      <c r="P1071" s="1">
        <v>0</v>
      </c>
      <c r="Q1071" s="1" t="s">
        <v>25</v>
      </c>
      <c r="R1071" s="1" t="s">
        <v>25</v>
      </c>
      <c r="S1071" s="1">
        <v>50</v>
      </c>
      <c r="T1071" s="1">
        <v>1</v>
      </c>
      <c r="U1071" s="1">
        <v>1</v>
      </c>
      <c r="V1071">
        <f t="shared" si="16"/>
        <v>100</v>
      </c>
    </row>
    <row r="1072" spans="1:22" ht="13" x14ac:dyDescent="0.15">
      <c r="A1072" s="4">
        <v>44777</v>
      </c>
      <c r="B1072" s="5">
        <v>0.58322916666666669</v>
      </c>
      <c r="C1072" s="1">
        <v>1724</v>
      </c>
      <c r="D1072" s="1">
        <v>13002606</v>
      </c>
      <c r="E1072" s="1">
        <v>13</v>
      </c>
      <c r="F1072" s="1">
        <v>22589</v>
      </c>
      <c r="G1072" s="1" t="s">
        <v>21</v>
      </c>
      <c r="H1072" s="1">
        <v>18</v>
      </c>
      <c r="I1072" s="1">
        <v>46300</v>
      </c>
      <c r="J1072" s="1" t="s">
        <v>1015</v>
      </c>
      <c r="K1072" s="1" t="s">
        <v>117</v>
      </c>
      <c r="L1072" s="1" t="s">
        <v>118</v>
      </c>
      <c r="M1072" s="1">
        <v>1</v>
      </c>
      <c r="N1072" s="2">
        <v>70.22</v>
      </c>
      <c r="O1072" s="3">
        <v>100</v>
      </c>
      <c r="P1072" s="1">
        <v>0</v>
      </c>
      <c r="Q1072" s="1" t="s">
        <v>25</v>
      </c>
      <c r="R1072" s="1" t="s">
        <v>25</v>
      </c>
      <c r="S1072" s="1">
        <v>50</v>
      </c>
      <c r="T1072" s="1">
        <v>1</v>
      </c>
      <c r="U1072" s="1">
        <v>2</v>
      </c>
      <c r="V1072">
        <f t="shared" si="16"/>
        <v>100</v>
      </c>
    </row>
    <row r="1073" spans="1:22" ht="13" x14ac:dyDescent="0.15">
      <c r="A1073" s="4">
        <v>44777</v>
      </c>
      <c r="B1073" s="5">
        <v>0.58459490740740738</v>
      </c>
      <c r="C1073" s="1">
        <v>1725</v>
      </c>
      <c r="D1073" s="1">
        <v>13002606</v>
      </c>
      <c r="E1073" s="1">
        <v>13</v>
      </c>
      <c r="F1073" s="1">
        <v>22589</v>
      </c>
      <c r="G1073" s="1" t="s">
        <v>21</v>
      </c>
      <c r="H1073" s="1">
        <v>15</v>
      </c>
      <c r="I1073" s="1">
        <v>374684</v>
      </c>
      <c r="J1073" s="1" t="s">
        <v>1016</v>
      </c>
      <c r="K1073" s="1" t="s">
        <v>23</v>
      </c>
      <c r="L1073" s="1" t="s">
        <v>37</v>
      </c>
      <c r="M1073" s="1">
        <v>1</v>
      </c>
      <c r="N1073" s="2">
        <v>339.85</v>
      </c>
      <c r="O1073" s="3">
        <v>449</v>
      </c>
      <c r="P1073" s="1">
        <v>0</v>
      </c>
      <c r="Q1073" s="1" t="s">
        <v>25</v>
      </c>
      <c r="R1073" s="1" t="s">
        <v>25</v>
      </c>
      <c r="S1073" s="1">
        <v>50</v>
      </c>
      <c r="T1073" s="1">
        <v>1</v>
      </c>
      <c r="U1073" s="1">
        <v>2</v>
      </c>
      <c r="V1073">
        <f t="shared" si="16"/>
        <v>449</v>
      </c>
    </row>
    <row r="1074" spans="1:22" ht="13" x14ac:dyDescent="0.15">
      <c r="A1074" s="4">
        <v>44777</v>
      </c>
      <c r="B1074" s="5">
        <v>0.58812500000000001</v>
      </c>
      <c r="C1074" s="1">
        <v>1726</v>
      </c>
      <c r="D1074" s="1">
        <v>13002606</v>
      </c>
      <c r="E1074" s="1">
        <v>13</v>
      </c>
      <c r="F1074" s="1">
        <v>22589</v>
      </c>
      <c r="G1074" s="1" t="s">
        <v>21</v>
      </c>
      <c r="H1074" s="1">
        <v>15</v>
      </c>
      <c r="I1074" s="1">
        <v>338620</v>
      </c>
      <c r="J1074" s="1" t="s">
        <v>1017</v>
      </c>
      <c r="K1074" s="1" t="s">
        <v>23</v>
      </c>
      <c r="L1074" s="1" t="s">
        <v>37</v>
      </c>
      <c r="M1074" s="1">
        <v>1</v>
      </c>
      <c r="N1074" s="2">
        <v>215.56</v>
      </c>
      <c r="O1074" s="3">
        <v>271</v>
      </c>
      <c r="P1074" s="1">
        <v>0</v>
      </c>
      <c r="Q1074" s="1" t="s">
        <v>25</v>
      </c>
      <c r="R1074" s="1" t="s">
        <v>25</v>
      </c>
      <c r="S1074" s="1">
        <v>50</v>
      </c>
      <c r="T1074" s="1">
        <v>1</v>
      </c>
      <c r="U1074" s="1">
        <v>1</v>
      </c>
      <c r="V1074">
        <f t="shared" si="16"/>
        <v>271</v>
      </c>
    </row>
    <row r="1075" spans="1:22" ht="13" x14ac:dyDescent="0.15">
      <c r="A1075" s="4">
        <v>44777</v>
      </c>
      <c r="B1075" s="5">
        <v>0.58840277777777783</v>
      </c>
      <c r="C1075" s="1">
        <v>1727</v>
      </c>
      <c r="D1075" s="1">
        <v>13002606</v>
      </c>
      <c r="E1075" s="1">
        <v>13</v>
      </c>
      <c r="F1075" s="1">
        <v>22589</v>
      </c>
      <c r="G1075" s="1" t="s">
        <v>21</v>
      </c>
      <c r="H1075" s="1">
        <v>15</v>
      </c>
      <c r="I1075" s="1">
        <v>21561</v>
      </c>
      <c r="J1075" s="1" t="s">
        <v>1018</v>
      </c>
      <c r="K1075" s="1" t="s">
        <v>45</v>
      </c>
      <c r="L1075" s="1" t="s">
        <v>1019</v>
      </c>
      <c r="M1075" s="1">
        <v>1</v>
      </c>
      <c r="N1075" s="2">
        <v>1792.34</v>
      </c>
      <c r="O1075" s="3">
        <v>2456</v>
      </c>
      <c r="P1075" s="1">
        <v>0</v>
      </c>
      <c r="Q1075" s="1" t="s">
        <v>25</v>
      </c>
      <c r="R1075" s="1" t="s">
        <v>25</v>
      </c>
      <c r="S1075" s="1">
        <v>50</v>
      </c>
      <c r="T1075" s="1">
        <v>1</v>
      </c>
      <c r="U1075" s="1">
        <v>1</v>
      </c>
      <c r="V1075">
        <f t="shared" si="16"/>
        <v>2456</v>
      </c>
    </row>
    <row r="1076" spans="1:22" ht="13" x14ac:dyDescent="0.15">
      <c r="A1076" s="4">
        <v>44777</v>
      </c>
      <c r="B1076" s="5">
        <v>0.60069444444444442</v>
      </c>
      <c r="C1076" s="1">
        <v>1728</v>
      </c>
      <c r="D1076" s="1">
        <v>13002606</v>
      </c>
      <c r="E1076" s="1">
        <v>13</v>
      </c>
      <c r="F1076" s="1">
        <v>22589</v>
      </c>
      <c r="G1076" s="1" t="s">
        <v>21</v>
      </c>
      <c r="H1076" s="1">
        <v>18</v>
      </c>
      <c r="I1076" s="1">
        <v>308835</v>
      </c>
      <c r="J1076" s="1" t="s">
        <v>1020</v>
      </c>
      <c r="K1076" s="1" t="s">
        <v>117</v>
      </c>
      <c r="L1076" s="1" t="s">
        <v>306</v>
      </c>
      <c r="M1076" s="1">
        <v>1</v>
      </c>
      <c r="N1076" s="2">
        <v>67.510000000000005</v>
      </c>
      <c r="O1076" s="3">
        <v>96</v>
      </c>
      <c r="P1076" s="1">
        <v>6</v>
      </c>
      <c r="Q1076" s="1">
        <v>9</v>
      </c>
      <c r="R1076" s="1">
        <v>200010022567</v>
      </c>
      <c r="S1076" s="1">
        <v>50</v>
      </c>
      <c r="T1076" s="1">
        <v>1</v>
      </c>
      <c r="U1076" s="1">
        <v>3</v>
      </c>
      <c r="V1076">
        <f t="shared" si="16"/>
        <v>96</v>
      </c>
    </row>
    <row r="1077" spans="1:22" ht="13" x14ac:dyDescent="0.15">
      <c r="A1077" s="4">
        <v>44777</v>
      </c>
      <c r="B1077" s="5">
        <v>0.60799768518518515</v>
      </c>
      <c r="C1077" s="1">
        <v>1732</v>
      </c>
      <c r="D1077" s="1">
        <v>13002606</v>
      </c>
      <c r="E1077" s="1">
        <v>13</v>
      </c>
      <c r="F1077" s="1">
        <v>22589</v>
      </c>
      <c r="G1077" s="1" t="s">
        <v>21</v>
      </c>
      <c r="H1077" s="1">
        <v>15</v>
      </c>
      <c r="I1077" s="1">
        <v>308835</v>
      </c>
      <c r="J1077" s="1" t="s">
        <v>1020</v>
      </c>
      <c r="K1077" s="1" t="s">
        <v>117</v>
      </c>
      <c r="L1077" s="1" t="s">
        <v>306</v>
      </c>
      <c r="M1077" s="1">
        <v>1</v>
      </c>
      <c r="N1077" s="2">
        <v>67.510000000000005</v>
      </c>
      <c r="O1077" s="3">
        <v>96</v>
      </c>
      <c r="P1077" s="1">
        <v>6</v>
      </c>
      <c r="Q1077" s="1">
        <v>9</v>
      </c>
      <c r="R1077" s="1">
        <v>200010004094</v>
      </c>
      <c r="S1077" s="1">
        <v>50</v>
      </c>
      <c r="T1077" s="1">
        <v>1</v>
      </c>
      <c r="U1077" s="1">
        <v>3</v>
      </c>
      <c r="V1077">
        <f t="shared" si="16"/>
        <v>96</v>
      </c>
    </row>
    <row r="1078" spans="1:22" ht="13" x14ac:dyDescent="0.15">
      <c r="A1078" s="4">
        <v>44777</v>
      </c>
      <c r="B1078" s="5">
        <v>0.60069444444444442</v>
      </c>
      <c r="C1078" s="1">
        <v>1728</v>
      </c>
      <c r="D1078" s="1">
        <v>13002606</v>
      </c>
      <c r="E1078" s="1">
        <v>13</v>
      </c>
      <c r="F1078" s="1">
        <v>22589</v>
      </c>
      <c r="G1078" s="1" t="s">
        <v>21</v>
      </c>
      <c r="H1078" s="1">
        <v>18</v>
      </c>
      <c r="I1078" s="1">
        <v>269</v>
      </c>
      <c r="J1078" s="1" t="s">
        <v>107</v>
      </c>
      <c r="K1078" s="1" t="s">
        <v>29</v>
      </c>
      <c r="L1078" s="1" t="s">
        <v>108</v>
      </c>
      <c r="M1078" s="1">
        <v>1</v>
      </c>
      <c r="N1078" s="2">
        <v>155.68</v>
      </c>
      <c r="O1078" s="3">
        <v>195</v>
      </c>
      <c r="P1078" s="1">
        <v>13</v>
      </c>
      <c r="Q1078" s="1">
        <v>9</v>
      </c>
      <c r="R1078" s="1">
        <v>200010022567</v>
      </c>
      <c r="S1078" s="1">
        <v>50</v>
      </c>
      <c r="T1078" s="1">
        <v>1</v>
      </c>
      <c r="U1078" s="1">
        <v>1</v>
      </c>
      <c r="V1078">
        <f t="shared" si="16"/>
        <v>195</v>
      </c>
    </row>
    <row r="1079" spans="1:22" ht="13" x14ac:dyDescent="0.15">
      <c r="A1079" s="4">
        <v>44777</v>
      </c>
      <c r="B1079" s="5">
        <v>0.60069444444444442</v>
      </c>
      <c r="C1079" s="1">
        <v>1728</v>
      </c>
      <c r="D1079" s="1">
        <v>13002606</v>
      </c>
      <c r="E1079" s="1">
        <v>13</v>
      </c>
      <c r="F1079" s="1">
        <v>22589</v>
      </c>
      <c r="G1079" s="1" t="s">
        <v>21</v>
      </c>
      <c r="H1079" s="1">
        <v>18</v>
      </c>
      <c r="I1079" s="1">
        <v>269</v>
      </c>
      <c r="J1079" s="1" t="s">
        <v>107</v>
      </c>
      <c r="K1079" s="1" t="s">
        <v>29</v>
      </c>
      <c r="L1079" s="1" t="s">
        <v>108</v>
      </c>
      <c r="M1079" s="1">
        <v>1</v>
      </c>
      <c r="N1079" s="2">
        <v>155.68</v>
      </c>
      <c r="O1079" s="3">
        <v>195</v>
      </c>
      <c r="P1079" s="1">
        <v>13</v>
      </c>
      <c r="Q1079" s="1">
        <v>9</v>
      </c>
      <c r="R1079" s="1">
        <v>200010022567</v>
      </c>
      <c r="S1079" s="1">
        <v>50</v>
      </c>
      <c r="T1079" s="1">
        <v>1</v>
      </c>
      <c r="U1079" s="1">
        <v>2</v>
      </c>
      <c r="V1079">
        <f t="shared" si="16"/>
        <v>195</v>
      </c>
    </row>
    <row r="1080" spans="1:22" ht="13" x14ac:dyDescent="0.15">
      <c r="A1080" s="4">
        <v>44777</v>
      </c>
      <c r="B1080" s="5">
        <v>0.60195601851851854</v>
      </c>
      <c r="C1080" s="1">
        <v>1729</v>
      </c>
      <c r="D1080" s="1">
        <v>13002606</v>
      </c>
      <c r="E1080" s="1">
        <v>13</v>
      </c>
      <c r="F1080" s="1">
        <v>22589</v>
      </c>
      <c r="G1080" s="1" t="s">
        <v>21</v>
      </c>
      <c r="H1080" s="1">
        <v>15</v>
      </c>
      <c r="I1080" s="1">
        <v>314695</v>
      </c>
      <c r="J1080" s="1" t="s">
        <v>1021</v>
      </c>
      <c r="K1080" s="1" t="s">
        <v>34</v>
      </c>
      <c r="L1080" s="1" t="s">
        <v>1022</v>
      </c>
      <c r="M1080" s="1">
        <v>0.33333332999999998</v>
      </c>
      <c r="N1080" s="2">
        <v>9306.5300000000007</v>
      </c>
      <c r="O1080" s="3">
        <v>10375</v>
      </c>
      <c r="P1080" s="1">
        <v>103.33</v>
      </c>
      <c r="Q1080" s="1">
        <v>9</v>
      </c>
      <c r="R1080" s="1">
        <v>200010021982</v>
      </c>
      <c r="S1080" s="1">
        <v>50</v>
      </c>
      <c r="T1080" s="1">
        <v>1</v>
      </c>
      <c r="U1080" s="1">
        <v>2</v>
      </c>
      <c r="V1080">
        <f t="shared" si="16"/>
        <v>3458.3332987499998</v>
      </c>
    </row>
    <row r="1081" spans="1:22" ht="13" x14ac:dyDescent="0.15">
      <c r="A1081" s="4">
        <v>44777</v>
      </c>
      <c r="B1081" s="5">
        <v>0.60195601851851854</v>
      </c>
      <c r="C1081" s="1">
        <v>1729</v>
      </c>
      <c r="D1081" s="1">
        <v>13002606</v>
      </c>
      <c r="E1081" s="1">
        <v>13</v>
      </c>
      <c r="F1081" s="1">
        <v>22589</v>
      </c>
      <c r="G1081" s="1" t="s">
        <v>21</v>
      </c>
      <c r="H1081" s="1">
        <v>15</v>
      </c>
      <c r="I1081" s="1">
        <v>1799</v>
      </c>
      <c r="J1081" s="1" t="s">
        <v>998</v>
      </c>
      <c r="K1081" s="1" t="s">
        <v>45</v>
      </c>
      <c r="L1081" s="1" t="s">
        <v>999</v>
      </c>
      <c r="M1081" s="1">
        <v>1</v>
      </c>
      <c r="N1081" s="2">
        <v>400.06</v>
      </c>
      <c r="O1081" s="3">
        <v>481</v>
      </c>
      <c r="P1081" s="1">
        <v>33</v>
      </c>
      <c r="Q1081" s="1">
        <v>9</v>
      </c>
      <c r="R1081" s="1">
        <v>200010021982</v>
      </c>
      <c r="S1081" s="1">
        <v>50</v>
      </c>
      <c r="T1081" s="1">
        <v>1</v>
      </c>
      <c r="U1081" s="1">
        <v>1</v>
      </c>
      <c r="V1081">
        <f t="shared" si="16"/>
        <v>481</v>
      </c>
    </row>
    <row r="1082" spans="1:22" ht="13" x14ac:dyDescent="0.15">
      <c r="A1082" s="4">
        <v>44777</v>
      </c>
      <c r="B1082" s="5">
        <v>0.60266203703703702</v>
      </c>
      <c r="C1082" s="1">
        <v>1730</v>
      </c>
      <c r="D1082" s="1">
        <v>13002606</v>
      </c>
      <c r="E1082" s="1">
        <v>13</v>
      </c>
      <c r="F1082" s="1">
        <v>22589</v>
      </c>
      <c r="G1082" s="1" t="s">
        <v>21</v>
      </c>
      <c r="H1082" s="1">
        <v>18</v>
      </c>
      <c r="I1082" s="1">
        <v>339713</v>
      </c>
      <c r="J1082" s="1" t="s">
        <v>1023</v>
      </c>
      <c r="K1082" s="1" t="s">
        <v>51</v>
      </c>
      <c r="L1082" s="1" t="s">
        <v>547</v>
      </c>
      <c r="M1082" s="1">
        <v>1</v>
      </c>
      <c r="N1082" s="2">
        <v>279.86</v>
      </c>
      <c r="O1082" s="3">
        <v>426</v>
      </c>
      <c r="P1082" s="1">
        <v>42</v>
      </c>
      <c r="Q1082" s="1">
        <v>9</v>
      </c>
      <c r="R1082" s="1">
        <v>200010023898</v>
      </c>
      <c r="S1082" s="1">
        <v>50</v>
      </c>
      <c r="T1082" s="1">
        <v>1</v>
      </c>
      <c r="U1082" s="1">
        <v>1</v>
      </c>
      <c r="V1082">
        <f t="shared" si="16"/>
        <v>426</v>
      </c>
    </row>
    <row r="1083" spans="1:22" ht="13" x14ac:dyDescent="0.15">
      <c r="A1083" s="4">
        <v>44777</v>
      </c>
      <c r="B1083" s="5">
        <v>0.60395833333333337</v>
      </c>
      <c r="C1083" s="1">
        <v>1731</v>
      </c>
      <c r="D1083" s="1">
        <v>13002606</v>
      </c>
      <c r="E1083" s="1">
        <v>13</v>
      </c>
      <c r="F1083" s="1">
        <v>22589</v>
      </c>
      <c r="G1083" s="1" t="s">
        <v>21</v>
      </c>
      <c r="H1083" s="1">
        <v>15</v>
      </c>
      <c r="I1083" s="1">
        <v>444657</v>
      </c>
      <c r="J1083" s="1" t="s">
        <v>1024</v>
      </c>
      <c r="K1083" s="1" t="s">
        <v>23</v>
      </c>
      <c r="L1083" s="1" t="s">
        <v>802</v>
      </c>
      <c r="M1083" s="1">
        <v>1</v>
      </c>
      <c r="N1083" s="2">
        <v>44.5</v>
      </c>
      <c r="O1083" s="3">
        <v>68</v>
      </c>
      <c r="P1083" s="1">
        <v>4</v>
      </c>
      <c r="Q1083" s="1">
        <v>9</v>
      </c>
      <c r="R1083" s="1">
        <v>200010023898</v>
      </c>
      <c r="S1083" s="1">
        <v>50</v>
      </c>
      <c r="T1083" s="1">
        <v>1</v>
      </c>
      <c r="U1083" s="1">
        <v>4</v>
      </c>
      <c r="V1083">
        <f t="shared" si="16"/>
        <v>68</v>
      </c>
    </row>
    <row r="1084" spans="1:22" ht="13" x14ac:dyDescent="0.15">
      <c r="A1084" s="4">
        <v>44777</v>
      </c>
      <c r="B1084" s="5">
        <v>0.60395833333333337</v>
      </c>
      <c r="C1084" s="1">
        <v>1731</v>
      </c>
      <c r="D1084" s="1">
        <v>13002606</v>
      </c>
      <c r="E1084" s="1">
        <v>13</v>
      </c>
      <c r="F1084" s="1">
        <v>22589</v>
      </c>
      <c r="G1084" s="1" t="s">
        <v>21</v>
      </c>
      <c r="H1084" s="1">
        <v>15</v>
      </c>
      <c r="I1084" s="1">
        <v>117949</v>
      </c>
      <c r="J1084" s="1" t="s">
        <v>594</v>
      </c>
      <c r="K1084" s="1" t="s">
        <v>141</v>
      </c>
      <c r="L1084" s="1" t="s">
        <v>97</v>
      </c>
      <c r="M1084" s="1">
        <v>1</v>
      </c>
      <c r="N1084" s="2">
        <v>10.02</v>
      </c>
      <c r="O1084" s="3">
        <v>17</v>
      </c>
      <c r="P1084" s="1">
        <v>1</v>
      </c>
      <c r="Q1084" s="1">
        <v>9</v>
      </c>
      <c r="R1084" s="1">
        <v>200010023898</v>
      </c>
      <c r="S1084" s="1">
        <v>50</v>
      </c>
      <c r="T1084" s="1">
        <v>1</v>
      </c>
      <c r="U1084" s="1">
        <v>3</v>
      </c>
      <c r="V1084">
        <f t="shared" si="16"/>
        <v>17</v>
      </c>
    </row>
    <row r="1085" spans="1:22" ht="13" x14ac:dyDescent="0.15">
      <c r="A1085" s="4">
        <v>44777</v>
      </c>
      <c r="B1085" s="5">
        <v>0.60395833333333337</v>
      </c>
      <c r="C1085" s="1">
        <v>1731</v>
      </c>
      <c r="D1085" s="1">
        <v>13002606</v>
      </c>
      <c r="E1085" s="1">
        <v>13</v>
      </c>
      <c r="F1085" s="1">
        <v>22589</v>
      </c>
      <c r="G1085" s="1" t="s">
        <v>21</v>
      </c>
      <c r="H1085" s="1">
        <v>15</v>
      </c>
      <c r="I1085" s="1">
        <v>4919</v>
      </c>
      <c r="J1085" s="1" t="s">
        <v>1025</v>
      </c>
      <c r="K1085" s="1" t="s">
        <v>23</v>
      </c>
      <c r="L1085" s="1" t="s">
        <v>886</v>
      </c>
      <c r="M1085" s="1">
        <v>1</v>
      </c>
      <c r="N1085" s="2">
        <v>99.8</v>
      </c>
      <c r="O1085" s="3">
        <v>142</v>
      </c>
      <c r="P1085" s="1">
        <v>9</v>
      </c>
      <c r="Q1085" s="1">
        <v>9</v>
      </c>
      <c r="R1085" s="1">
        <v>200010023898</v>
      </c>
      <c r="S1085" s="1">
        <v>50</v>
      </c>
      <c r="T1085" s="1">
        <v>1</v>
      </c>
      <c r="U1085" s="1">
        <v>1</v>
      </c>
      <c r="V1085">
        <f t="shared" si="16"/>
        <v>142</v>
      </c>
    </row>
    <row r="1086" spans="1:22" ht="13" x14ac:dyDescent="0.15">
      <c r="A1086" s="4">
        <v>44777</v>
      </c>
      <c r="B1086" s="5">
        <v>0.60395833333333337</v>
      </c>
      <c r="C1086" s="1">
        <v>1731</v>
      </c>
      <c r="D1086" s="1">
        <v>13002606</v>
      </c>
      <c r="E1086" s="1">
        <v>13</v>
      </c>
      <c r="F1086" s="1">
        <v>22589</v>
      </c>
      <c r="G1086" s="1" t="s">
        <v>21</v>
      </c>
      <c r="H1086" s="1">
        <v>15</v>
      </c>
      <c r="I1086" s="1">
        <v>348186</v>
      </c>
      <c r="J1086" s="1" t="s">
        <v>419</v>
      </c>
      <c r="K1086" s="1" t="s">
        <v>141</v>
      </c>
      <c r="L1086" s="1" t="s">
        <v>173</v>
      </c>
      <c r="M1086" s="1">
        <v>1</v>
      </c>
      <c r="N1086" s="2">
        <v>5.83</v>
      </c>
      <c r="O1086" s="3">
        <v>8</v>
      </c>
      <c r="P1086" s="1">
        <v>0</v>
      </c>
      <c r="Q1086" s="1" t="s">
        <v>25</v>
      </c>
      <c r="R1086" s="1" t="s">
        <v>25</v>
      </c>
      <c r="S1086" s="1">
        <v>50</v>
      </c>
      <c r="T1086" s="1">
        <v>1</v>
      </c>
      <c r="U1086" s="1">
        <v>2</v>
      </c>
      <c r="V1086">
        <f t="shared" si="16"/>
        <v>8</v>
      </c>
    </row>
    <row r="1087" spans="1:22" ht="13" x14ac:dyDescent="0.15">
      <c r="A1087" s="4">
        <v>44777</v>
      </c>
      <c r="B1087" s="5">
        <v>0.77209490740740738</v>
      </c>
      <c r="C1087" s="1">
        <v>1768</v>
      </c>
      <c r="D1087" s="1">
        <v>13002606</v>
      </c>
      <c r="E1087" s="1">
        <v>13</v>
      </c>
      <c r="F1087" s="1">
        <v>22589</v>
      </c>
      <c r="G1087" s="1" t="s">
        <v>21</v>
      </c>
      <c r="H1087" s="1">
        <v>15</v>
      </c>
      <c r="I1087" s="1">
        <v>348186</v>
      </c>
      <c r="J1087" s="1" t="s">
        <v>419</v>
      </c>
      <c r="K1087" s="1" t="s">
        <v>141</v>
      </c>
      <c r="L1087" s="1" t="s">
        <v>173</v>
      </c>
      <c r="M1087" s="1">
        <v>1</v>
      </c>
      <c r="N1087" s="2">
        <v>5.83</v>
      </c>
      <c r="O1087" s="3">
        <v>8</v>
      </c>
      <c r="P1087" s="1">
        <v>0.34</v>
      </c>
      <c r="Q1087" s="1">
        <v>9</v>
      </c>
      <c r="R1087" s="1">
        <v>200010001749</v>
      </c>
      <c r="S1087" s="1">
        <v>50</v>
      </c>
      <c r="T1087" s="1">
        <v>1</v>
      </c>
      <c r="U1087" s="1">
        <v>4</v>
      </c>
      <c r="V1087">
        <f t="shared" si="16"/>
        <v>8</v>
      </c>
    </row>
    <row r="1088" spans="1:22" ht="13" x14ac:dyDescent="0.15">
      <c r="A1088" s="4">
        <v>44777</v>
      </c>
      <c r="B1088" s="5">
        <v>0.77209490740740738</v>
      </c>
      <c r="C1088" s="1">
        <v>1768</v>
      </c>
      <c r="D1088" s="1">
        <v>13002606</v>
      </c>
      <c r="E1088" s="1">
        <v>13</v>
      </c>
      <c r="F1088" s="1">
        <v>22589</v>
      </c>
      <c r="G1088" s="1" t="s">
        <v>21</v>
      </c>
      <c r="H1088" s="1">
        <v>15</v>
      </c>
      <c r="I1088" s="1">
        <v>348186</v>
      </c>
      <c r="J1088" s="1" t="s">
        <v>419</v>
      </c>
      <c r="K1088" s="1" t="s">
        <v>141</v>
      </c>
      <c r="L1088" s="1" t="s">
        <v>173</v>
      </c>
      <c r="M1088" s="1">
        <v>2</v>
      </c>
      <c r="N1088" s="2">
        <v>5.83</v>
      </c>
      <c r="O1088" s="3">
        <v>8</v>
      </c>
      <c r="P1088" s="1">
        <v>0.66</v>
      </c>
      <c r="Q1088" s="1">
        <v>9</v>
      </c>
      <c r="R1088" s="1">
        <v>200010001749</v>
      </c>
      <c r="S1088" s="1">
        <v>50</v>
      </c>
      <c r="T1088" s="1">
        <v>1</v>
      </c>
      <c r="U1088" s="1">
        <v>5</v>
      </c>
      <c r="V1088">
        <f t="shared" si="16"/>
        <v>16</v>
      </c>
    </row>
    <row r="1089" spans="1:22" ht="13" x14ac:dyDescent="0.15">
      <c r="A1089" s="4">
        <v>44777</v>
      </c>
      <c r="B1089" s="5">
        <v>0.61011574074074071</v>
      </c>
      <c r="C1089" s="1">
        <v>1733</v>
      </c>
      <c r="D1089" s="1">
        <v>13002606</v>
      </c>
      <c r="E1089" s="1">
        <v>13</v>
      </c>
      <c r="F1089" s="1">
        <v>22589</v>
      </c>
      <c r="G1089" s="1" t="s">
        <v>21</v>
      </c>
      <c r="H1089" s="1">
        <v>15</v>
      </c>
      <c r="I1089" s="1">
        <v>339868</v>
      </c>
      <c r="J1089" s="1" t="s">
        <v>217</v>
      </c>
      <c r="K1089" s="1" t="s">
        <v>34</v>
      </c>
      <c r="L1089" s="1" t="s">
        <v>218</v>
      </c>
      <c r="M1089" s="1">
        <v>1</v>
      </c>
      <c r="N1089" s="2">
        <v>40.369999999999997</v>
      </c>
      <c r="O1089" s="3">
        <v>50</v>
      </c>
      <c r="P1089" s="1">
        <v>2</v>
      </c>
      <c r="Q1089" s="1">
        <v>9</v>
      </c>
      <c r="R1089" s="1">
        <v>200010004764</v>
      </c>
      <c r="S1089" s="1">
        <v>50</v>
      </c>
      <c r="T1089" s="1">
        <v>1</v>
      </c>
      <c r="U1089" s="1">
        <v>4</v>
      </c>
      <c r="V1089">
        <f t="shared" si="16"/>
        <v>50</v>
      </c>
    </row>
    <row r="1090" spans="1:22" ht="13" x14ac:dyDescent="0.15">
      <c r="A1090" s="4">
        <v>44777</v>
      </c>
      <c r="B1090" s="5">
        <v>0.61011574074074071</v>
      </c>
      <c r="C1090" s="1">
        <v>1733</v>
      </c>
      <c r="D1090" s="1">
        <v>13002606</v>
      </c>
      <c r="E1090" s="1">
        <v>13</v>
      </c>
      <c r="F1090" s="1">
        <v>22589</v>
      </c>
      <c r="G1090" s="1" t="s">
        <v>21</v>
      </c>
      <c r="H1090" s="1">
        <v>15</v>
      </c>
      <c r="I1090" s="1">
        <v>18431</v>
      </c>
      <c r="J1090" s="1" t="s">
        <v>1026</v>
      </c>
      <c r="K1090" s="1" t="s">
        <v>117</v>
      </c>
      <c r="L1090" s="1" t="s">
        <v>1027</v>
      </c>
      <c r="M1090" s="1">
        <v>1</v>
      </c>
      <c r="N1090" s="2">
        <v>137.84</v>
      </c>
      <c r="O1090" s="3">
        <v>189</v>
      </c>
      <c r="P1090" s="1">
        <v>13</v>
      </c>
      <c r="Q1090" s="1">
        <v>9</v>
      </c>
      <c r="R1090" s="1">
        <v>200010004764</v>
      </c>
      <c r="S1090" s="1">
        <v>50</v>
      </c>
      <c r="T1090" s="1">
        <v>1</v>
      </c>
      <c r="U1090" s="1">
        <v>5</v>
      </c>
      <c r="V1090">
        <f t="shared" si="16"/>
        <v>189</v>
      </c>
    </row>
    <row r="1091" spans="1:22" ht="13" x14ac:dyDescent="0.15">
      <c r="A1091" s="4">
        <v>44777</v>
      </c>
      <c r="B1091" s="5">
        <v>0.61011574074074071</v>
      </c>
      <c r="C1091" s="1">
        <v>1733</v>
      </c>
      <c r="D1091" s="1">
        <v>13002606</v>
      </c>
      <c r="E1091" s="1">
        <v>13</v>
      </c>
      <c r="F1091" s="1">
        <v>22589</v>
      </c>
      <c r="G1091" s="1" t="s">
        <v>21</v>
      </c>
      <c r="H1091" s="1">
        <v>15</v>
      </c>
      <c r="I1091" s="1">
        <v>74749</v>
      </c>
      <c r="J1091" s="1" t="s">
        <v>807</v>
      </c>
      <c r="K1091" s="1" t="s">
        <v>61</v>
      </c>
      <c r="L1091" s="1" t="s">
        <v>261</v>
      </c>
      <c r="M1091" s="1">
        <v>1</v>
      </c>
      <c r="N1091" s="2">
        <v>29.48</v>
      </c>
      <c r="O1091" s="3">
        <v>33</v>
      </c>
      <c r="P1091" s="1">
        <v>1</v>
      </c>
      <c r="Q1091" s="1">
        <v>9</v>
      </c>
      <c r="R1091" s="1">
        <v>200010004764</v>
      </c>
      <c r="S1091" s="1">
        <v>50</v>
      </c>
      <c r="T1091" s="1">
        <v>1</v>
      </c>
      <c r="U1091" s="1">
        <v>2</v>
      </c>
      <c r="V1091">
        <f t="shared" ref="V1091:V1154" si="17">O1091*M1091</f>
        <v>33</v>
      </c>
    </row>
    <row r="1092" spans="1:22" ht="13" x14ac:dyDescent="0.15">
      <c r="A1092" s="4">
        <v>44777</v>
      </c>
      <c r="B1092" s="5">
        <v>0.61011574074074071</v>
      </c>
      <c r="C1092" s="1">
        <v>1733</v>
      </c>
      <c r="D1092" s="1">
        <v>13002606</v>
      </c>
      <c r="E1092" s="1">
        <v>13</v>
      </c>
      <c r="F1092" s="1">
        <v>22589</v>
      </c>
      <c r="G1092" s="1" t="s">
        <v>21</v>
      </c>
      <c r="H1092" s="1">
        <v>15</v>
      </c>
      <c r="I1092" s="1">
        <v>18836</v>
      </c>
      <c r="J1092" s="1" t="s">
        <v>517</v>
      </c>
      <c r="K1092" s="1" t="s">
        <v>51</v>
      </c>
      <c r="L1092" s="1" t="s">
        <v>67</v>
      </c>
      <c r="M1092" s="1">
        <v>1</v>
      </c>
      <c r="N1092" s="2">
        <v>109.1</v>
      </c>
      <c r="O1092" s="3">
        <v>123</v>
      </c>
      <c r="P1092" s="1">
        <v>8</v>
      </c>
      <c r="Q1092" s="1">
        <v>9</v>
      </c>
      <c r="R1092" s="1">
        <v>200010004764</v>
      </c>
      <c r="S1092" s="1">
        <v>50</v>
      </c>
      <c r="T1092" s="1">
        <v>1</v>
      </c>
      <c r="U1092" s="1">
        <v>6</v>
      </c>
      <c r="V1092">
        <f t="shared" si="17"/>
        <v>123</v>
      </c>
    </row>
    <row r="1093" spans="1:22" ht="13" x14ac:dyDescent="0.15">
      <c r="A1093" s="4">
        <v>44777</v>
      </c>
      <c r="B1093" s="5">
        <v>0.61355324074074069</v>
      </c>
      <c r="C1093" s="1">
        <v>1734</v>
      </c>
      <c r="D1093" s="1">
        <v>13002606</v>
      </c>
      <c r="E1093" s="1">
        <v>13</v>
      </c>
      <c r="F1093" s="1">
        <v>22589</v>
      </c>
      <c r="G1093" s="1" t="s">
        <v>21</v>
      </c>
      <c r="H1093" s="1">
        <v>15</v>
      </c>
      <c r="I1093" s="1">
        <v>251468</v>
      </c>
      <c r="J1093" s="1" t="s">
        <v>1028</v>
      </c>
      <c r="K1093" s="1" t="s">
        <v>29</v>
      </c>
      <c r="L1093" s="1" t="s">
        <v>1029</v>
      </c>
      <c r="M1093" s="1">
        <v>1</v>
      </c>
      <c r="N1093" s="2">
        <v>1698.28</v>
      </c>
      <c r="O1093" s="3">
        <v>2123</v>
      </c>
      <c r="P1093" s="1">
        <v>148</v>
      </c>
      <c r="Q1093" s="1">
        <v>9</v>
      </c>
      <c r="R1093" s="1">
        <v>200010020913</v>
      </c>
      <c r="S1093" s="1">
        <v>50</v>
      </c>
      <c r="T1093" s="1">
        <v>1</v>
      </c>
      <c r="U1093" s="1">
        <v>1</v>
      </c>
      <c r="V1093">
        <f t="shared" si="17"/>
        <v>2123</v>
      </c>
    </row>
    <row r="1094" spans="1:22" ht="13" x14ac:dyDescent="0.15">
      <c r="A1094" s="4">
        <v>44777</v>
      </c>
      <c r="B1094" s="5">
        <v>0.61534722222222227</v>
      </c>
      <c r="C1094" s="1">
        <v>1735</v>
      </c>
      <c r="D1094" s="1">
        <v>13002606</v>
      </c>
      <c r="E1094" s="1">
        <v>13</v>
      </c>
      <c r="F1094" s="1">
        <v>22589</v>
      </c>
      <c r="G1094" s="1" t="s">
        <v>21</v>
      </c>
      <c r="H1094" s="1">
        <v>18</v>
      </c>
      <c r="I1094" s="1">
        <v>11353</v>
      </c>
      <c r="J1094" s="1" t="s">
        <v>1030</v>
      </c>
      <c r="K1094" s="1" t="s">
        <v>48</v>
      </c>
      <c r="L1094" s="1" t="s">
        <v>1031</v>
      </c>
      <c r="M1094" s="1">
        <v>1</v>
      </c>
      <c r="N1094" s="2">
        <v>367.8</v>
      </c>
      <c r="O1094" s="3">
        <v>486</v>
      </c>
      <c r="P1094" s="1">
        <v>34</v>
      </c>
      <c r="Q1094" s="1">
        <v>9</v>
      </c>
      <c r="R1094" s="1">
        <v>200010023896</v>
      </c>
      <c r="S1094" s="1">
        <v>50</v>
      </c>
      <c r="T1094" s="1">
        <v>1</v>
      </c>
      <c r="U1094" s="1">
        <v>1</v>
      </c>
      <c r="V1094">
        <f t="shared" si="17"/>
        <v>486</v>
      </c>
    </row>
    <row r="1095" spans="1:22" ht="13" x14ac:dyDescent="0.15">
      <c r="A1095" s="4">
        <v>44777</v>
      </c>
      <c r="B1095" s="5">
        <v>0.62900462962962966</v>
      </c>
      <c r="C1095" s="1">
        <v>1736</v>
      </c>
      <c r="D1095" s="1">
        <v>13002606</v>
      </c>
      <c r="E1095" s="1">
        <v>13</v>
      </c>
      <c r="F1095" s="1">
        <v>22589</v>
      </c>
      <c r="G1095" s="1" t="s">
        <v>21</v>
      </c>
      <c r="H1095" s="1">
        <v>15</v>
      </c>
      <c r="I1095" s="1">
        <v>440425</v>
      </c>
      <c r="J1095" s="1" t="s">
        <v>627</v>
      </c>
      <c r="K1095" s="1" t="s">
        <v>51</v>
      </c>
      <c r="L1095" s="1" t="s">
        <v>49</v>
      </c>
      <c r="M1095" s="1">
        <v>1</v>
      </c>
      <c r="N1095" s="2">
        <v>28.73</v>
      </c>
      <c r="O1095" s="3">
        <v>36</v>
      </c>
      <c r="P1095" s="1">
        <v>2</v>
      </c>
      <c r="Q1095" s="1">
        <v>9</v>
      </c>
      <c r="R1095" s="1">
        <v>200010013015</v>
      </c>
      <c r="S1095" s="1">
        <v>50</v>
      </c>
      <c r="T1095" s="1">
        <v>1</v>
      </c>
      <c r="U1095" s="1">
        <v>1</v>
      </c>
      <c r="V1095">
        <f t="shared" si="17"/>
        <v>36</v>
      </c>
    </row>
    <row r="1096" spans="1:22" ht="13" x14ac:dyDescent="0.15">
      <c r="A1096" s="4">
        <v>44777</v>
      </c>
      <c r="B1096" s="5">
        <v>0.62900462962962966</v>
      </c>
      <c r="C1096" s="1">
        <v>1736</v>
      </c>
      <c r="D1096" s="1">
        <v>13002606</v>
      </c>
      <c r="E1096" s="1">
        <v>13</v>
      </c>
      <c r="F1096" s="1">
        <v>22589</v>
      </c>
      <c r="G1096" s="1" t="s">
        <v>21</v>
      </c>
      <c r="H1096" s="1">
        <v>15</v>
      </c>
      <c r="I1096" s="1">
        <v>440425</v>
      </c>
      <c r="J1096" s="1" t="s">
        <v>627</v>
      </c>
      <c r="K1096" s="1" t="s">
        <v>51</v>
      </c>
      <c r="L1096" s="1" t="s">
        <v>49</v>
      </c>
      <c r="M1096" s="1">
        <v>1</v>
      </c>
      <c r="N1096" s="2">
        <v>28.81</v>
      </c>
      <c r="O1096" s="3">
        <v>37</v>
      </c>
      <c r="P1096" s="1">
        <v>2</v>
      </c>
      <c r="Q1096" s="1">
        <v>9</v>
      </c>
      <c r="R1096" s="1">
        <v>200010013015</v>
      </c>
      <c r="S1096" s="1">
        <v>50</v>
      </c>
      <c r="T1096" s="1">
        <v>1</v>
      </c>
      <c r="U1096" s="1">
        <v>2</v>
      </c>
      <c r="V1096">
        <f t="shared" si="17"/>
        <v>37</v>
      </c>
    </row>
    <row r="1097" spans="1:22" ht="13" x14ac:dyDescent="0.15">
      <c r="A1097" s="4">
        <v>44777</v>
      </c>
      <c r="B1097" s="5">
        <v>0.62900462962962966</v>
      </c>
      <c r="C1097" s="1">
        <v>1736</v>
      </c>
      <c r="D1097" s="1">
        <v>13002606</v>
      </c>
      <c r="E1097" s="1">
        <v>13</v>
      </c>
      <c r="F1097" s="1">
        <v>22589</v>
      </c>
      <c r="G1097" s="1" t="s">
        <v>21</v>
      </c>
      <c r="H1097" s="1">
        <v>15</v>
      </c>
      <c r="I1097" s="1">
        <v>444920</v>
      </c>
      <c r="J1097" s="1" t="s">
        <v>250</v>
      </c>
      <c r="K1097" s="1" t="s">
        <v>51</v>
      </c>
      <c r="L1097" s="1" t="s">
        <v>49</v>
      </c>
      <c r="M1097" s="1">
        <v>1</v>
      </c>
      <c r="N1097" s="2">
        <v>19.47</v>
      </c>
      <c r="O1097" s="3">
        <v>25</v>
      </c>
      <c r="P1097" s="1">
        <v>1</v>
      </c>
      <c r="Q1097" s="1">
        <v>9</v>
      </c>
      <c r="R1097" s="1">
        <v>200010013015</v>
      </c>
      <c r="S1097" s="1">
        <v>50</v>
      </c>
      <c r="T1097" s="1">
        <v>1</v>
      </c>
      <c r="U1097" s="1">
        <v>6</v>
      </c>
      <c r="V1097">
        <f t="shared" si="17"/>
        <v>25</v>
      </c>
    </row>
    <row r="1098" spans="1:22" ht="13" x14ac:dyDescent="0.15">
      <c r="A1098" s="4">
        <v>44777</v>
      </c>
      <c r="B1098" s="5">
        <v>0.62900462962962966</v>
      </c>
      <c r="C1098" s="1">
        <v>1736</v>
      </c>
      <c r="D1098" s="1">
        <v>13002606</v>
      </c>
      <c r="E1098" s="1">
        <v>13</v>
      </c>
      <c r="F1098" s="1">
        <v>22589</v>
      </c>
      <c r="G1098" s="1" t="s">
        <v>21</v>
      </c>
      <c r="H1098" s="1">
        <v>15</v>
      </c>
      <c r="I1098" s="1">
        <v>444920</v>
      </c>
      <c r="J1098" s="1" t="s">
        <v>250</v>
      </c>
      <c r="K1098" s="1" t="s">
        <v>51</v>
      </c>
      <c r="L1098" s="1" t="s">
        <v>49</v>
      </c>
      <c r="M1098" s="1">
        <v>1</v>
      </c>
      <c r="N1098" s="2">
        <v>19.47</v>
      </c>
      <c r="O1098" s="3">
        <v>25</v>
      </c>
      <c r="P1098" s="1">
        <v>1</v>
      </c>
      <c r="Q1098" s="1">
        <v>9</v>
      </c>
      <c r="R1098" s="1">
        <v>200010013015</v>
      </c>
      <c r="S1098" s="1">
        <v>50</v>
      </c>
      <c r="T1098" s="1">
        <v>1</v>
      </c>
      <c r="U1098" s="1">
        <v>7</v>
      </c>
      <c r="V1098">
        <f t="shared" si="17"/>
        <v>25</v>
      </c>
    </row>
    <row r="1099" spans="1:22" ht="13" x14ac:dyDescent="0.15">
      <c r="A1099" s="4">
        <v>44777</v>
      </c>
      <c r="B1099" s="5">
        <v>0.62900462962962966</v>
      </c>
      <c r="C1099" s="1">
        <v>1736</v>
      </c>
      <c r="D1099" s="1">
        <v>13002606</v>
      </c>
      <c r="E1099" s="1">
        <v>13</v>
      </c>
      <c r="F1099" s="1">
        <v>22589</v>
      </c>
      <c r="G1099" s="1" t="s">
        <v>21</v>
      </c>
      <c r="H1099" s="1">
        <v>15</v>
      </c>
      <c r="I1099" s="1">
        <v>393397</v>
      </c>
      <c r="J1099" s="1" t="s">
        <v>334</v>
      </c>
      <c r="K1099" s="1" t="s">
        <v>29</v>
      </c>
      <c r="L1099" s="1" t="s">
        <v>335</v>
      </c>
      <c r="M1099" s="1">
        <v>1</v>
      </c>
      <c r="N1099" s="2">
        <v>20.079999999999998</v>
      </c>
      <c r="O1099" s="3">
        <v>26</v>
      </c>
      <c r="P1099" s="1">
        <v>1</v>
      </c>
      <c r="Q1099" s="1">
        <v>9</v>
      </c>
      <c r="R1099" s="1">
        <v>200010013015</v>
      </c>
      <c r="S1099" s="1">
        <v>50</v>
      </c>
      <c r="T1099" s="1">
        <v>1</v>
      </c>
      <c r="U1099" s="1">
        <v>3</v>
      </c>
      <c r="V1099">
        <f t="shared" si="17"/>
        <v>26</v>
      </c>
    </row>
    <row r="1100" spans="1:22" ht="13" x14ac:dyDescent="0.15">
      <c r="A1100" s="4">
        <v>44777</v>
      </c>
      <c r="B1100" s="5">
        <v>0.62900462962962966</v>
      </c>
      <c r="C1100" s="1">
        <v>1736</v>
      </c>
      <c r="D1100" s="1">
        <v>13002606</v>
      </c>
      <c r="E1100" s="1">
        <v>13</v>
      </c>
      <c r="F1100" s="1">
        <v>22589</v>
      </c>
      <c r="G1100" s="1" t="s">
        <v>21</v>
      </c>
      <c r="H1100" s="1">
        <v>15</v>
      </c>
      <c r="I1100" s="1">
        <v>393397</v>
      </c>
      <c r="J1100" s="1" t="s">
        <v>334</v>
      </c>
      <c r="K1100" s="1" t="s">
        <v>29</v>
      </c>
      <c r="L1100" s="1" t="s">
        <v>335</v>
      </c>
      <c r="M1100" s="1">
        <v>1</v>
      </c>
      <c r="N1100" s="2">
        <v>20.079999999999998</v>
      </c>
      <c r="O1100" s="3">
        <v>26</v>
      </c>
      <c r="P1100" s="1">
        <v>1</v>
      </c>
      <c r="Q1100" s="1">
        <v>9</v>
      </c>
      <c r="R1100" s="1">
        <v>200010013015</v>
      </c>
      <c r="S1100" s="1">
        <v>50</v>
      </c>
      <c r="T1100" s="1">
        <v>1</v>
      </c>
      <c r="U1100" s="1">
        <v>4</v>
      </c>
      <c r="V1100">
        <f t="shared" si="17"/>
        <v>26</v>
      </c>
    </row>
    <row r="1101" spans="1:22" ht="13" x14ac:dyDescent="0.15">
      <c r="A1101" s="4">
        <v>44777</v>
      </c>
      <c r="B1101" s="5">
        <v>0.62900462962962966</v>
      </c>
      <c r="C1101" s="1">
        <v>1736</v>
      </c>
      <c r="D1101" s="1">
        <v>13002606</v>
      </c>
      <c r="E1101" s="1">
        <v>13</v>
      </c>
      <c r="F1101" s="1">
        <v>22589</v>
      </c>
      <c r="G1101" s="1" t="s">
        <v>21</v>
      </c>
      <c r="H1101" s="1">
        <v>15</v>
      </c>
      <c r="I1101" s="1">
        <v>393397</v>
      </c>
      <c r="J1101" s="1" t="s">
        <v>334</v>
      </c>
      <c r="K1101" s="1" t="s">
        <v>29</v>
      </c>
      <c r="L1101" s="1" t="s">
        <v>335</v>
      </c>
      <c r="M1101" s="1">
        <v>1</v>
      </c>
      <c r="N1101" s="2">
        <v>20.079999999999998</v>
      </c>
      <c r="O1101" s="3">
        <v>26</v>
      </c>
      <c r="P1101" s="1">
        <v>1</v>
      </c>
      <c r="Q1101" s="1">
        <v>9</v>
      </c>
      <c r="R1101" s="1">
        <v>200010013015</v>
      </c>
      <c r="S1101" s="1">
        <v>50</v>
      </c>
      <c r="T1101" s="1">
        <v>1</v>
      </c>
      <c r="U1101" s="1">
        <v>5</v>
      </c>
      <c r="V1101">
        <f t="shared" si="17"/>
        <v>26</v>
      </c>
    </row>
    <row r="1102" spans="1:22" ht="13" x14ac:dyDescent="0.15">
      <c r="A1102" s="4">
        <v>44777</v>
      </c>
      <c r="B1102" s="5">
        <v>0.63406249999999997</v>
      </c>
      <c r="C1102" s="1">
        <v>1737</v>
      </c>
      <c r="D1102" s="1">
        <v>13002606</v>
      </c>
      <c r="E1102" s="1">
        <v>13</v>
      </c>
      <c r="F1102" s="1">
        <v>22589</v>
      </c>
      <c r="G1102" s="1" t="s">
        <v>21</v>
      </c>
      <c r="H1102" s="1">
        <v>18</v>
      </c>
      <c r="I1102" s="1">
        <v>163657</v>
      </c>
      <c r="J1102" s="1" t="s">
        <v>1032</v>
      </c>
      <c r="K1102" s="1" t="s">
        <v>58</v>
      </c>
      <c r="L1102" s="1" t="s">
        <v>1033</v>
      </c>
      <c r="M1102" s="1">
        <v>1</v>
      </c>
      <c r="N1102" s="2">
        <v>157.53</v>
      </c>
      <c r="O1102" s="3">
        <v>245</v>
      </c>
      <c r="P1102" s="1">
        <v>0</v>
      </c>
      <c r="Q1102" s="1" t="s">
        <v>25</v>
      </c>
      <c r="R1102" s="1" t="s">
        <v>25</v>
      </c>
      <c r="S1102" s="1">
        <v>50</v>
      </c>
      <c r="T1102" s="1">
        <v>1</v>
      </c>
      <c r="U1102" s="1">
        <v>1</v>
      </c>
      <c r="V1102">
        <f t="shared" si="17"/>
        <v>245</v>
      </c>
    </row>
    <row r="1103" spans="1:22" ht="13" x14ac:dyDescent="0.15">
      <c r="A1103" s="4">
        <v>44777</v>
      </c>
      <c r="B1103" s="5">
        <v>0.63724537037037032</v>
      </c>
      <c r="C1103" s="1">
        <v>1738</v>
      </c>
      <c r="D1103" s="1">
        <v>13002606</v>
      </c>
      <c r="E1103" s="1">
        <v>13</v>
      </c>
      <c r="F1103" s="1">
        <v>22589</v>
      </c>
      <c r="G1103" s="1" t="s">
        <v>21</v>
      </c>
      <c r="H1103" s="1">
        <v>15</v>
      </c>
      <c r="I1103" s="1">
        <v>443170</v>
      </c>
      <c r="J1103" s="1" t="s">
        <v>115</v>
      </c>
      <c r="K1103" s="1" t="s">
        <v>51</v>
      </c>
      <c r="L1103" s="1" t="s">
        <v>52</v>
      </c>
      <c r="M1103" s="1">
        <v>1</v>
      </c>
      <c r="N1103" s="2">
        <v>57.11</v>
      </c>
      <c r="O1103" s="3">
        <v>90</v>
      </c>
      <c r="P1103" s="1">
        <v>1.33</v>
      </c>
      <c r="Q1103" s="1">
        <v>925</v>
      </c>
      <c r="R1103" s="1">
        <v>200000000492</v>
      </c>
      <c r="S1103" s="1">
        <v>50</v>
      </c>
      <c r="T1103" s="1">
        <v>1</v>
      </c>
      <c r="U1103" s="1">
        <v>1</v>
      </c>
      <c r="V1103">
        <f t="shared" si="17"/>
        <v>90</v>
      </c>
    </row>
    <row r="1104" spans="1:22" ht="13" x14ac:dyDescent="0.15">
      <c r="A1104" s="4">
        <v>44777</v>
      </c>
      <c r="B1104" s="5">
        <v>0.63724537037037032</v>
      </c>
      <c r="C1104" s="1">
        <v>1738</v>
      </c>
      <c r="D1104" s="1">
        <v>13002606</v>
      </c>
      <c r="E1104" s="1">
        <v>13</v>
      </c>
      <c r="F1104" s="1">
        <v>22589</v>
      </c>
      <c r="G1104" s="1" t="s">
        <v>21</v>
      </c>
      <c r="H1104" s="1">
        <v>15</v>
      </c>
      <c r="I1104" s="1">
        <v>1178</v>
      </c>
      <c r="J1104" s="1" t="s">
        <v>1034</v>
      </c>
      <c r="K1104" s="1" t="s">
        <v>58</v>
      </c>
      <c r="L1104" s="1" t="s">
        <v>756</v>
      </c>
      <c r="M1104" s="1">
        <v>1</v>
      </c>
      <c r="N1104" s="2">
        <v>133.5</v>
      </c>
      <c r="O1104" s="3">
        <v>158</v>
      </c>
      <c r="P1104" s="1">
        <v>2.33</v>
      </c>
      <c r="Q1104" s="1">
        <v>925</v>
      </c>
      <c r="R1104" s="1">
        <v>200000000492</v>
      </c>
      <c r="S1104" s="1">
        <v>50</v>
      </c>
      <c r="T1104" s="1">
        <v>1</v>
      </c>
      <c r="U1104" s="1">
        <v>2</v>
      </c>
      <c r="V1104">
        <f t="shared" si="17"/>
        <v>158</v>
      </c>
    </row>
    <row r="1105" spans="1:22" ht="13" x14ac:dyDescent="0.15">
      <c r="A1105" s="4">
        <v>44777</v>
      </c>
      <c r="B1105" s="5">
        <v>0.63724537037037032</v>
      </c>
      <c r="C1105" s="1">
        <v>1738</v>
      </c>
      <c r="D1105" s="1">
        <v>13002606</v>
      </c>
      <c r="E1105" s="1">
        <v>13</v>
      </c>
      <c r="F1105" s="1">
        <v>22589</v>
      </c>
      <c r="G1105" s="1" t="s">
        <v>21</v>
      </c>
      <c r="H1105" s="1">
        <v>15</v>
      </c>
      <c r="I1105" s="1">
        <v>1178</v>
      </c>
      <c r="J1105" s="1" t="s">
        <v>1034</v>
      </c>
      <c r="K1105" s="1" t="s">
        <v>58</v>
      </c>
      <c r="L1105" s="1" t="s">
        <v>756</v>
      </c>
      <c r="M1105" s="1">
        <v>1</v>
      </c>
      <c r="N1105" s="2">
        <v>133.5</v>
      </c>
      <c r="O1105" s="3">
        <v>158</v>
      </c>
      <c r="P1105" s="1">
        <v>2.34</v>
      </c>
      <c r="Q1105" s="1">
        <v>925</v>
      </c>
      <c r="R1105" s="1">
        <v>200000000492</v>
      </c>
      <c r="S1105" s="1">
        <v>50</v>
      </c>
      <c r="T1105" s="1">
        <v>1</v>
      </c>
      <c r="U1105" s="1">
        <v>3</v>
      </c>
      <c r="V1105">
        <f t="shared" si="17"/>
        <v>158</v>
      </c>
    </row>
    <row r="1106" spans="1:22" ht="13" x14ac:dyDescent="0.15">
      <c r="A1106" s="4">
        <v>44777</v>
      </c>
      <c r="B1106" s="5">
        <v>0.6431944444444444</v>
      </c>
      <c r="C1106" s="1">
        <v>1739</v>
      </c>
      <c r="D1106" s="1">
        <v>13002606</v>
      </c>
      <c r="E1106" s="1">
        <v>13</v>
      </c>
      <c r="F1106" s="1">
        <v>22589</v>
      </c>
      <c r="G1106" s="1" t="s">
        <v>21</v>
      </c>
      <c r="H1106" s="1">
        <v>18</v>
      </c>
      <c r="I1106" s="1">
        <v>162483</v>
      </c>
      <c r="J1106" s="1" t="s">
        <v>225</v>
      </c>
      <c r="K1106" s="1" t="s">
        <v>51</v>
      </c>
      <c r="L1106" s="1" t="s">
        <v>226</v>
      </c>
      <c r="M1106" s="1">
        <v>1</v>
      </c>
      <c r="N1106" s="2">
        <v>8.08</v>
      </c>
      <c r="O1106" s="3">
        <v>14</v>
      </c>
      <c r="P1106" s="1">
        <v>0</v>
      </c>
      <c r="Q1106" s="1" t="s">
        <v>25</v>
      </c>
      <c r="R1106" s="1" t="s">
        <v>25</v>
      </c>
      <c r="S1106" s="1">
        <v>50</v>
      </c>
      <c r="T1106" s="1">
        <v>1</v>
      </c>
      <c r="U1106" s="1">
        <v>1</v>
      </c>
      <c r="V1106">
        <f t="shared" si="17"/>
        <v>14</v>
      </c>
    </row>
    <row r="1107" spans="1:22" ht="13" x14ac:dyDescent="0.15">
      <c r="A1107" s="4">
        <v>44777</v>
      </c>
      <c r="B1107" s="5">
        <v>0.65030092592592592</v>
      </c>
      <c r="C1107" s="1">
        <v>1740</v>
      </c>
      <c r="D1107" s="1">
        <v>13002606</v>
      </c>
      <c r="E1107" s="1">
        <v>13</v>
      </c>
      <c r="F1107" s="1">
        <v>22589</v>
      </c>
      <c r="G1107" s="1" t="s">
        <v>21</v>
      </c>
      <c r="H1107" s="1">
        <v>15</v>
      </c>
      <c r="I1107" s="1">
        <v>385754</v>
      </c>
      <c r="J1107" s="1" t="s">
        <v>1035</v>
      </c>
      <c r="K1107" s="1" t="s">
        <v>34</v>
      </c>
      <c r="L1107" s="1" t="s">
        <v>37</v>
      </c>
      <c r="M1107" s="1">
        <v>1</v>
      </c>
      <c r="N1107" s="2">
        <v>261.88</v>
      </c>
      <c r="O1107" s="3">
        <v>354</v>
      </c>
      <c r="P1107" s="1">
        <v>24</v>
      </c>
      <c r="Q1107" s="1">
        <v>9</v>
      </c>
      <c r="R1107" s="1">
        <v>200010026890</v>
      </c>
      <c r="S1107" s="1">
        <v>50</v>
      </c>
      <c r="T1107" s="1">
        <v>1</v>
      </c>
      <c r="U1107" s="1">
        <v>1</v>
      </c>
      <c r="V1107">
        <f t="shared" si="17"/>
        <v>354</v>
      </c>
    </row>
    <row r="1108" spans="1:22" ht="13" x14ac:dyDescent="0.15">
      <c r="A1108" s="4">
        <v>44777</v>
      </c>
      <c r="B1108" s="5">
        <v>0.66061342592592598</v>
      </c>
      <c r="C1108" s="1">
        <v>1742</v>
      </c>
      <c r="D1108" s="1">
        <v>13002606</v>
      </c>
      <c r="E1108" s="1">
        <v>13</v>
      </c>
      <c r="F1108" s="1">
        <v>22589</v>
      </c>
      <c r="G1108" s="1" t="s">
        <v>21</v>
      </c>
      <c r="H1108" s="1">
        <v>18</v>
      </c>
      <c r="I1108" s="1">
        <v>187304</v>
      </c>
      <c r="J1108" s="1" t="s">
        <v>445</v>
      </c>
      <c r="K1108" s="1" t="s">
        <v>110</v>
      </c>
      <c r="L1108" s="1" t="s">
        <v>159</v>
      </c>
      <c r="M1108" s="1">
        <v>1</v>
      </c>
      <c r="N1108" s="2">
        <v>152.46</v>
      </c>
      <c r="O1108" s="3">
        <v>181</v>
      </c>
      <c r="P1108" s="1">
        <v>0</v>
      </c>
      <c r="Q1108" s="1" t="s">
        <v>25</v>
      </c>
      <c r="R1108" s="1" t="s">
        <v>25</v>
      </c>
      <c r="S1108" s="1">
        <v>50</v>
      </c>
      <c r="T1108" s="1">
        <v>1</v>
      </c>
      <c r="U1108" s="1">
        <v>1</v>
      </c>
      <c r="V1108">
        <f t="shared" si="17"/>
        <v>181</v>
      </c>
    </row>
    <row r="1109" spans="1:22" ht="13" x14ac:dyDescent="0.15">
      <c r="A1109" s="4">
        <v>44777</v>
      </c>
      <c r="B1109" s="5">
        <v>0.66061342592592598</v>
      </c>
      <c r="C1109" s="1">
        <v>1742</v>
      </c>
      <c r="D1109" s="1">
        <v>13002606</v>
      </c>
      <c r="E1109" s="1">
        <v>13</v>
      </c>
      <c r="F1109" s="1">
        <v>22589</v>
      </c>
      <c r="G1109" s="1" t="s">
        <v>21</v>
      </c>
      <c r="H1109" s="1">
        <v>18</v>
      </c>
      <c r="I1109" s="1">
        <v>340962</v>
      </c>
      <c r="J1109" s="1" t="s">
        <v>1036</v>
      </c>
      <c r="K1109" s="1" t="s">
        <v>23</v>
      </c>
      <c r="L1109" s="1" t="s">
        <v>276</v>
      </c>
      <c r="M1109" s="1">
        <v>1</v>
      </c>
      <c r="N1109" s="2">
        <v>884</v>
      </c>
      <c r="O1109" s="3">
        <v>1141</v>
      </c>
      <c r="P1109" s="1">
        <v>0</v>
      </c>
      <c r="Q1109" s="1" t="s">
        <v>25</v>
      </c>
      <c r="R1109" s="1" t="s">
        <v>25</v>
      </c>
      <c r="S1109" s="1">
        <v>50</v>
      </c>
      <c r="T1109" s="1">
        <v>1</v>
      </c>
      <c r="U1109" s="1">
        <v>2</v>
      </c>
      <c r="V1109">
        <f t="shared" si="17"/>
        <v>1141</v>
      </c>
    </row>
    <row r="1110" spans="1:22" ht="13" x14ac:dyDescent="0.15">
      <c r="A1110" s="4">
        <v>44777</v>
      </c>
      <c r="B1110" s="5">
        <v>0.67237268518518523</v>
      </c>
      <c r="C1110" s="1">
        <v>1743</v>
      </c>
      <c r="D1110" s="1">
        <v>13002606</v>
      </c>
      <c r="E1110" s="1">
        <v>13</v>
      </c>
      <c r="F1110" s="1">
        <v>22589</v>
      </c>
      <c r="G1110" s="1" t="s">
        <v>21</v>
      </c>
      <c r="H1110" s="1">
        <v>18</v>
      </c>
      <c r="I1110" s="1">
        <v>298762</v>
      </c>
      <c r="J1110" s="1" t="s">
        <v>235</v>
      </c>
      <c r="K1110" s="1" t="s">
        <v>45</v>
      </c>
      <c r="L1110" s="1" t="s">
        <v>236</v>
      </c>
      <c r="M1110" s="1">
        <v>1</v>
      </c>
      <c r="N1110" s="2">
        <v>105.68</v>
      </c>
      <c r="O1110" s="3">
        <v>145</v>
      </c>
      <c r="P1110" s="1">
        <v>10</v>
      </c>
      <c r="Q1110" s="1">
        <v>9</v>
      </c>
      <c r="R1110" s="1">
        <v>200010021345</v>
      </c>
      <c r="S1110" s="1">
        <v>50</v>
      </c>
      <c r="T1110" s="1">
        <v>1</v>
      </c>
      <c r="U1110" s="1">
        <v>5</v>
      </c>
      <c r="V1110">
        <f t="shared" si="17"/>
        <v>145</v>
      </c>
    </row>
    <row r="1111" spans="1:22" ht="13" x14ac:dyDescent="0.15">
      <c r="A1111" s="4">
        <v>44777</v>
      </c>
      <c r="B1111" s="5">
        <v>0.67237268518518523</v>
      </c>
      <c r="C1111" s="1">
        <v>1743</v>
      </c>
      <c r="D1111" s="1">
        <v>13002606</v>
      </c>
      <c r="E1111" s="1">
        <v>13</v>
      </c>
      <c r="F1111" s="1">
        <v>22589</v>
      </c>
      <c r="G1111" s="1" t="s">
        <v>21</v>
      </c>
      <c r="H1111" s="1">
        <v>18</v>
      </c>
      <c r="I1111" s="1">
        <v>46046</v>
      </c>
      <c r="J1111" s="1" t="s">
        <v>149</v>
      </c>
      <c r="K1111" s="1" t="s">
        <v>48</v>
      </c>
      <c r="L1111" s="1" t="s">
        <v>118</v>
      </c>
      <c r="M1111" s="1">
        <v>1</v>
      </c>
      <c r="N1111" s="2">
        <v>71.849999999999994</v>
      </c>
      <c r="O1111" s="3">
        <v>103</v>
      </c>
      <c r="P1111" s="1">
        <v>7</v>
      </c>
      <c r="Q1111" s="1">
        <v>9</v>
      </c>
      <c r="R1111" s="1">
        <v>200010021345</v>
      </c>
      <c r="S1111" s="1">
        <v>50</v>
      </c>
      <c r="T1111" s="1">
        <v>1</v>
      </c>
      <c r="U1111" s="1">
        <v>4</v>
      </c>
      <c r="V1111">
        <f t="shared" si="17"/>
        <v>103</v>
      </c>
    </row>
    <row r="1112" spans="1:22" ht="13" x14ac:dyDescent="0.15">
      <c r="A1112" s="4">
        <v>44777</v>
      </c>
      <c r="B1112" s="5">
        <v>0.67237268518518523</v>
      </c>
      <c r="C1112" s="1">
        <v>1743</v>
      </c>
      <c r="D1112" s="1">
        <v>13002606</v>
      </c>
      <c r="E1112" s="1">
        <v>13</v>
      </c>
      <c r="F1112" s="1">
        <v>22589</v>
      </c>
      <c r="G1112" s="1" t="s">
        <v>21</v>
      </c>
      <c r="H1112" s="1">
        <v>18</v>
      </c>
      <c r="I1112" s="1">
        <v>1504331</v>
      </c>
      <c r="J1112" s="1" t="s">
        <v>143</v>
      </c>
      <c r="K1112" s="1" t="s">
        <v>144</v>
      </c>
      <c r="L1112" s="1" t="s">
        <v>118</v>
      </c>
      <c r="M1112" s="1">
        <v>1</v>
      </c>
      <c r="N1112" s="2">
        <v>0.01</v>
      </c>
      <c r="O1112" s="3">
        <v>0.01</v>
      </c>
      <c r="P1112" s="1">
        <v>0</v>
      </c>
      <c r="Q1112" s="1" t="s">
        <v>25</v>
      </c>
      <c r="R1112" s="1" t="s">
        <v>25</v>
      </c>
      <c r="S1112" s="1">
        <v>50</v>
      </c>
      <c r="T1112" s="1">
        <v>1</v>
      </c>
      <c r="U1112" s="1">
        <v>3</v>
      </c>
      <c r="V1112">
        <f t="shared" si="17"/>
        <v>0.01</v>
      </c>
    </row>
    <row r="1113" spans="1:22" ht="13" x14ac:dyDescent="0.15">
      <c r="A1113" s="4">
        <v>44777</v>
      </c>
      <c r="B1113" s="5">
        <v>0.72550925925925924</v>
      </c>
      <c r="C1113" s="1">
        <v>1756</v>
      </c>
      <c r="D1113" s="1">
        <v>13002606</v>
      </c>
      <c r="E1113" s="1">
        <v>13</v>
      </c>
      <c r="F1113" s="1">
        <v>22589</v>
      </c>
      <c r="G1113" s="1" t="s">
        <v>21</v>
      </c>
      <c r="H1113" s="1">
        <v>18</v>
      </c>
      <c r="I1113" s="1">
        <v>1504331</v>
      </c>
      <c r="J1113" s="1" t="s">
        <v>143</v>
      </c>
      <c r="K1113" s="1" t="s">
        <v>144</v>
      </c>
      <c r="L1113" s="1" t="s">
        <v>118</v>
      </c>
      <c r="M1113" s="1">
        <v>1</v>
      </c>
      <c r="N1113" s="2">
        <v>0.01</v>
      </c>
      <c r="O1113" s="3">
        <v>0.01</v>
      </c>
      <c r="P1113" s="1">
        <v>0</v>
      </c>
      <c r="Q1113" s="1" t="s">
        <v>25</v>
      </c>
      <c r="R1113" s="1" t="s">
        <v>25</v>
      </c>
      <c r="S1113" s="1">
        <v>50</v>
      </c>
      <c r="T1113" s="1">
        <v>1</v>
      </c>
      <c r="U1113" s="1">
        <v>1</v>
      </c>
      <c r="V1113">
        <f t="shared" si="17"/>
        <v>0.01</v>
      </c>
    </row>
    <row r="1114" spans="1:22" ht="13" x14ac:dyDescent="0.15">
      <c r="A1114" s="4">
        <v>44777</v>
      </c>
      <c r="B1114" s="5">
        <v>0.6758912037037037</v>
      </c>
      <c r="C1114" s="1">
        <v>1744</v>
      </c>
      <c r="D1114" s="1">
        <v>13002606</v>
      </c>
      <c r="E1114" s="1">
        <v>13</v>
      </c>
      <c r="F1114" s="1">
        <v>22589</v>
      </c>
      <c r="G1114" s="1" t="s">
        <v>21</v>
      </c>
      <c r="H1114" s="1">
        <v>15</v>
      </c>
      <c r="I1114" s="1">
        <v>106412</v>
      </c>
      <c r="J1114" s="1" t="s">
        <v>571</v>
      </c>
      <c r="K1114" s="1" t="s">
        <v>45</v>
      </c>
      <c r="L1114" s="1" t="s">
        <v>572</v>
      </c>
      <c r="M1114" s="1">
        <v>1</v>
      </c>
      <c r="N1114" s="2">
        <v>401.19</v>
      </c>
      <c r="O1114" s="3">
        <v>530</v>
      </c>
      <c r="P1114" s="1">
        <v>0</v>
      </c>
      <c r="Q1114" s="1" t="s">
        <v>25</v>
      </c>
      <c r="R1114" s="1" t="s">
        <v>25</v>
      </c>
      <c r="S1114" s="1">
        <v>50</v>
      </c>
      <c r="T1114" s="1">
        <v>1</v>
      </c>
      <c r="U1114" s="1">
        <v>1</v>
      </c>
      <c r="V1114">
        <f t="shared" si="17"/>
        <v>530</v>
      </c>
    </row>
    <row r="1115" spans="1:22" ht="13" x14ac:dyDescent="0.15">
      <c r="A1115" s="4">
        <v>44777</v>
      </c>
      <c r="B1115" s="5">
        <v>0.6758912037037037</v>
      </c>
      <c r="C1115" s="1">
        <v>1744</v>
      </c>
      <c r="D1115" s="1">
        <v>13002606</v>
      </c>
      <c r="E1115" s="1">
        <v>13</v>
      </c>
      <c r="F1115" s="1">
        <v>22589</v>
      </c>
      <c r="G1115" s="1" t="s">
        <v>21</v>
      </c>
      <c r="H1115" s="1">
        <v>15</v>
      </c>
      <c r="I1115" s="1">
        <v>94783</v>
      </c>
      <c r="J1115" s="1" t="s">
        <v>1037</v>
      </c>
      <c r="K1115" s="1" t="s">
        <v>34</v>
      </c>
      <c r="L1115" s="1" t="s">
        <v>810</v>
      </c>
      <c r="M1115" s="1">
        <v>6.6666669999999997E-2</v>
      </c>
      <c r="N1115" s="2">
        <v>2988.82</v>
      </c>
      <c r="O1115" s="3">
        <v>4095</v>
      </c>
      <c r="P1115" s="1">
        <v>0</v>
      </c>
      <c r="Q1115" s="1" t="s">
        <v>25</v>
      </c>
      <c r="R1115" s="1" t="s">
        <v>25</v>
      </c>
      <c r="S1115" s="1">
        <v>50</v>
      </c>
      <c r="T1115" s="1">
        <v>1</v>
      </c>
      <c r="U1115" s="1">
        <v>2</v>
      </c>
      <c r="V1115">
        <f t="shared" si="17"/>
        <v>273.00001364999997</v>
      </c>
    </row>
    <row r="1116" spans="1:22" ht="13" x14ac:dyDescent="0.15">
      <c r="A1116" s="4">
        <v>44777</v>
      </c>
      <c r="B1116" s="5">
        <v>0.67782407407407408</v>
      </c>
      <c r="C1116" s="1">
        <v>1745</v>
      </c>
      <c r="D1116" s="1">
        <v>13002606</v>
      </c>
      <c r="E1116" s="1">
        <v>13</v>
      </c>
      <c r="F1116" s="1">
        <v>22589</v>
      </c>
      <c r="G1116" s="1" t="s">
        <v>21</v>
      </c>
      <c r="H1116" s="1">
        <v>18</v>
      </c>
      <c r="I1116" s="1">
        <v>344242</v>
      </c>
      <c r="J1116" s="1" t="s">
        <v>262</v>
      </c>
      <c r="K1116" s="1" t="s">
        <v>51</v>
      </c>
      <c r="L1116" s="1" t="s">
        <v>222</v>
      </c>
      <c r="M1116" s="1">
        <v>1</v>
      </c>
      <c r="N1116" s="2">
        <v>46.8</v>
      </c>
      <c r="O1116" s="3">
        <v>58</v>
      </c>
      <c r="P1116" s="1">
        <v>2</v>
      </c>
      <c r="Q1116" s="1">
        <v>9</v>
      </c>
      <c r="R1116" s="1">
        <v>200010026839</v>
      </c>
      <c r="S1116" s="1">
        <v>50</v>
      </c>
      <c r="T1116" s="1">
        <v>1</v>
      </c>
      <c r="U1116" s="1">
        <v>1</v>
      </c>
      <c r="V1116">
        <f t="shared" si="17"/>
        <v>58</v>
      </c>
    </row>
    <row r="1117" spans="1:22" ht="13" x14ac:dyDescent="0.15">
      <c r="A1117" s="4">
        <v>44777</v>
      </c>
      <c r="B1117" s="5">
        <v>0.67782407407407408</v>
      </c>
      <c r="C1117" s="1">
        <v>1745</v>
      </c>
      <c r="D1117" s="1">
        <v>13002606</v>
      </c>
      <c r="E1117" s="1">
        <v>13</v>
      </c>
      <c r="F1117" s="1">
        <v>22589</v>
      </c>
      <c r="G1117" s="1" t="s">
        <v>21</v>
      </c>
      <c r="H1117" s="1">
        <v>18</v>
      </c>
      <c r="I1117" s="1">
        <v>344242</v>
      </c>
      <c r="J1117" s="1" t="s">
        <v>262</v>
      </c>
      <c r="K1117" s="1" t="s">
        <v>51</v>
      </c>
      <c r="L1117" s="1" t="s">
        <v>222</v>
      </c>
      <c r="M1117" s="1">
        <v>1</v>
      </c>
      <c r="N1117" s="2">
        <v>44.59</v>
      </c>
      <c r="O1117" s="3">
        <v>55</v>
      </c>
      <c r="P1117" s="1">
        <v>2</v>
      </c>
      <c r="Q1117" s="1">
        <v>9</v>
      </c>
      <c r="R1117" s="1">
        <v>200010026839</v>
      </c>
      <c r="S1117" s="1">
        <v>50</v>
      </c>
      <c r="T1117" s="1">
        <v>1</v>
      </c>
      <c r="U1117" s="1">
        <v>2</v>
      </c>
      <c r="V1117">
        <f t="shared" si="17"/>
        <v>55</v>
      </c>
    </row>
    <row r="1118" spans="1:22" ht="13" x14ac:dyDescent="0.15">
      <c r="A1118" s="4">
        <v>44777</v>
      </c>
      <c r="B1118" s="5">
        <v>0.67782407407407408</v>
      </c>
      <c r="C1118" s="1">
        <v>1745</v>
      </c>
      <c r="D1118" s="1">
        <v>13002606</v>
      </c>
      <c r="E1118" s="1">
        <v>13</v>
      </c>
      <c r="F1118" s="1">
        <v>22589</v>
      </c>
      <c r="G1118" s="1" t="s">
        <v>21</v>
      </c>
      <c r="H1118" s="1">
        <v>18</v>
      </c>
      <c r="I1118" s="1">
        <v>4800</v>
      </c>
      <c r="J1118" s="1" t="s">
        <v>254</v>
      </c>
      <c r="K1118" s="1" t="s">
        <v>51</v>
      </c>
      <c r="L1118" s="1" t="s">
        <v>255</v>
      </c>
      <c r="M1118" s="1">
        <v>1</v>
      </c>
      <c r="N1118" s="2">
        <v>42.05</v>
      </c>
      <c r="O1118" s="3">
        <v>53</v>
      </c>
      <c r="P1118" s="1">
        <v>2</v>
      </c>
      <c r="Q1118" s="1">
        <v>9</v>
      </c>
      <c r="R1118" s="1">
        <v>200010026839</v>
      </c>
      <c r="S1118" s="1">
        <v>50</v>
      </c>
      <c r="T1118" s="1">
        <v>1</v>
      </c>
      <c r="U1118" s="1">
        <v>3</v>
      </c>
      <c r="V1118">
        <f t="shared" si="17"/>
        <v>53</v>
      </c>
    </row>
    <row r="1119" spans="1:22" ht="13" x14ac:dyDescent="0.15">
      <c r="A1119" s="4">
        <v>44777</v>
      </c>
      <c r="B1119" s="5">
        <v>0.67782407407407408</v>
      </c>
      <c r="C1119" s="1">
        <v>1745</v>
      </c>
      <c r="D1119" s="1">
        <v>13002606</v>
      </c>
      <c r="E1119" s="1">
        <v>13</v>
      </c>
      <c r="F1119" s="1">
        <v>22589</v>
      </c>
      <c r="G1119" s="1" t="s">
        <v>21</v>
      </c>
      <c r="H1119" s="1">
        <v>18</v>
      </c>
      <c r="I1119" s="1">
        <v>4800</v>
      </c>
      <c r="J1119" s="1" t="s">
        <v>254</v>
      </c>
      <c r="K1119" s="1" t="s">
        <v>51</v>
      </c>
      <c r="L1119" s="1" t="s">
        <v>255</v>
      </c>
      <c r="M1119" s="1">
        <v>1</v>
      </c>
      <c r="N1119" s="2">
        <v>42.05</v>
      </c>
      <c r="O1119" s="3">
        <v>53</v>
      </c>
      <c r="P1119" s="1">
        <v>2</v>
      </c>
      <c r="Q1119" s="1">
        <v>9</v>
      </c>
      <c r="R1119" s="1">
        <v>200010026839</v>
      </c>
      <c r="S1119" s="1">
        <v>50</v>
      </c>
      <c r="T1119" s="1">
        <v>1</v>
      </c>
      <c r="U1119" s="1">
        <v>4</v>
      </c>
      <c r="V1119">
        <f t="shared" si="17"/>
        <v>53</v>
      </c>
    </row>
    <row r="1120" spans="1:22" ht="13" x14ac:dyDescent="0.15">
      <c r="A1120" s="4">
        <v>44777</v>
      </c>
      <c r="B1120" s="5">
        <v>0.67782407407407408</v>
      </c>
      <c r="C1120" s="1">
        <v>1745</v>
      </c>
      <c r="D1120" s="1">
        <v>13002606</v>
      </c>
      <c r="E1120" s="1">
        <v>13</v>
      </c>
      <c r="F1120" s="1">
        <v>22589</v>
      </c>
      <c r="G1120" s="1" t="s">
        <v>21</v>
      </c>
      <c r="H1120" s="1">
        <v>18</v>
      </c>
      <c r="I1120" s="1">
        <v>4800</v>
      </c>
      <c r="J1120" s="1" t="s">
        <v>254</v>
      </c>
      <c r="K1120" s="1" t="s">
        <v>51</v>
      </c>
      <c r="L1120" s="1" t="s">
        <v>255</v>
      </c>
      <c r="M1120" s="1">
        <v>1</v>
      </c>
      <c r="N1120" s="2">
        <v>42.05</v>
      </c>
      <c r="O1120" s="3">
        <v>53</v>
      </c>
      <c r="P1120" s="1">
        <v>2</v>
      </c>
      <c r="Q1120" s="1">
        <v>9</v>
      </c>
      <c r="R1120" s="1">
        <v>200010026839</v>
      </c>
      <c r="S1120" s="1">
        <v>50</v>
      </c>
      <c r="T1120" s="1">
        <v>1</v>
      </c>
      <c r="U1120" s="1">
        <v>5</v>
      </c>
      <c r="V1120">
        <f t="shared" si="17"/>
        <v>53</v>
      </c>
    </row>
    <row r="1121" spans="1:22" ht="13" x14ac:dyDescent="0.15">
      <c r="A1121" s="4">
        <v>44777</v>
      </c>
      <c r="B1121" s="5">
        <v>0.67782407407407408</v>
      </c>
      <c r="C1121" s="1">
        <v>1745</v>
      </c>
      <c r="D1121" s="1">
        <v>13002606</v>
      </c>
      <c r="E1121" s="1">
        <v>13</v>
      </c>
      <c r="F1121" s="1">
        <v>22589</v>
      </c>
      <c r="G1121" s="1" t="s">
        <v>21</v>
      </c>
      <c r="H1121" s="1">
        <v>18</v>
      </c>
      <c r="I1121" s="1">
        <v>320482</v>
      </c>
      <c r="J1121" s="1" t="s">
        <v>1038</v>
      </c>
      <c r="K1121" s="1" t="s">
        <v>34</v>
      </c>
      <c r="L1121" s="1" t="s">
        <v>1039</v>
      </c>
      <c r="M1121" s="1">
        <v>1</v>
      </c>
      <c r="N1121" s="2">
        <v>42.1</v>
      </c>
      <c r="O1121" s="3">
        <v>51</v>
      </c>
      <c r="P1121" s="1">
        <v>2</v>
      </c>
      <c r="Q1121" s="1">
        <v>9</v>
      </c>
      <c r="R1121" s="1">
        <v>200010026839</v>
      </c>
      <c r="S1121" s="1">
        <v>50</v>
      </c>
      <c r="T1121" s="1">
        <v>1</v>
      </c>
      <c r="U1121" s="1">
        <v>6</v>
      </c>
      <c r="V1121">
        <f t="shared" si="17"/>
        <v>51</v>
      </c>
    </row>
    <row r="1122" spans="1:22" ht="13" x14ac:dyDescent="0.15">
      <c r="A1122" s="4">
        <v>44777</v>
      </c>
      <c r="B1122" s="5">
        <v>0.67782407407407408</v>
      </c>
      <c r="C1122" s="1">
        <v>1745</v>
      </c>
      <c r="D1122" s="1">
        <v>13002606</v>
      </c>
      <c r="E1122" s="1">
        <v>13</v>
      </c>
      <c r="F1122" s="1">
        <v>22589</v>
      </c>
      <c r="G1122" s="1" t="s">
        <v>21</v>
      </c>
      <c r="H1122" s="1">
        <v>18</v>
      </c>
      <c r="I1122" s="1">
        <v>10015</v>
      </c>
      <c r="J1122" s="1" t="s">
        <v>1040</v>
      </c>
      <c r="K1122" s="1" t="s">
        <v>51</v>
      </c>
      <c r="L1122" s="1" t="s">
        <v>32</v>
      </c>
      <c r="M1122" s="1">
        <v>1</v>
      </c>
      <c r="N1122" s="2">
        <v>117.4</v>
      </c>
      <c r="O1122" s="3">
        <v>142</v>
      </c>
      <c r="P1122" s="1">
        <v>7</v>
      </c>
      <c r="Q1122" s="1">
        <v>9</v>
      </c>
      <c r="R1122" s="1">
        <v>200010026839</v>
      </c>
      <c r="S1122" s="1">
        <v>50</v>
      </c>
      <c r="T1122" s="1">
        <v>1</v>
      </c>
      <c r="U1122" s="1">
        <v>7</v>
      </c>
      <c r="V1122">
        <f t="shared" si="17"/>
        <v>142</v>
      </c>
    </row>
    <row r="1123" spans="1:22" ht="13" x14ac:dyDescent="0.15">
      <c r="A1123" s="4">
        <v>44777</v>
      </c>
      <c r="B1123" s="5">
        <v>0.68287037037037035</v>
      </c>
      <c r="C1123" s="1">
        <v>1746</v>
      </c>
      <c r="D1123" s="1">
        <v>13002606</v>
      </c>
      <c r="E1123" s="1">
        <v>13</v>
      </c>
      <c r="F1123" s="1">
        <v>22589</v>
      </c>
      <c r="G1123" s="1" t="s">
        <v>21</v>
      </c>
      <c r="H1123" s="1">
        <v>18</v>
      </c>
      <c r="I1123" s="1">
        <v>195563</v>
      </c>
      <c r="J1123" s="1" t="s">
        <v>1041</v>
      </c>
      <c r="K1123" s="1" t="s">
        <v>58</v>
      </c>
      <c r="L1123" s="1" t="s">
        <v>922</v>
      </c>
      <c r="M1123" s="1">
        <v>1</v>
      </c>
      <c r="N1123" s="2">
        <v>807.75</v>
      </c>
      <c r="O1123" s="3">
        <v>1147</v>
      </c>
      <c r="P1123" s="1">
        <v>114</v>
      </c>
      <c r="Q1123" s="1">
        <v>9</v>
      </c>
      <c r="R1123" s="1">
        <v>200010016107</v>
      </c>
      <c r="S1123" s="1">
        <v>50</v>
      </c>
      <c r="T1123" s="1">
        <v>1</v>
      </c>
      <c r="U1123" s="1">
        <v>1</v>
      </c>
      <c r="V1123">
        <f t="shared" si="17"/>
        <v>1147</v>
      </c>
    </row>
    <row r="1124" spans="1:22" ht="13" x14ac:dyDescent="0.15">
      <c r="A1124" s="4">
        <v>44777</v>
      </c>
      <c r="B1124" s="5">
        <v>0.68548611111111113</v>
      </c>
      <c r="C1124" s="1">
        <v>1748</v>
      </c>
      <c r="D1124" s="1">
        <v>13002606</v>
      </c>
      <c r="E1124" s="1">
        <v>13</v>
      </c>
      <c r="F1124" s="1">
        <v>22589</v>
      </c>
      <c r="G1124" s="1" t="s">
        <v>21</v>
      </c>
      <c r="H1124" s="1">
        <v>18</v>
      </c>
      <c r="I1124" s="1">
        <v>20046</v>
      </c>
      <c r="J1124" s="1" t="s">
        <v>1042</v>
      </c>
      <c r="K1124" s="1" t="s">
        <v>34</v>
      </c>
      <c r="L1124" s="1" t="s">
        <v>1043</v>
      </c>
      <c r="M1124" s="1">
        <v>1</v>
      </c>
      <c r="N1124" s="2">
        <v>396.52</v>
      </c>
      <c r="O1124" s="3">
        <v>524</v>
      </c>
      <c r="P1124" s="1">
        <v>0</v>
      </c>
      <c r="Q1124" s="1" t="s">
        <v>25</v>
      </c>
      <c r="R1124" s="1" t="s">
        <v>25</v>
      </c>
      <c r="S1124" s="1">
        <v>50</v>
      </c>
      <c r="T1124" s="1">
        <v>1</v>
      </c>
      <c r="U1124" s="1">
        <v>1</v>
      </c>
      <c r="V1124">
        <f t="shared" si="17"/>
        <v>524</v>
      </c>
    </row>
    <row r="1125" spans="1:22" ht="13" x14ac:dyDescent="0.15">
      <c r="A1125" s="4">
        <v>44777</v>
      </c>
      <c r="B1125" s="5">
        <v>0.6865162037037037</v>
      </c>
      <c r="C1125" s="1">
        <v>1749</v>
      </c>
      <c r="D1125" s="1">
        <v>13002606</v>
      </c>
      <c r="E1125" s="1">
        <v>13</v>
      </c>
      <c r="F1125" s="1">
        <v>22589</v>
      </c>
      <c r="G1125" s="1" t="s">
        <v>21</v>
      </c>
      <c r="H1125" s="1">
        <v>18</v>
      </c>
      <c r="I1125" s="1">
        <v>310794</v>
      </c>
      <c r="J1125" s="1" t="s">
        <v>1044</v>
      </c>
      <c r="K1125" s="1" t="s">
        <v>23</v>
      </c>
      <c r="L1125" s="1" t="s">
        <v>65</v>
      </c>
      <c r="M1125" s="1">
        <v>1</v>
      </c>
      <c r="N1125" s="2">
        <v>108.99</v>
      </c>
      <c r="O1125" s="3">
        <v>150</v>
      </c>
      <c r="P1125" s="1">
        <v>0</v>
      </c>
      <c r="Q1125" s="1" t="s">
        <v>25</v>
      </c>
      <c r="R1125" s="1" t="s">
        <v>25</v>
      </c>
      <c r="S1125" s="1">
        <v>50</v>
      </c>
      <c r="T1125" s="1">
        <v>1</v>
      </c>
      <c r="U1125" s="1">
        <v>1</v>
      </c>
      <c r="V1125">
        <f t="shared" si="17"/>
        <v>150</v>
      </c>
    </row>
    <row r="1126" spans="1:22" ht="13" x14ac:dyDescent="0.15">
      <c r="A1126" s="4">
        <v>44777</v>
      </c>
      <c r="B1126" s="5">
        <v>0.68923611111111116</v>
      </c>
      <c r="C1126" s="1">
        <v>1750</v>
      </c>
      <c r="D1126" s="1">
        <v>13002606</v>
      </c>
      <c r="E1126" s="1">
        <v>13</v>
      </c>
      <c r="F1126" s="1">
        <v>22589</v>
      </c>
      <c r="G1126" s="1" t="s">
        <v>21</v>
      </c>
      <c r="H1126" s="1">
        <v>18</v>
      </c>
      <c r="I1126" s="1">
        <v>106413</v>
      </c>
      <c r="J1126" s="1" t="s">
        <v>1045</v>
      </c>
      <c r="K1126" s="1" t="s">
        <v>117</v>
      </c>
      <c r="L1126" s="1" t="s">
        <v>572</v>
      </c>
      <c r="M1126" s="1">
        <v>1</v>
      </c>
      <c r="N1126" s="2">
        <v>478.26</v>
      </c>
      <c r="O1126" s="3">
        <v>632</v>
      </c>
      <c r="P1126" s="1">
        <v>0</v>
      </c>
      <c r="Q1126" s="1" t="s">
        <v>25</v>
      </c>
      <c r="R1126" s="1" t="s">
        <v>25</v>
      </c>
      <c r="S1126" s="1">
        <v>50</v>
      </c>
      <c r="T1126" s="1">
        <v>1</v>
      </c>
      <c r="U1126" s="1">
        <v>3</v>
      </c>
      <c r="V1126">
        <f t="shared" si="17"/>
        <v>632</v>
      </c>
    </row>
    <row r="1127" spans="1:22" ht="13" x14ac:dyDescent="0.15">
      <c r="A1127" s="4">
        <v>44777</v>
      </c>
      <c r="B1127" s="5">
        <v>0.68923611111111116</v>
      </c>
      <c r="C1127" s="1">
        <v>1750</v>
      </c>
      <c r="D1127" s="1">
        <v>13002606</v>
      </c>
      <c r="E1127" s="1">
        <v>13</v>
      </c>
      <c r="F1127" s="1">
        <v>22589</v>
      </c>
      <c r="G1127" s="1" t="s">
        <v>21</v>
      </c>
      <c r="H1127" s="1">
        <v>18</v>
      </c>
      <c r="I1127" s="1">
        <v>81990</v>
      </c>
      <c r="J1127" s="1" t="s">
        <v>1046</v>
      </c>
      <c r="K1127" s="1" t="s">
        <v>23</v>
      </c>
      <c r="L1127" s="1" t="s">
        <v>269</v>
      </c>
      <c r="M1127" s="1">
        <v>10</v>
      </c>
      <c r="N1127" s="2">
        <v>5.27</v>
      </c>
      <c r="O1127" s="3">
        <v>9</v>
      </c>
      <c r="P1127" s="1">
        <v>0</v>
      </c>
      <c r="Q1127" s="1" t="s">
        <v>25</v>
      </c>
      <c r="R1127" s="1" t="s">
        <v>25</v>
      </c>
      <c r="S1127" s="1">
        <v>50</v>
      </c>
      <c r="T1127" s="1">
        <v>1</v>
      </c>
      <c r="U1127" s="1">
        <v>1</v>
      </c>
      <c r="V1127">
        <f t="shared" si="17"/>
        <v>90</v>
      </c>
    </row>
    <row r="1128" spans="1:22" ht="13" x14ac:dyDescent="0.15">
      <c r="A1128" s="4">
        <v>44777</v>
      </c>
      <c r="B1128" s="5">
        <v>0.68923611111111116</v>
      </c>
      <c r="C1128" s="1">
        <v>1750</v>
      </c>
      <c r="D1128" s="1">
        <v>13002606</v>
      </c>
      <c r="E1128" s="1">
        <v>13</v>
      </c>
      <c r="F1128" s="1">
        <v>22589</v>
      </c>
      <c r="G1128" s="1" t="s">
        <v>21</v>
      </c>
      <c r="H1128" s="1">
        <v>18</v>
      </c>
      <c r="I1128" s="1">
        <v>1504015</v>
      </c>
      <c r="J1128" s="1" t="s">
        <v>94</v>
      </c>
      <c r="K1128" s="1" t="s">
        <v>95</v>
      </c>
      <c r="L1128" s="1" t="s">
        <v>269</v>
      </c>
      <c r="M1128" s="1">
        <v>1</v>
      </c>
      <c r="N1128" s="2">
        <v>1.1499999999999999</v>
      </c>
      <c r="O1128" s="3">
        <v>2</v>
      </c>
      <c r="P1128" s="1">
        <v>0</v>
      </c>
      <c r="Q1128" s="1" t="s">
        <v>25</v>
      </c>
      <c r="R1128" s="1" t="s">
        <v>25</v>
      </c>
      <c r="S1128" s="1">
        <v>50</v>
      </c>
      <c r="T1128" s="1">
        <v>1</v>
      </c>
      <c r="U1128" s="1">
        <v>2</v>
      </c>
      <c r="V1128">
        <f t="shared" si="17"/>
        <v>2</v>
      </c>
    </row>
    <row r="1129" spans="1:22" ht="13" x14ac:dyDescent="0.15">
      <c r="A1129" s="4">
        <v>44777</v>
      </c>
      <c r="B1129" s="5">
        <v>0.78432870370370367</v>
      </c>
      <c r="C1129" s="1">
        <v>1770</v>
      </c>
      <c r="D1129" s="1">
        <v>13002606</v>
      </c>
      <c r="E1129" s="1">
        <v>13</v>
      </c>
      <c r="F1129" s="1">
        <v>22589</v>
      </c>
      <c r="G1129" s="1" t="s">
        <v>21</v>
      </c>
      <c r="H1129" s="1">
        <v>15</v>
      </c>
      <c r="I1129" s="1">
        <v>1504015</v>
      </c>
      <c r="J1129" s="1" t="s">
        <v>94</v>
      </c>
      <c r="K1129" s="1" t="s">
        <v>95</v>
      </c>
      <c r="L1129" s="1" t="s">
        <v>269</v>
      </c>
      <c r="M1129" s="1">
        <v>1</v>
      </c>
      <c r="N1129" s="2">
        <v>1.1499999999999999</v>
      </c>
      <c r="O1129" s="3">
        <v>2</v>
      </c>
      <c r="P1129" s="1">
        <v>0</v>
      </c>
      <c r="Q1129" s="1" t="s">
        <v>25</v>
      </c>
      <c r="R1129" s="1" t="s">
        <v>25</v>
      </c>
      <c r="S1129" s="1">
        <v>50</v>
      </c>
      <c r="T1129" s="1">
        <v>1</v>
      </c>
      <c r="U1129" s="1">
        <v>2</v>
      </c>
      <c r="V1129">
        <f t="shared" si="17"/>
        <v>2</v>
      </c>
    </row>
    <row r="1130" spans="1:22" ht="13" x14ac:dyDescent="0.15">
      <c r="A1130" s="4">
        <v>44777</v>
      </c>
      <c r="B1130" s="5">
        <v>0.79959490740740746</v>
      </c>
      <c r="C1130" s="1">
        <v>1774</v>
      </c>
      <c r="D1130" s="1">
        <v>13002606</v>
      </c>
      <c r="E1130" s="1">
        <v>13</v>
      </c>
      <c r="F1130" s="1">
        <v>22589</v>
      </c>
      <c r="G1130" s="1" t="s">
        <v>21</v>
      </c>
      <c r="H1130" s="1">
        <v>18</v>
      </c>
      <c r="I1130" s="1">
        <v>1504015</v>
      </c>
      <c r="J1130" s="1" t="s">
        <v>94</v>
      </c>
      <c r="K1130" s="1" t="s">
        <v>95</v>
      </c>
      <c r="L1130" s="1" t="s">
        <v>269</v>
      </c>
      <c r="M1130" s="1">
        <v>1</v>
      </c>
      <c r="N1130" s="2">
        <v>1.1499999999999999</v>
      </c>
      <c r="O1130" s="3">
        <v>2</v>
      </c>
      <c r="P1130" s="1">
        <v>0</v>
      </c>
      <c r="Q1130" s="1" t="s">
        <v>25</v>
      </c>
      <c r="R1130" s="1" t="s">
        <v>25</v>
      </c>
      <c r="S1130" s="1">
        <v>50</v>
      </c>
      <c r="T1130" s="1">
        <v>1</v>
      </c>
      <c r="U1130" s="1">
        <v>4</v>
      </c>
      <c r="V1130">
        <f t="shared" si="17"/>
        <v>2</v>
      </c>
    </row>
    <row r="1131" spans="1:22" ht="13" x14ac:dyDescent="0.15">
      <c r="A1131" s="4">
        <v>44777</v>
      </c>
      <c r="B1131" s="5">
        <v>0.69369212962962967</v>
      </c>
      <c r="C1131" s="1">
        <v>1751</v>
      </c>
      <c r="D1131" s="1">
        <v>13002606</v>
      </c>
      <c r="E1131" s="1">
        <v>13</v>
      </c>
      <c r="F1131" s="1">
        <v>22589</v>
      </c>
      <c r="G1131" s="1" t="s">
        <v>21</v>
      </c>
      <c r="H1131" s="1">
        <v>15</v>
      </c>
      <c r="I1131" s="1">
        <v>63037</v>
      </c>
      <c r="J1131" s="1" t="s">
        <v>1047</v>
      </c>
      <c r="K1131" s="1" t="s">
        <v>45</v>
      </c>
      <c r="L1131" s="1" t="s">
        <v>39</v>
      </c>
      <c r="M1131" s="1">
        <v>1</v>
      </c>
      <c r="N1131" s="2">
        <v>80.03</v>
      </c>
      <c r="O1131" s="3">
        <v>103</v>
      </c>
      <c r="P1131" s="1">
        <v>5</v>
      </c>
      <c r="Q1131" s="1">
        <v>9</v>
      </c>
      <c r="R1131" s="1">
        <v>200010017973</v>
      </c>
      <c r="S1131" s="1">
        <v>50</v>
      </c>
      <c r="T1131" s="1">
        <v>1</v>
      </c>
      <c r="U1131" s="1">
        <v>3</v>
      </c>
      <c r="V1131">
        <f t="shared" si="17"/>
        <v>103</v>
      </c>
    </row>
    <row r="1132" spans="1:22" ht="13" x14ac:dyDescent="0.15">
      <c r="A1132" s="4">
        <v>44777</v>
      </c>
      <c r="B1132" s="5">
        <v>0.69369212962962967</v>
      </c>
      <c r="C1132" s="1">
        <v>1751</v>
      </c>
      <c r="D1132" s="1">
        <v>13002606</v>
      </c>
      <c r="E1132" s="1">
        <v>13</v>
      </c>
      <c r="F1132" s="1">
        <v>22589</v>
      </c>
      <c r="G1132" s="1" t="s">
        <v>21</v>
      </c>
      <c r="H1132" s="1">
        <v>15</v>
      </c>
      <c r="I1132" s="1">
        <v>170308</v>
      </c>
      <c r="J1132" s="1" t="s">
        <v>944</v>
      </c>
      <c r="K1132" s="1" t="s">
        <v>23</v>
      </c>
      <c r="L1132" s="1" t="s">
        <v>159</v>
      </c>
      <c r="M1132" s="1">
        <v>1</v>
      </c>
      <c r="N1132" s="2">
        <v>79.2</v>
      </c>
      <c r="O1132" s="3">
        <v>97</v>
      </c>
      <c r="P1132" s="1">
        <v>4</v>
      </c>
      <c r="Q1132" s="1">
        <v>9</v>
      </c>
      <c r="R1132" s="1">
        <v>200010017973</v>
      </c>
      <c r="S1132" s="1">
        <v>50</v>
      </c>
      <c r="T1132" s="1">
        <v>1</v>
      </c>
      <c r="U1132" s="1">
        <v>2</v>
      </c>
      <c r="V1132">
        <f t="shared" si="17"/>
        <v>97</v>
      </c>
    </row>
    <row r="1133" spans="1:22" ht="13" x14ac:dyDescent="0.15">
      <c r="A1133" s="4">
        <v>44777</v>
      </c>
      <c r="B1133" s="5">
        <v>0.69369212962962967</v>
      </c>
      <c r="C1133" s="1">
        <v>1751</v>
      </c>
      <c r="D1133" s="1">
        <v>13002606</v>
      </c>
      <c r="E1133" s="1">
        <v>13</v>
      </c>
      <c r="F1133" s="1">
        <v>22589</v>
      </c>
      <c r="G1133" s="1" t="s">
        <v>21</v>
      </c>
      <c r="H1133" s="1">
        <v>15</v>
      </c>
      <c r="I1133" s="1">
        <v>36734</v>
      </c>
      <c r="J1133" s="1" t="s">
        <v>1048</v>
      </c>
      <c r="K1133" s="1" t="s">
        <v>51</v>
      </c>
      <c r="L1133" s="1" t="s">
        <v>415</v>
      </c>
      <c r="M1133" s="1">
        <v>1</v>
      </c>
      <c r="N1133" s="2">
        <v>18.39</v>
      </c>
      <c r="O1133" s="3">
        <v>23</v>
      </c>
      <c r="P1133" s="1">
        <v>1</v>
      </c>
      <c r="Q1133" s="1">
        <v>9</v>
      </c>
      <c r="R1133" s="1">
        <v>200010017973</v>
      </c>
      <c r="S1133" s="1">
        <v>50</v>
      </c>
      <c r="T1133" s="1">
        <v>1</v>
      </c>
      <c r="U1133" s="1">
        <v>1</v>
      </c>
      <c r="V1133">
        <f t="shared" si="17"/>
        <v>23</v>
      </c>
    </row>
    <row r="1134" spans="1:22" ht="13" x14ac:dyDescent="0.15">
      <c r="A1134" s="4">
        <v>44777</v>
      </c>
      <c r="B1134" s="5">
        <v>0.69369212962962967</v>
      </c>
      <c r="C1134" s="1">
        <v>1751</v>
      </c>
      <c r="D1134" s="1">
        <v>13002606</v>
      </c>
      <c r="E1134" s="1">
        <v>13</v>
      </c>
      <c r="F1134" s="1">
        <v>22589</v>
      </c>
      <c r="G1134" s="1" t="s">
        <v>21</v>
      </c>
      <c r="H1134" s="1">
        <v>15</v>
      </c>
      <c r="I1134" s="1">
        <v>9591</v>
      </c>
      <c r="J1134" s="1" t="s">
        <v>1049</v>
      </c>
      <c r="K1134" s="1" t="s">
        <v>48</v>
      </c>
      <c r="L1134" s="1" t="s">
        <v>895</v>
      </c>
      <c r="M1134" s="1">
        <v>1</v>
      </c>
      <c r="N1134" s="2">
        <v>168.92</v>
      </c>
      <c r="O1134" s="3">
        <v>200</v>
      </c>
      <c r="P1134" s="1">
        <v>10</v>
      </c>
      <c r="Q1134" s="1">
        <v>9</v>
      </c>
      <c r="R1134" s="1">
        <v>200010017973</v>
      </c>
      <c r="S1134" s="1">
        <v>50</v>
      </c>
      <c r="T1134" s="1">
        <v>1</v>
      </c>
      <c r="U1134" s="1">
        <v>4</v>
      </c>
      <c r="V1134">
        <f t="shared" si="17"/>
        <v>200</v>
      </c>
    </row>
    <row r="1135" spans="1:22" ht="13" x14ac:dyDescent="0.15">
      <c r="A1135" s="4">
        <v>44777</v>
      </c>
      <c r="B1135" s="5">
        <v>0.69369212962962967</v>
      </c>
      <c r="C1135" s="1">
        <v>1751</v>
      </c>
      <c r="D1135" s="1">
        <v>13002606</v>
      </c>
      <c r="E1135" s="1">
        <v>13</v>
      </c>
      <c r="F1135" s="1">
        <v>22589</v>
      </c>
      <c r="G1135" s="1" t="s">
        <v>21</v>
      </c>
      <c r="H1135" s="1">
        <v>15</v>
      </c>
      <c r="I1135" s="1">
        <v>9422</v>
      </c>
      <c r="J1135" s="1" t="s">
        <v>1050</v>
      </c>
      <c r="K1135" s="1" t="s">
        <v>23</v>
      </c>
      <c r="L1135" s="1" t="s">
        <v>214</v>
      </c>
      <c r="M1135" s="1">
        <v>1</v>
      </c>
      <c r="N1135" s="2">
        <v>332.03</v>
      </c>
      <c r="O1135" s="3">
        <v>439</v>
      </c>
      <c r="P1135" s="1">
        <v>30</v>
      </c>
      <c r="Q1135" s="1">
        <v>9</v>
      </c>
      <c r="R1135" s="1">
        <v>200010017973</v>
      </c>
      <c r="S1135" s="1">
        <v>50</v>
      </c>
      <c r="T1135" s="1">
        <v>1</v>
      </c>
      <c r="U1135" s="1">
        <v>5</v>
      </c>
      <c r="V1135">
        <f t="shared" si="17"/>
        <v>439</v>
      </c>
    </row>
    <row r="1136" spans="1:22" ht="13" x14ac:dyDescent="0.15">
      <c r="A1136" s="4">
        <v>44777</v>
      </c>
      <c r="B1136" s="5">
        <v>0.69444444444444442</v>
      </c>
      <c r="C1136" s="1">
        <v>1752</v>
      </c>
      <c r="D1136" s="1">
        <v>13002606</v>
      </c>
      <c r="E1136" s="1">
        <v>13</v>
      </c>
      <c r="F1136" s="1">
        <v>22589</v>
      </c>
      <c r="G1136" s="1" t="s">
        <v>21</v>
      </c>
      <c r="H1136" s="1">
        <v>18</v>
      </c>
      <c r="I1136" s="1">
        <v>100510</v>
      </c>
      <c r="J1136" s="1" t="s">
        <v>1051</v>
      </c>
      <c r="K1136" s="1" t="s">
        <v>51</v>
      </c>
      <c r="L1136" s="1" t="s">
        <v>129</v>
      </c>
      <c r="M1136" s="1">
        <v>1</v>
      </c>
      <c r="N1136" s="2">
        <v>350.97</v>
      </c>
      <c r="O1136" s="3">
        <v>404</v>
      </c>
      <c r="P1136" s="1">
        <v>0</v>
      </c>
      <c r="Q1136" s="1" t="s">
        <v>25</v>
      </c>
      <c r="R1136" s="1" t="s">
        <v>25</v>
      </c>
      <c r="S1136" s="1">
        <v>50</v>
      </c>
      <c r="T1136" s="1">
        <v>1</v>
      </c>
      <c r="U1136" s="1">
        <v>1</v>
      </c>
      <c r="V1136">
        <f t="shared" si="17"/>
        <v>404</v>
      </c>
    </row>
    <row r="1137" spans="1:22" ht="13" x14ac:dyDescent="0.15">
      <c r="A1137" s="4">
        <v>44777</v>
      </c>
      <c r="B1137" s="5">
        <v>0.69791666666666663</v>
      </c>
      <c r="C1137" s="1">
        <v>1753</v>
      </c>
      <c r="D1137" s="1">
        <v>13002606</v>
      </c>
      <c r="E1137" s="1">
        <v>13</v>
      </c>
      <c r="F1137" s="1">
        <v>22589</v>
      </c>
      <c r="G1137" s="1" t="s">
        <v>21</v>
      </c>
      <c r="H1137" s="1">
        <v>15</v>
      </c>
      <c r="I1137" s="1">
        <v>276810</v>
      </c>
      <c r="J1137" s="1" t="s">
        <v>231</v>
      </c>
      <c r="K1137" s="1" t="s">
        <v>61</v>
      </c>
      <c r="L1137" s="1" t="s">
        <v>192</v>
      </c>
      <c r="M1137" s="1">
        <v>1</v>
      </c>
      <c r="N1137" s="2">
        <v>316.36</v>
      </c>
      <c r="O1137" s="3">
        <v>380</v>
      </c>
      <c r="P1137" s="1">
        <v>38</v>
      </c>
      <c r="Q1137" s="1">
        <v>30</v>
      </c>
      <c r="R1137" s="1">
        <v>200000000024</v>
      </c>
      <c r="S1137" s="1">
        <v>50</v>
      </c>
      <c r="T1137" s="1">
        <v>1</v>
      </c>
      <c r="U1137" s="1">
        <v>1</v>
      </c>
      <c r="V1137">
        <f t="shared" si="17"/>
        <v>380</v>
      </c>
    </row>
    <row r="1138" spans="1:22" ht="13" x14ac:dyDescent="0.15">
      <c r="A1138" s="4">
        <v>44777</v>
      </c>
      <c r="B1138" s="5">
        <v>0.69791666666666663</v>
      </c>
      <c r="C1138" s="1">
        <v>1753</v>
      </c>
      <c r="D1138" s="1">
        <v>13002606</v>
      </c>
      <c r="E1138" s="1">
        <v>13</v>
      </c>
      <c r="F1138" s="1">
        <v>22589</v>
      </c>
      <c r="G1138" s="1" t="s">
        <v>21</v>
      </c>
      <c r="H1138" s="1">
        <v>15</v>
      </c>
      <c r="I1138" s="1">
        <v>48879</v>
      </c>
      <c r="J1138" s="1" t="s">
        <v>1052</v>
      </c>
      <c r="K1138" s="1" t="s">
        <v>34</v>
      </c>
      <c r="L1138" s="1" t="s">
        <v>810</v>
      </c>
      <c r="M1138" s="1">
        <v>1</v>
      </c>
      <c r="N1138" s="2">
        <v>137.82</v>
      </c>
      <c r="O1138" s="3">
        <v>214</v>
      </c>
      <c r="P1138" s="1">
        <v>0</v>
      </c>
      <c r="Q1138" s="1" t="s">
        <v>25</v>
      </c>
      <c r="R1138" s="1" t="s">
        <v>25</v>
      </c>
      <c r="S1138" s="1">
        <v>50</v>
      </c>
      <c r="T1138" s="1">
        <v>1</v>
      </c>
      <c r="U1138" s="1">
        <v>2</v>
      </c>
      <c r="V1138">
        <f t="shared" si="17"/>
        <v>214</v>
      </c>
    </row>
    <row r="1139" spans="1:22" ht="13" x14ac:dyDescent="0.15">
      <c r="A1139" s="4">
        <v>44777</v>
      </c>
      <c r="B1139" s="5">
        <v>0.71232638888888888</v>
      </c>
      <c r="C1139" s="1">
        <v>1754</v>
      </c>
      <c r="D1139" s="1">
        <v>13002606</v>
      </c>
      <c r="E1139" s="1">
        <v>13</v>
      </c>
      <c r="F1139" s="1">
        <v>22589</v>
      </c>
      <c r="G1139" s="1" t="s">
        <v>21</v>
      </c>
      <c r="H1139" s="1">
        <v>15</v>
      </c>
      <c r="I1139" s="1">
        <v>435596</v>
      </c>
      <c r="J1139" s="1" t="s">
        <v>1053</v>
      </c>
      <c r="K1139" s="1" t="s">
        <v>23</v>
      </c>
      <c r="L1139" s="1" t="s">
        <v>453</v>
      </c>
      <c r="M1139" s="1">
        <v>1</v>
      </c>
      <c r="N1139" s="2">
        <v>11.59</v>
      </c>
      <c r="O1139" s="3">
        <v>18</v>
      </c>
      <c r="P1139" s="1">
        <v>0</v>
      </c>
      <c r="Q1139" s="1" t="s">
        <v>25</v>
      </c>
      <c r="R1139" s="1" t="s">
        <v>25</v>
      </c>
      <c r="S1139" s="1">
        <v>50</v>
      </c>
      <c r="T1139" s="1">
        <v>1</v>
      </c>
      <c r="U1139" s="1">
        <v>1</v>
      </c>
      <c r="V1139">
        <f t="shared" si="17"/>
        <v>18</v>
      </c>
    </row>
    <row r="1140" spans="1:22" ht="13" x14ac:dyDescent="0.15">
      <c r="A1140" s="4">
        <v>44777</v>
      </c>
      <c r="B1140" s="5">
        <v>0.71296296296296291</v>
      </c>
      <c r="C1140" s="1">
        <v>1755</v>
      </c>
      <c r="D1140" s="1">
        <v>13002606</v>
      </c>
      <c r="E1140" s="1">
        <v>13</v>
      </c>
      <c r="F1140" s="1">
        <v>22589</v>
      </c>
      <c r="G1140" s="1" t="s">
        <v>21</v>
      </c>
      <c r="H1140" s="1">
        <v>15</v>
      </c>
      <c r="I1140" s="1">
        <v>298510</v>
      </c>
      <c r="J1140" s="1" t="s">
        <v>229</v>
      </c>
      <c r="K1140" s="1" t="s">
        <v>29</v>
      </c>
      <c r="L1140" s="1" t="s">
        <v>230</v>
      </c>
      <c r="M1140" s="1">
        <v>1</v>
      </c>
      <c r="N1140" s="2">
        <v>55.31</v>
      </c>
      <c r="O1140" s="3">
        <v>69</v>
      </c>
      <c r="P1140" s="1">
        <v>0</v>
      </c>
      <c r="Q1140" s="1" t="s">
        <v>25</v>
      </c>
      <c r="R1140" s="1" t="s">
        <v>25</v>
      </c>
      <c r="S1140" s="1">
        <v>50</v>
      </c>
      <c r="T1140" s="1">
        <v>1</v>
      </c>
      <c r="U1140" s="1">
        <v>1</v>
      </c>
      <c r="V1140">
        <f t="shared" si="17"/>
        <v>69</v>
      </c>
    </row>
    <row r="1141" spans="1:22" ht="13" x14ac:dyDescent="0.15">
      <c r="A1141" s="4">
        <v>44777</v>
      </c>
      <c r="B1141" s="5">
        <v>0.72550925925925924</v>
      </c>
      <c r="C1141" s="1">
        <v>1756</v>
      </c>
      <c r="D1141" s="1">
        <v>13002606</v>
      </c>
      <c r="E1141" s="1">
        <v>13</v>
      </c>
      <c r="F1141" s="1">
        <v>22589</v>
      </c>
      <c r="G1141" s="1" t="s">
        <v>21</v>
      </c>
      <c r="H1141" s="1">
        <v>18</v>
      </c>
      <c r="I1141" s="1">
        <v>570016</v>
      </c>
      <c r="J1141" s="1" t="s">
        <v>1054</v>
      </c>
      <c r="K1141" s="1" t="s">
        <v>23</v>
      </c>
      <c r="L1141" s="1" t="s">
        <v>248</v>
      </c>
      <c r="M1141" s="1">
        <v>1</v>
      </c>
      <c r="N1141" s="2">
        <v>378.35</v>
      </c>
      <c r="O1141" s="3">
        <v>500</v>
      </c>
      <c r="P1141" s="1">
        <v>0</v>
      </c>
      <c r="Q1141" s="1" t="s">
        <v>25</v>
      </c>
      <c r="R1141" s="1" t="s">
        <v>25</v>
      </c>
      <c r="S1141" s="1">
        <v>50</v>
      </c>
      <c r="T1141" s="1">
        <v>1</v>
      </c>
      <c r="U1141" s="1">
        <v>2</v>
      </c>
      <c r="V1141">
        <f t="shared" si="17"/>
        <v>500</v>
      </c>
    </row>
    <row r="1142" spans="1:22" ht="13" x14ac:dyDescent="0.15">
      <c r="A1142" s="4">
        <v>44777</v>
      </c>
      <c r="B1142" s="5">
        <v>0.72906249999999995</v>
      </c>
      <c r="C1142" s="1">
        <v>1757</v>
      </c>
      <c r="D1142" s="1">
        <v>13002606</v>
      </c>
      <c r="E1142" s="1">
        <v>13</v>
      </c>
      <c r="F1142" s="1">
        <v>22589</v>
      </c>
      <c r="G1142" s="1" t="s">
        <v>21</v>
      </c>
      <c r="H1142" s="1">
        <v>15</v>
      </c>
      <c r="I1142" s="1">
        <v>75429</v>
      </c>
      <c r="J1142" s="1" t="s">
        <v>180</v>
      </c>
      <c r="K1142" s="1" t="s">
        <v>29</v>
      </c>
      <c r="L1142" s="1" t="s">
        <v>69</v>
      </c>
      <c r="M1142" s="1">
        <v>1</v>
      </c>
      <c r="N1142" s="2">
        <v>122.18</v>
      </c>
      <c r="O1142" s="3">
        <v>144</v>
      </c>
      <c r="P1142" s="1">
        <v>7</v>
      </c>
      <c r="Q1142" s="1">
        <v>9</v>
      </c>
      <c r="R1142" s="1">
        <v>200010015162</v>
      </c>
      <c r="S1142" s="1">
        <v>50</v>
      </c>
      <c r="T1142" s="1">
        <v>1</v>
      </c>
      <c r="U1142" s="1">
        <v>2</v>
      </c>
      <c r="V1142">
        <f t="shared" si="17"/>
        <v>144</v>
      </c>
    </row>
    <row r="1143" spans="1:22" ht="13" x14ac:dyDescent="0.15">
      <c r="A1143" s="4">
        <v>44777</v>
      </c>
      <c r="B1143" s="5">
        <v>0.72906249999999995</v>
      </c>
      <c r="C1143" s="1">
        <v>1757</v>
      </c>
      <c r="D1143" s="1">
        <v>13002606</v>
      </c>
      <c r="E1143" s="1">
        <v>13</v>
      </c>
      <c r="F1143" s="1">
        <v>22589</v>
      </c>
      <c r="G1143" s="1" t="s">
        <v>21</v>
      </c>
      <c r="H1143" s="1">
        <v>15</v>
      </c>
      <c r="I1143" s="1">
        <v>2039</v>
      </c>
      <c r="J1143" s="1" t="s">
        <v>213</v>
      </c>
      <c r="K1143" s="1" t="s">
        <v>23</v>
      </c>
      <c r="L1143" s="1" t="s">
        <v>214</v>
      </c>
      <c r="M1143" s="1">
        <v>1</v>
      </c>
      <c r="N1143" s="2">
        <v>81.540000000000006</v>
      </c>
      <c r="O1143" s="3">
        <v>100</v>
      </c>
      <c r="P1143" s="1">
        <v>5</v>
      </c>
      <c r="Q1143" s="1">
        <v>9</v>
      </c>
      <c r="R1143" s="1">
        <v>200010015162</v>
      </c>
      <c r="S1143" s="1">
        <v>50</v>
      </c>
      <c r="T1143" s="1">
        <v>1</v>
      </c>
      <c r="U1143" s="1">
        <v>1</v>
      </c>
      <c r="V1143">
        <f t="shared" si="17"/>
        <v>100</v>
      </c>
    </row>
    <row r="1144" spans="1:22" ht="13" x14ac:dyDescent="0.15">
      <c r="A1144" s="4">
        <v>44777</v>
      </c>
      <c r="B1144" s="5">
        <v>0.72998842592592594</v>
      </c>
      <c r="C1144" s="1">
        <v>1758</v>
      </c>
      <c r="D1144" s="1">
        <v>13002606</v>
      </c>
      <c r="E1144" s="1">
        <v>13</v>
      </c>
      <c r="F1144" s="1">
        <v>22589</v>
      </c>
      <c r="G1144" s="1" t="s">
        <v>21</v>
      </c>
      <c r="H1144" s="1">
        <v>15</v>
      </c>
      <c r="I1144" s="1">
        <v>45674</v>
      </c>
      <c r="J1144" s="1" t="s">
        <v>1055</v>
      </c>
      <c r="K1144" s="1" t="s">
        <v>23</v>
      </c>
      <c r="L1144" s="1" t="s">
        <v>656</v>
      </c>
      <c r="M1144" s="1">
        <v>1</v>
      </c>
      <c r="N1144" s="2">
        <v>871.84</v>
      </c>
      <c r="O1144" s="3">
        <v>1047</v>
      </c>
      <c r="P1144" s="1">
        <v>14.09</v>
      </c>
      <c r="Q1144" s="1">
        <v>925</v>
      </c>
      <c r="R1144" s="1">
        <v>200000000492</v>
      </c>
      <c r="S1144" s="1">
        <v>50</v>
      </c>
      <c r="T1144" s="1">
        <v>1</v>
      </c>
      <c r="U1144" s="1">
        <v>1</v>
      </c>
      <c r="V1144">
        <f t="shared" si="17"/>
        <v>1047</v>
      </c>
    </row>
    <row r="1145" spans="1:22" ht="13" x14ac:dyDescent="0.15">
      <c r="A1145" s="4">
        <v>44777</v>
      </c>
      <c r="B1145" s="5">
        <v>0.72998842592592594</v>
      </c>
      <c r="C1145" s="1">
        <v>1758</v>
      </c>
      <c r="D1145" s="1">
        <v>13002606</v>
      </c>
      <c r="E1145" s="1">
        <v>13</v>
      </c>
      <c r="F1145" s="1">
        <v>22589</v>
      </c>
      <c r="G1145" s="1" t="s">
        <v>21</v>
      </c>
      <c r="H1145" s="1">
        <v>15</v>
      </c>
      <c r="I1145" s="1">
        <v>298510</v>
      </c>
      <c r="J1145" s="1" t="s">
        <v>229</v>
      </c>
      <c r="K1145" s="1" t="s">
        <v>51</v>
      </c>
      <c r="L1145" s="1" t="s">
        <v>230</v>
      </c>
      <c r="M1145" s="1">
        <v>1</v>
      </c>
      <c r="N1145" s="2">
        <v>54.29</v>
      </c>
      <c r="O1145" s="3">
        <v>68</v>
      </c>
      <c r="P1145" s="1">
        <v>0.91</v>
      </c>
      <c r="Q1145" s="1">
        <v>925</v>
      </c>
      <c r="R1145" s="1">
        <v>200000000492</v>
      </c>
      <c r="S1145" s="1">
        <v>50</v>
      </c>
      <c r="T1145" s="1">
        <v>1</v>
      </c>
      <c r="U1145" s="1">
        <v>2</v>
      </c>
      <c r="V1145">
        <f t="shared" si="17"/>
        <v>68</v>
      </c>
    </row>
    <row r="1146" spans="1:22" ht="13" x14ac:dyDescent="0.15">
      <c r="A1146" s="4">
        <v>44777</v>
      </c>
      <c r="B1146" s="5">
        <v>0.73825231481481479</v>
      </c>
      <c r="C1146" s="1">
        <v>1759</v>
      </c>
      <c r="D1146" s="1">
        <v>13002606</v>
      </c>
      <c r="E1146" s="1">
        <v>13</v>
      </c>
      <c r="F1146" s="1">
        <v>22589</v>
      </c>
      <c r="G1146" s="1" t="s">
        <v>21</v>
      </c>
      <c r="H1146" s="1">
        <v>15</v>
      </c>
      <c r="I1146" s="1">
        <v>2583</v>
      </c>
      <c r="J1146" s="1" t="s">
        <v>1056</v>
      </c>
      <c r="K1146" s="1" t="s">
        <v>23</v>
      </c>
      <c r="L1146" s="1" t="s">
        <v>59</v>
      </c>
      <c r="M1146" s="1">
        <v>1</v>
      </c>
      <c r="N1146" s="2">
        <v>276.83</v>
      </c>
      <c r="O1146" s="3">
        <v>319</v>
      </c>
      <c r="P1146" s="1">
        <v>15</v>
      </c>
      <c r="Q1146" s="1">
        <v>941</v>
      </c>
      <c r="R1146" s="1">
        <v>200000000044</v>
      </c>
      <c r="S1146" s="1">
        <v>50</v>
      </c>
      <c r="T1146" s="1">
        <v>1</v>
      </c>
      <c r="U1146" s="1">
        <v>1</v>
      </c>
      <c r="V1146">
        <f t="shared" si="17"/>
        <v>319</v>
      </c>
    </row>
    <row r="1147" spans="1:22" ht="13" x14ac:dyDescent="0.15">
      <c r="A1147" s="4">
        <v>44777</v>
      </c>
      <c r="B1147" s="5">
        <v>0.73989583333333331</v>
      </c>
      <c r="C1147" s="1">
        <v>1760</v>
      </c>
      <c r="D1147" s="1">
        <v>13002606</v>
      </c>
      <c r="E1147" s="1">
        <v>13</v>
      </c>
      <c r="F1147" s="1">
        <v>22589</v>
      </c>
      <c r="G1147" s="1" t="s">
        <v>21</v>
      </c>
      <c r="H1147" s="1">
        <v>18</v>
      </c>
      <c r="I1147" s="1">
        <v>338588</v>
      </c>
      <c r="J1147" s="1" t="s">
        <v>36</v>
      </c>
      <c r="K1147" s="1" t="s">
        <v>23</v>
      </c>
      <c r="L1147" s="1" t="s">
        <v>37</v>
      </c>
      <c r="M1147" s="1">
        <v>1</v>
      </c>
      <c r="N1147" s="2">
        <v>358.64</v>
      </c>
      <c r="O1147" s="3">
        <v>450</v>
      </c>
      <c r="P1147" s="1">
        <v>22</v>
      </c>
      <c r="Q1147" s="1">
        <v>9</v>
      </c>
      <c r="R1147" s="1">
        <v>200010010154</v>
      </c>
      <c r="S1147" s="1">
        <v>50</v>
      </c>
      <c r="T1147" s="1">
        <v>1</v>
      </c>
      <c r="U1147" s="1">
        <v>2</v>
      </c>
      <c r="V1147">
        <f t="shared" si="17"/>
        <v>450</v>
      </c>
    </row>
    <row r="1148" spans="1:22" ht="13" x14ac:dyDescent="0.15">
      <c r="A1148" s="4">
        <v>44777</v>
      </c>
      <c r="B1148" s="5">
        <v>0.73989583333333331</v>
      </c>
      <c r="C1148" s="1">
        <v>1760</v>
      </c>
      <c r="D1148" s="1">
        <v>13002606</v>
      </c>
      <c r="E1148" s="1">
        <v>13</v>
      </c>
      <c r="F1148" s="1">
        <v>22589</v>
      </c>
      <c r="G1148" s="1" t="s">
        <v>21</v>
      </c>
      <c r="H1148" s="1">
        <v>18</v>
      </c>
      <c r="I1148" s="1">
        <v>28847</v>
      </c>
      <c r="J1148" s="1" t="s">
        <v>1057</v>
      </c>
      <c r="K1148" s="1" t="s">
        <v>117</v>
      </c>
      <c r="L1148" s="1" t="s">
        <v>932</v>
      </c>
      <c r="M1148" s="1">
        <v>1</v>
      </c>
      <c r="N1148" s="2">
        <v>363.48</v>
      </c>
      <c r="O1148" s="3">
        <v>432</v>
      </c>
      <c r="P1148" s="1">
        <v>21</v>
      </c>
      <c r="Q1148" s="1">
        <v>9</v>
      </c>
      <c r="R1148" s="1">
        <v>200010010154</v>
      </c>
      <c r="S1148" s="1">
        <v>50</v>
      </c>
      <c r="T1148" s="1">
        <v>1</v>
      </c>
      <c r="U1148" s="1">
        <v>3</v>
      </c>
      <c r="V1148">
        <f t="shared" si="17"/>
        <v>432</v>
      </c>
    </row>
    <row r="1149" spans="1:22" ht="13" x14ac:dyDescent="0.15">
      <c r="A1149" s="4">
        <v>44777</v>
      </c>
      <c r="B1149" s="5">
        <v>0.73989583333333331</v>
      </c>
      <c r="C1149" s="1">
        <v>1760</v>
      </c>
      <c r="D1149" s="1">
        <v>13002606</v>
      </c>
      <c r="E1149" s="1">
        <v>13</v>
      </c>
      <c r="F1149" s="1">
        <v>22589</v>
      </c>
      <c r="G1149" s="1" t="s">
        <v>21</v>
      </c>
      <c r="H1149" s="1">
        <v>18</v>
      </c>
      <c r="I1149" s="1">
        <v>82079</v>
      </c>
      <c r="J1149" s="1" t="s">
        <v>289</v>
      </c>
      <c r="K1149" s="1" t="s">
        <v>51</v>
      </c>
      <c r="L1149" s="1" t="s">
        <v>175</v>
      </c>
      <c r="M1149" s="1">
        <v>1</v>
      </c>
      <c r="N1149" s="2">
        <v>55.76</v>
      </c>
      <c r="O1149" s="3">
        <v>70</v>
      </c>
      <c r="P1149" s="1">
        <v>3</v>
      </c>
      <c r="Q1149" s="1">
        <v>9</v>
      </c>
      <c r="R1149" s="1">
        <v>200010010154</v>
      </c>
      <c r="S1149" s="1">
        <v>50</v>
      </c>
      <c r="T1149" s="1">
        <v>1</v>
      </c>
      <c r="U1149" s="1">
        <v>1</v>
      </c>
      <c r="V1149">
        <f t="shared" si="17"/>
        <v>70</v>
      </c>
    </row>
    <row r="1150" spans="1:22" ht="13" x14ac:dyDescent="0.15">
      <c r="A1150" s="4">
        <v>44777</v>
      </c>
      <c r="B1150" s="5">
        <v>0.74494212962962958</v>
      </c>
      <c r="C1150" s="1">
        <v>1762</v>
      </c>
      <c r="D1150" s="1">
        <v>13002606</v>
      </c>
      <c r="E1150" s="1">
        <v>13</v>
      </c>
      <c r="F1150" s="1">
        <v>22589</v>
      </c>
      <c r="G1150" s="1" t="s">
        <v>21</v>
      </c>
      <c r="H1150" s="1">
        <v>18</v>
      </c>
      <c r="I1150" s="1">
        <v>110605</v>
      </c>
      <c r="J1150" s="1" t="s">
        <v>475</v>
      </c>
      <c r="K1150" s="1" t="s">
        <v>45</v>
      </c>
      <c r="L1150" s="1" t="s">
        <v>214</v>
      </c>
      <c r="M1150" s="1">
        <v>1</v>
      </c>
      <c r="N1150" s="2">
        <v>119.22</v>
      </c>
      <c r="O1150" s="3">
        <v>143</v>
      </c>
      <c r="P1150" s="1">
        <v>7</v>
      </c>
      <c r="Q1150" s="1">
        <v>9</v>
      </c>
      <c r="R1150" s="1">
        <v>200010001162</v>
      </c>
      <c r="S1150" s="1">
        <v>50</v>
      </c>
      <c r="T1150" s="1">
        <v>1</v>
      </c>
      <c r="U1150" s="1">
        <v>2</v>
      </c>
      <c r="V1150">
        <f t="shared" si="17"/>
        <v>143</v>
      </c>
    </row>
    <row r="1151" spans="1:22" ht="13" x14ac:dyDescent="0.15">
      <c r="A1151" s="4">
        <v>44777</v>
      </c>
      <c r="B1151" s="5">
        <v>0.74494212962962958</v>
      </c>
      <c r="C1151" s="1">
        <v>1762</v>
      </c>
      <c r="D1151" s="1">
        <v>13002606</v>
      </c>
      <c r="E1151" s="1">
        <v>13</v>
      </c>
      <c r="F1151" s="1">
        <v>22589</v>
      </c>
      <c r="G1151" s="1" t="s">
        <v>21</v>
      </c>
      <c r="H1151" s="1">
        <v>18</v>
      </c>
      <c r="I1151" s="1">
        <v>297336</v>
      </c>
      <c r="J1151" s="1" t="s">
        <v>79</v>
      </c>
      <c r="K1151" s="1" t="s">
        <v>34</v>
      </c>
      <c r="L1151" s="1" t="s">
        <v>80</v>
      </c>
      <c r="M1151" s="1">
        <v>1</v>
      </c>
      <c r="N1151" s="2">
        <v>44.6</v>
      </c>
      <c r="O1151" s="3">
        <v>73</v>
      </c>
      <c r="P1151" s="1">
        <v>7</v>
      </c>
      <c r="Q1151" s="1">
        <v>9</v>
      </c>
      <c r="R1151" s="1">
        <v>200010001162</v>
      </c>
      <c r="S1151" s="1">
        <v>50</v>
      </c>
      <c r="T1151" s="1">
        <v>1</v>
      </c>
      <c r="U1151" s="1">
        <v>1</v>
      </c>
      <c r="V1151">
        <f t="shared" si="17"/>
        <v>73</v>
      </c>
    </row>
    <row r="1152" spans="1:22" ht="13" x14ac:dyDescent="0.15">
      <c r="A1152" s="4">
        <v>44777</v>
      </c>
      <c r="B1152" s="5">
        <v>0.74630787037037039</v>
      </c>
      <c r="C1152" s="1">
        <v>1763</v>
      </c>
      <c r="D1152" s="1">
        <v>13002606</v>
      </c>
      <c r="E1152" s="1">
        <v>13</v>
      </c>
      <c r="F1152" s="1">
        <v>22589</v>
      </c>
      <c r="G1152" s="1" t="s">
        <v>21</v>
      </c>
      <c r="H1152" s="1">
        <v>18</v>
      </c>
      <c r="I1152" s="1">
        <v>54092</v>
      </c>
      <c r="J1152" s="1" t="s">
        <v>1058</v>
      </c>
      <c r="K1152" s="1" t="s">
        <v>51</v>
      </c>
      <c r="L1152" s="1" t="s">
        <v>1059</v>
      </c>
      <c r="M1152" s="1">
        <v>1</v>
      </c>
      <c r="N1152" s="2">
        <v>178.78</v>
      </c>
      <c r="O1152" s="3">
        <v>278</v>
      </c>
      <c r="P1152" s="1">
        <v>27</v>
      </c>
      <c r="Q1152" s="1">
        <v>9</v>
      </c>
      <c r="R1152" s="1">
        <v>200010001162</v>
      </c>
      <c r="S1152" s="1">
        <v>50</v>
      </c>
      <c r="T1152" s="1">
        <v>1</v>
      </c>
      <c r="U1152" s="1">
        <v>1</v>
      </c>
      <c r="V1152">
        <f t="shared" si="17"/>
        <v>278</v>
      </c>
    </row>
    <row r="1153" spans="1:22" ht="13" x14ac:dyDescent="0.15">
      <c r="A1153" s="4">
        <v>44777</v>
      </c>
      <c r="B1153" s="5">
        <v>0.75312500000000004</v>
      </c>
      <c r="C1153" s="1">
        <v>1764</v>
      </c>
      <c r="D1153" s="1">
        <v>13002606</v>
      </c>
      <c r="E1153" s="1">
        <v>13</v>
      </c>
      <c r="F1153" s="1">
        <v>22589</v>
      </c>
      <c r="G1153" s="1" t="s">
        <v>21</v>
      </c>
      <c r="H1153" s="1">
        <v>15</v>
      </c>
      <c r="I1153" s="1">
        <v>493177</v>
      </c>
      <c r="J1153" s="1" t="s">
        <v>1060</v>
      </c>
      <c r="K1153" s="1" t="s">
        <v>29</v>
      </c>
      <c r="L1153" s="1" t="s">
        <v>341</v>
      </c>
      <c r="M1153" s="1">
        <v>1</v>
      </c>
      <c r="N1153" s="2">
        <v>593.22</v>
      </c>
      <c r="O1153" s="3">
        <v>766</v>
      </c>
      <c r="P1153" s="1">
        <v>53</v>
      </c>
      <c r="Q1153" s="1">
        <v>9</v>
      </c>
      <c r="R1153" s="1">
        <v>200010026840</v>
      </c>
      <c r="S1153" s="1">
        <v>50</v>
      </c>
      <c r="T1153" s="1">
        <v>1</v>
      </c>
      <c r="U1153" s="1">
        <v>1</v>
      </c>
      <c r="V1153">
        <f t="shared" si="17"/>
        <v>766</v>
      </c>
    </row>
    <row r="1154" spans="1:22" ht="13" x14ac:dyDescent="0.15">
      <c r="A1154" s="4">
        <v>44777</v>
      </c>
      <c r="B1154" s="5">
        <v>0.75555555555555554</v>
      </c>
      <c r="C1154" s="1">
        <v>1765</v>
      </c>
      <c r="D1154" s="1">
        <v>13002606</v>
      </c>
      <c r="E1154" s="1">
        <v>13</v>
      </c>
      <c r="F1154" s="1">
        <v>22589</v>
      </c>
      <c r="G1154" s="1" t="s">
        <v>21</v>
      </c>
      <c r="H1154" s="1">
        <v>18</v>
      </c>
      <c r="I1154" s="1">
        <v>26331</v>
      </c>
      <c r="J1154" s="1" t="s">
        <v>1061</v>
      </c>
      <c r="K1154" s="1" t="s">
        <v>29</v>
      </c>
      <c r="L1154" s="1" t="s">
        <v>355</v>
      </c>
      <c r="M1154" s="1">
        <v>1</v>
      </c>
      <c r="N1154" s="2">
        <v>787.59</v>
      </c>
      <c r="O1154" s="3">
        <v>869</v>
      </c>
      <c r="P1154" s="1">
        <v>26</v>
      </c>
      <c r="Q1154" s="1">
        <v>9</v>
      </c>
      <c r="R1154" s="1">
        <v>200010012137</v>
      </c>
      <c r="S1154" s="1">
        <v>50</v>
      </c>
      <c r="T1154" s="1">
        <v>1</v>
      </c>
      <c r="U1154" s="1">
        <v>1</v>
      </c>
      <c r="V1154">
        <f t="shared" si="17"/>
        <v>869</v>
      </c>
    </row>
    <row r="1155" spans="1:22" ht="13" x14ac:dyDescent="0.15">
      <c r="A1155" s="4">
        <v>44777</v>
      </c>
      <c r="B1155" s="5">
        <v>0.75688657407407411</v>
      </c>
      <c r="C1155" s="1">
        <v>1766</v>
      </c>
      <c r="D1155" s="1">
        <v>13002606</v>
      </c>
      <c r="E1155" s="1">
        <v>13</v>
      </c>
      <c r="F1155" s="1">
        <v>22589</v>
      </c>
      <c r="G1155" s="1" t="s">
        <v>21</v>
      </c>
      <c r="H1155" s="1">
        <v>18</v>
      </c>
      <c r="I1155" s="1">
        <v>265097</v>
      </c>
      <c r="J1155" s="1" t="s">
        <v>1062</v>
      </c>
      <c r="K1155" s="1" t="s">
        <v>61</v>
      </c>
      <c r="L1155" s="1" t="s">
        <v>368</v>
      </c>
      <c r="M1155" s="1">
        <v>1</v>
      </c>
      <c r="N1155" s="2">
        <v>258.66000000000003</v>
      </c>
      <c r="O1155" s="3">
        <v>394</v>
      </c>
      <c r="P1155" s="1">
        <v>39</v>
      </c>
      <c r="Q1155" s="1">
        <v>9</v>
      </c>
      <c r="R1155" s="1">
        <v>200010012137</v>
      </c>
      <c r="S1155" s="1">
        <v>50</v>
      </c>
      <c r="T1155" s="1">
        <v>1</v>
      </c>
      <c r="U1155" s="1">
        <v>1</v>
      </c>
      <c r="V1155">
        <f t="shared" ref="V1155:V1218" si="18">O1155*M1155</f>
        <v>394</v>
      </c>
    </row>
    <row r="1156" spans="1:22" ht="13" x14ac:dyDescent="0.15">
      <c r="A1156" s="4">
        <v>44777</v>
      </c>
      <c r="B1156" s="5">
        <v>0.77083333333333337</v>
      </c>
      <c r="C1156" s="1">
        <v>1767</v>
      </c>
      <c r="D1156" s="1">
        <v>13002606</v>
      </c>
      <c r="E1156" s="1">
        <v>13</v>
      </c>
      <c r="F1156" s="1">
        <v>22589</v>
      </c>
      <c r="G1156" s="1" t="s">
        <v>21</v>
      </c>
      <c r="H1156" s="1">
        <v>15</v>
      </c>
      <c r="I1156" s="1">
        <v>132492</v>
      </c>
      <c r="J1156" s="1" t="s">
        <v>469</v>
      </c>
      <c r="K1156" s="1" t="s">
        <v>64</v>
      </c>
      <c r="L1156" s="1" t="s">
        <v>470</v>
      </c>
      <c r="M1156" s="1">
        <v>3</v>
      </c>
      <c r="N1156" s="2">
        <v>18</v>
      </c>
      <c r="O1156" s="3">
        <v>30</v>
      </c>
      <c r="P1156" s="1">
        <v>9</v>
      </c>
      <c r="Q1156" s="1">
        <v>9</v>
      </c>
      <c r="R1156" s="1">
        <v>200010001749</v>
      </c>
      <c r="S1156" s="1">
        <v>50</v>
      </c>
      <c r="T1156" s="1">
        <v>1</v>
      </c>
      <c r="U1156" s="1">
        <v>3</v>
      </c>
      <c r="V1156">
        <f t="shared" si="18"/>
        <v>90</v>
      </c>
    </row>
    <row r="1157" spans="1:22" ht="13" x14ac:dyDescent="0.15">
      <c r="A1157" s="4">
        <v>44777</v>
      </c>
      <c r="B1157" s="5">
        <v>0.77209490740740738</v>
      </c>
      <c r="C1157" s="1">
        <v>1768</v>
      </c>
      <c r="D1157" s="1">
        <v>13002606</v>
      </c>
      <c r="E1157" s="1">
        <v>13</v>
      </c>
      <c r="F1157" s="1">
        <v>22589</v>
      </c>
      <c r="G1157" s="1" t="s">
        <v>21</v>
      </c>
      <c r="H1157" s="1">
        <v>15</v>
      </c>
      <c r="I1157" s="1">
        <v>132492</v>
      </c>
      <c r="J1157" s="1" t="s">
        <v>469</v>
      </c>
      <c r="K1157" s="1" t="s">
        <v>64</v>
      </c>
      <c r="L1157" s="1" t="s">
        <v>470</v>
      </c>
      <c r="M1157" s="1">
        <v>3</v>
      </c>
      <c r="N1157" s="2">
        <v>18</v>
      </c>
      <c r="O1157" s="3">
        <v>30</v>
      </c>
      <c r="P1157" s="1">
        <v>9</v>
      </c>
      <c r="Q1157" s="1">
        <v>9</v>
      </c>
      <c r="R1157" s="1">
        <v>200010001749</v>
      </c>
      <c r="S1157" s="1">
        <v>50</v>
      </c>
      <c r="T1157" s="1">
        <v>1</v>
      </c>
      <c r="U1157" s="1">
        <v>3</v>
      </c>
      <c r="V1157">
        <f t="shared" si="18"/>
        <v>90</v>
      </c>
    </row>
    <row r="1158" spans="1:22" ht="13" x14ac:dyDescent="0.15">
      <c r="A1158" s="4">
        <v>44777</v>
      </c>
      <c r="B1158" s="5">
        <v>0.77083333333333337</v>
      </c>
      <c r="C1158" s="1">
        <v>1767</v>
      </c>
      <c r="D1158" s="1">
        <v>13002606</v>
      </c>
      <c r="E1158" s="1">
        <v>13</v>
      </c>
      <c r="F1158" s="1">
        <v>22589</v>
      </c>
      <c r="G1158" s="1" t="s">
        <v>21</v>
      </c>
      <c r="H1158" s="1">
        <v>15</v>
      </c>
      <c r="I1158" s="1">
        <v>30028</v>
      </c>
      <c r="J1158" s="1" t="s">
        <v>166</v>
      </c>
      <c r="K1158" s="1" t="s">
        <v>51</v>
      </c>
      <c r="L1158" s="1" t="s">
        <v>167</v>
      </c>
      <c r="M1158" s="1">
        <v>2</v>
      </c>
      <c r="N1158" s="2">
        <v>10.01</v>
      </c>
      <c r="O1158" s="3">
        <v>17</v>
      </c>
      <c r="P1158" s="1">
        <v>3.34</v>
      </c>
      <c r="Q1158" s="1">
        <v>9</v>
      </c>
      <c r="R1158" s="1">
        <v>200010001749</v>
      </c>
      <c r="S1158" s="1">
        <v>50</v>
      </c>
      <c r="T1158" s="1">
        <v>1</v>
      </c>
      <c r="U1158" s="1">
        <v>1</v>
      </c>
      <c r="V1158">
        <f t="shared" si="18"/>
        <v>34</v>
      </c>
    </row>
    <row r="1159" spans="1:22" ht="13" x14ac:dyDescent="0.15">
      <c r="A1159" s="4">
        <v>44777</v>
      </c>
      <c r="B1159" s="5">
        <v>0.77083333333333337</v>
      </c>
      <c r="C1159" s="1">
        <v>1767</v>
      </c>
      <c r="D1159" s="1">
        <v>13002606</v>
      </c>
      <c r="E1159" s="1">
        <v>13</v>
      </c>
      <c r="F1159" s="1">
        <v>22589</v>
      </c>
      <c r="G1159" s="1" t="s">
        <v>21</v>
      </c>
      <c r="H1159" s="1">
        <v>15</v>
      </c>
      <c r="I1159" s="1">
        <v>30028</v>
      </c>
      <c r="J1159" s="1" t="s">
        <v>166</v>
      </c>
      <c r="K1159" s="1" t="s">
        <v>51</v>
      </c>
      <c r="L1159" s="1" t="s">
        <v>167</v>
      </c>
      <c r="M1159" s="1">
        <v>1</v>
      </c>
      <c r="N1159" s="2">
        <v>10.01</v>
      </c>
      <c r="O1159" s="3">
        <v>17</v>
      </c>
      <c r="P1159" s="1">
        <v>1.66</v>
      </c>
      <c r="Q1159" s="1">
        <v>9</v>
      </c>
      <c r="R1159" s="1">
        <v>200010001749</v>
      </c>
      <c r="S1159" s="1">
        <v>50</v>
      </c>
      <c r="T1159" s="1">
        <v>1</v>
      </c>
      <c r="U1159" s="1">
        <v>2</v>
      </c>
      <c r="V1159">
        <f t="shared" si="18"/>
        <v>17</v>
      </c>
    </row>
    <row r="1160" spans="1:22" ht="13" x14ac:dyDescent="0.15">
      <c r="A1160" s="4">
        <v>44777</v>
      </c>
      <c r="B1160" s="5">
        <v>0.77209490740740738</v>
      </c>
      <c r="C1160" s="1">
        <v>1768</v>
      </c>
      <c r="D1160" s="1">
        <v>13002606</v>
      </c>
      <c r="E1160" s="1">
        <v>13</v>
      </c>
      <c r="F1160" s="1">
        <v>22589</v>
      </c>
      <c r="G1160" s="1" t="s">
        <v>21</v>
      </c>
      <c r="H1160" s="1">
        <v>15</v>
      </c>
      <c r="I1160" s="1">
        <v>45314</v>
      </c>
      <c r="J1160" s="1" t="s">
        <v>767</v>
      </c>
      <c r="K1160" s="1" t="s">
        <v>252</v>
      </c>
      <c r="L1160" s="1" t="s">
        <v>360</v>
      </c>
      <c r="M1160" s="1">
        <v>1</v>
      </c>
      <c r="N1160" s="2">
        <v>20.3</v>
      </c>
      <c r="O1160" s="3">
        <v>33</v>
      </c>
      <c r="P1160" s="1">
        <v>3</v>
      </c>
      <c r="Q1160" s="1">
        <v>9</v>
      </c>
      <c r="R1160" s="1">
        <v>200010001749</v>
      </c>
      <c r="S1160" s="1">
        <v>50</v>
      </c>
      <c r="T1160" s="1">
        <v>1</v>
      </c>
      <c r="U1160" s="1">
        <v>6</v>
      </c>
      <c r="V1160">
        <f t="shared" si="18"/>
        <v>33</v>
      </c>
    </row>
    <row r="1161" spans="1:22" ht="13" x14ac:dyDescent="0.15">
      <c r="A1161" s="4">
        <v>44777</v>
      </c>
      <c r="B1161" s="5">
        <v>0.77209490740740738</v>
      </c>
      <c r="C1161" s="1">
        <v>1768</v>
      </c>
      <c r="D1161" s="1">
        <v>13002606</v>
      </c>
      <c r="E1161" s="1">
        <v>13</v>
      </c>
      <c r="F1161" s="1">
        <v>22589</v>
      </c>
      <c r="G1161" s="1" t="s">
        <v>21</v>
      </c>
      <c r="H1161" s="1">
        <v>15</v>
      </c>
      <c r="I1161" s="1">
        <v>28980</v>
      </c>
      <c r="J1161" s="1" t="s">
        <v>1063</v>
      </c>
      <c r="K1161" s="1" t="s">
        <v>48</v>
      </c>
      <c r="L1161" s="1" t="s">
        <v>1064</v>
      </c>
      <c r="M1161" s="1">
        <v>1</v>
      </c>
      <c r="N1161" s="2">
        <v>79.930000000000007</v>
      </c>
      <c r="O1161" s="3">
        <v>126</v>
      </c>
      <c r="P1161" s="1">
        <v>12</v>
      </c>
      <c r="Q1161" s="1">
        <v>9</v>
      </c>
      <c r="R1161" s="1">
        <v>200010001749</v>
      </c>
      <c r="S1161" s="1">
        <v>50</v>
      </c>
      <c r="T1161" s="1">
        <v>1</v>
      </c>
      <c r="U1161" s="1">
        <v>2</v>
      </c>
      <c r="V1161">
        <f t="shared" si="18"/>
        <v>126</v>
      </c>
    </row>
    <row r="1162" spans="1:22" ht="13" x14ac:dyDescent="0.15">
      <c r="A1162" s="4">
        <v>44777</v>
      </c>
      <c r="B1162" s="5">
        <v>0.77649305555555559</v>
      </c>
      <c r="C1162" s="1">
        <v>1769</v>
      </c>
      <c r="D1162" s="1">
        <v>13002606</v>
      </c>
      <c r="E1162" s="1">
        <v>13</v>
      </c>
      <c r="F1162" s="1">
        <v>22589</v>
      </c>
      <c r="G1162" s="1" t="s">
        <v>21</v>
      </c>
      <c r="H1162" s="1">
        <v>18</v>
      </c>
      <c r="I1162" s="1">
        <v>468466</v>
      </c>
      <c r="J1162" s="1" t="s">
        <v>128</v>
      </c>
      <c r="K1162" s="1" t="s">
        <v>51</v>
      </c>
      <c r="L1162" s="1" t="s">
        <v>129</v>
      </c>
      <c r="M1162" s="1">
        <v>1</v>
      </c>
      <c r="N1162" s="2">
        <v>666.45</v>
      </c>
      <c r="O1162" s="3">
        <v>739</v>
      </c>
      <c r="P1162" s="1">
        <v>0</v>
      </c>
      <c r="Q1162" s="1" t="s">
        <v>25</v>
      </c>
      <c r="R1162" s="1" t="s">
        <v>25</v>
      </c>
      <c r="S1162" s="1">
        <v>50</v>
      </c>
      <c r="T1162" s="1">
        <v>1</v>
      </c>
      <c r="U1162" s="1">
        <v>1</v>
      </c>
      <c r="V1162">
        <f t="shared" si="18"/>
        <v>739</v>
      </c>
    </row>
    <row r="1163" spans="1:22" ht="13" x14ac:dyDescent="0.15">
      <c r="A1163" s="4">
        <v>44777</v>
      </c>
      <c r="B1163" s="5">
        <v>0.78432870370370367</v>
      </c>
      <c r="C1163" s="1">
        <v>1770</v>
      </c>
      <c r="D1163" s="1">
        <v>13002606</v>
      </c>
      <c r="E1163" s="1">
        <v>13</v>
      </c>
      <c r="F1163" s="1">
        <v>22589</v>
      </c>
      <c r="G1163" s="1" t="s">
        <v>21</v>
      </c>
      <c r="H1163" s="1">
        <v>15</v>
      </c>
      <c r="I1163" s="1">
        <v>74656</v>
      </c>
      <c r="J1163" s="1" t="s">
        <v>198</v>
      </c>
      <c r="K1163" s="1" t="s">
        <v>51</v>
      </c>
      <c r="L1163" s="1" t="s">
        <v>76</v>
      </c>
      <c r="M1163" s="1">
        <v>1</v>
      </c>
      <c r="N1163" s="2">
        <v>400.74</v>
      </c>
      <c r="O1163" s="3">
        <v>481</v>
      </c>
      <c r="P1163" s="1">
        <v>33</v>
      </c>
      <c r="Q1163" s="1">
        <v>9</v>
      </c>
      <c r="R1163" s="1">
        <v>200010016190</v>
      </c>
      <c r="S1163" s="1">
        <v>50</v>
      </c>
      <c r="T1163" s="1">
        <v>1</v>
      </c>
      <c r="U1163" s="1">
        <v>1</v>
      </c>
      <c r="V1163">
        <f t="shared" si="18"/>
        <v>481</v>
      </c>
    </row>
    <row r="1164" spans="1:22" ht="13" x14ac:dyDescent="0.15">
      <c r="A1164" s="4">
        <v>44777</v>
      </c>
      <c r="B1164" s="5">
        <v>0.78734953703703703</v>
      </c>
      <c r="C1164" s="1">
        <v>1771</v>
      </c>
      <c r="D1164" s="1">
        <v>13002606</v>
      </c>
      <c r="E1164" s="1">
        <v>13</v>
      </c>
      <c r="F1164" s="1">
        <v>22589</v>
      </c>
      <c r="G1164" s="1" t="s">
        <v>21</v>
      </c>
      <c r="H1164" s="1">
        <v>15</v>
      </c>
      <c r="I1164" s="1">
        <v>5312</v>
      </c>
      <c r="J1164" s="1" t="s">
        <v>642</v>
      </c>
      <c r="K1164" s="1" t="s">
        <v>61</v>
      </c>
      <c r="L1164" s="1" t="s">
        <v>1065</v>
      </c>
      <c r="M1164" s="1">
        <v>1</v>
      </c>
      <c r="N1164" s="2">
        <v>284.79000000000002</v>
      </c>
      <c r="O1164" s="3">
        <v>385</v>
      </c>
      <c r="P1164" s="1">
        <v>38</v>
      </c>
      <c r="Q1164" s="1">
        <v>30</v>
      </c>
      <c r="R1164" s="1">
        <v>200000000024</v>
      </c>
      <c r="S1164" s="1">
        <v>50</v>
      </c>
      <c r="T1164" s="1">
        <v>1</v>
      </c>
      <c r="U1164" s="1">
        <v>1</v>
      </c>
      <c r="V1164">
        <f t="shared" si="18"/>
        <v>385</v>
      </c>
    </row>
    <row r="1165" spans="1:22" ht="13" x14ac:dyDescent="0.15">
      <c r="A1165" s="4">
        <v>44777</v>
      </c>
      <c r="B1165" s="5">
        <v>0.79398148148148151</v>
      </c>
      <c r="C1165" s="1">
        <v>1772</v>
      </c>
      <c r="D1165" s="1">
        <v>13002606</v>
      </c>
      <c r="E1165" s="1">
        <v>13</v>
      </c>
      <c r="F1165" s="1">
        <v>22589</v>
      </c>
      <c r="G1165" s="1" t="s">
        <v>21</v>
      </c>
      <c r="H1165" s="1">
        <v>15</v>
      </c>
      <c r="I1165" s="1">
        <v>445311</v>
      </c>
      <c r="J1165" s="1" t="s">
        <v>1066</v>
      </c>
      <c r="K1165" s="1" t="s">
        <v>29</v>
      </c>
      <c r="L1165" s="1" t="s">
        <v>255</v>
      </c>
      <c r="M1165" s="1">
        <v>1</v>
      </c>
      <c r="N1165" s="2">
        <v>218.85</v>
      </c>
      <c r="O1165" s="3">
        <v>266</v>
      </c>
      <c r="P1165" s="1">
        <v>0</v>
      </c>
      <c r="Q1165" s="1" t="s">
        <v>25</v>
      </c>
      <c r="R1165" s="1" t="s">
        <v>25</v>
      </c>
      <c r="S1165" s="1">
        <v>50</v>
      </c>
      <c r="T1165" s="1">
        <v>1</v>
      </c>
      <c r="U1165" s="1">
        <v>2</v>
      </c>
      <c r="V1165">
        <f t="shared" si="18"/>
        <v>266</v>
      </c>
    </row>
    <row r="1166" spans="1:22" ht="13" x14ac:dyDescent="0.15">
      <c r="A1166" s="4">
        <v>44777</v>
      </c>
      <c r="B1166" s="5">
        <v>0.79398148148148151</v>
      </c>
      <c r="C1166" s="1">
        <v>1772</v>
      </c>
      <c r="D1166" s="1">
        <v>13002606</v>
      </c>
      <c r="E1166" s="1">
        <v>13</v>
      </c>
      <c r="F1166" s="1">
        <v>22589</v>
      </c>
      <c r="G1166" s="1" t="s">
        <v>21</v>
      </c>
      <c r="H1166" s="1">
        <v>15</v>
      </c>
      <c r="I1166" s="1">
        <v>338370</v>
      </c>
      <c r="J1166" s="1" t="s">
        <v>762</v>
      </c>
      <c r="K1166" s="1" t="s">
        <v>23</v>
      </c>
      <c r="L1166" s="1" t="s">
        <v>276</v>
      </c>
      <c r="M1166" s="1">
        <v>1</v>
      </c>
      <c r="N1166" s="2">
        <v>2564.6</v>
      </c>
      <c r="O1166" s="3">
        <v>3001</v>
      </c>
      <c r="P1166" s="1">
        <v>300</v>
      </c>
      <c r="Q1166" s="1">
        <v>30</v>
      </c>
      <c r="R1166" s="1">
        <v>200000000024</v>
      </c>
      <c r="S1166" s="1">
        <v>50</v>
      </c>
      <c r="T1166" s="1">
        <v>1</v>
      </c>
      <c r="U1166" s="1">
        <v>1</v>
      </c>
      <c r="V1166">
        <f t="shared" si="18"/>
        <v>3001</v>
      </c>
    </row>
    <row r="1167" spans="1:22" ht="13" x14ac:dyDescent="0.15">
      <c r="A1167" s="4">
        <v>44777</v>
      </c>
      <c r="B1167" s="5">
        <v>0.79652777777777772</v>
      </c>
      <c r="C1167" s="1">
        <v>1773</v>
      </c>
      <c r="D1167" s="1">
        <v>13002606</v>
      </c>
      <c r="E1167" s="1">
        <v>13</v>
      </c>
      <c r="F1167" s="1">
        <v>22589</v>
      </c>
      <c r="G1167" s="1" t="s">
        <v>21</v>
      </c>
      <c r="H1167" s="1">
        <v>18</v>
      </c>
      <c r="I1167" s="1">
        <v>25780</v>
      </c>
      <c r="J1167" s="1" t="s">
        <v>1067</v>
      </c>
      <c r="K1167" s="1" t="s">
        <v>34</v>
      </c>
      <c r="L1167" s="1" t="s">
        <v>1068</v>
      </c>
      <c r="M1167" s="1">
        <v>1</v>
      </c>
      <c r="N1167" s="2">
        <v>264.64</v>
      </c>
      <c r="O1167" s="3">
        <v>403</v>
      </c>
      <c r="P1167" s="1">
        <v>0</v>
      </c>
      <c r="Q1167" s="1" t="s">
        <v>25</v>
      </c>
      <c r="R1167" s="1" t="s">
        <v>25</v>
      </c>
      <c r="S1167" s="1">
        <v>50</v>
      </c>
      <c r="T1167" s="1">
        <v>1</v>
      </c>
      <c r="U1167" s="1">
        <v>1</v>
      </c>
      <c r="V1167">
        <f t="shared" si="18"/>
        <v>403</v>
      </c>
    </row>
    <row r="1168" spans="1:22" ht="13" x14ac:dyDescent="0.15">
      <c r="A1168" s="4">
        <v>44777</v>
      </c>
      <c r="B1168" s="5">
        <v>0.79959490740740746</v>
      </c>
      <c r="C1168" s="1">
        <v>1774</v>
      </c>
      <c r="D1168" s="1">
        <v>13002606</v>
      </c>
      <c r="E1168" s="1">
        <v>13</v>
      </c>
      <c r="F1168" s="1">
        <v>22589</v>
      </c>
      <c r="G1168" s="1" t="s">
        <v>21</v>
      </c>
      <c r="H1168" s="1">
        <v>18</v>
      </c>
      <c r="I1168" s="1">
        <v>431</v>
      </c>
      <c r="J1168" s="1" t="s">
        <v>989</v>
      </c>
      <c r="K1168" s="1" t="s">
        <v>29</v>
      </c>
      <c r="L1168" s="1" t="s">
        <v>216</v>
      </c>
      <c r="M1168" s="1">
        <v>1</v>
      </c>
      <c r="N1168" s="2">
        <v>41.83</v>
      </c>
      <c r="O1168" s="3">
        <v>51</v>
      </c>
      <c r="P1168" s="1">
        <v>0</v>
      </c>
      <c r="Q1168" s="1" t="s">
        <v>25</v>
      </c>
      <c r="R1168" s="1" t="s">
        <v>25</v>
      </c>
      <c r="S1168" s="1">
        <v>50</v>
      </c>
      <c r="T1168" s="1">
        <v>1</v>
      </c>
      <c r="U1168" s="1">
        <v>1</v>
      </c>
      <c r="V1168">
        <f t="shared" si="18"/>
        <v>51</v>
      </c>
    </row>
    <row r="1169" spans="1:22" ht="13" x14ac:dyDescent="0.15">
      <c r="A1169" s="4">
        <v>44777</v>
      </c>
      <c r="B1169" s="5">
        <v>0.79959490740740746</v>
      </c>
      <c r="C1169" s="1">
        <v>1774</v>
      </c>
      <c r="D1169" s="1">
        <v>13002606</v>
      </c>
      <c r="E1169" s="1">
        <v>13</v>
      </c>
      <c r="F1169" s="1">
        <v>22589</v>
      </c>
      <c r="G1169" s="1" t="s">
        <v>21</v>
      </c>
      <c r="H1169" s="1">
        <v>18</v>
      </c>
      <c r="I1169" s="1">
        <v>364623</v>
      </c>
      <c r="J1169" s="1" t="s">
        <v>1069</v>
      </c>
      <c r="K1169" s="1" t="s">
        <v>51</v>
      </c>
      <c r="L1169" s="1" t="s">
        <v>668</v>
      </c>
      <c r="M1169" s="1">
        <v>0.05</v>
      </c>
      <c r="N1169" s="2">
        <v>789.39</v>
      </c>
      <c r="O1169" s="3">
        <v>1121</v>
      </c>
      <c r="P1169" s="1">
        <v>0</v>
      </c>
      <c r="Q1169" s="1" t="s">
        <v>25</v>
      </c>
      <c r="R1169" s="1" t="s">
        <v>25</v>
      </c>
      <c r="S1169" s="1">
        <v>50</v>
      </c>
      <c r="T1169" s="1">
        <v>1</v>
      </c>
      <c r="U1169" s="1">
        <v>5</v>
      </c>
      <c r="V1169">
        <f t="shared" si="18"/>
        <v>56.050000000000004</v>
      </c>
    </row>
    <row r="1170" spans="1:22" ht="13" x14ac:dyDescent="0.15">
      <c r="A1170" s="4">
        <v>44777</v>
      </c>
      <c r="B1170" s="5">
        <v>0.79959490740740746</v>
      </c>
      <c r="C1170" s="1">
        <v>1774</v>
      </c>
      <c r="D1170" s="1">
        <v>13002606</v>
      </c>
      <c r="E1170" s="1">
        <v>13</v>
      </c>
      <c r="F1170" s="1">
        <v>22589</v>
      </c>
      <c r="G1170" s="1" t="s">
        <v>21</v>
      </c>
      <c r="H1170" s="1">
        <v>18</v>
      </c>
      <c r="I1170" s="1">
        <v>186629</v>
      </c>
      <c r="J1170" s="1" t="s">
        <v>1070</v>
      </c>
      <c r="K1170" s="1" t="s">
        <v>23</v>
      </c>
      <c r="L1170" s="1" t="s">
        <v>206</v>
      </c>
      <c r="M1170" s="1">
        <v>1</v>
      </c>
      <c r="N1170" s="2">
        <v>70.31</v>
      </c>
      <c r="O1170" s="3">
        <v>87</v>
      </c>
      <c r="P1170" s="1">
        <v>0</v>
      </c>
      <c r="Q1170" s="1" t="s">
        <v>25</v>
      </c>
      <c r="R1170" s="1" t="s">
        <v>25</v>
      </c>
      <c r="S1170" s="1">
        <v>50</v>
      </c>
      <c r="T1170" s="1">
        <v>1</v>
      </c>
      <c r="U1170" s="1">
        <v>3</v>
      </c>
      <c r="V1170">
        <f t="shared" si="18"/>
        <v>87</v>
      </c>
    </row>
    <row r="1171" spans="1:22" ht="13" x14ac:dyDescent="0.15">
      <c r="A1171" s="4">
        <v>44777</v>
      </c>
      <c r="B1171" s="5">
        <v>0.79959490740740746</v>
      </c>
      <c r="C1171" s="1">
        <v>1774</v>
      </c>
      <c r="D1171" s="1">
        <v>13002606</v>
      </c>
      <c r="E1171" s="1">
        <v>13</v>
      </c>
      <c r="F1171" s="1">
        <v>22589</v>
      </c>
      <c r="G1171" s="1" t="s">
        <v>21</v>
      </c>
      <c r="H1171" s="1">
        <v>18</v>
      </c>
      <c r="I1171" s="1">
        <v>506822</v>
      </c>
      <c r="J1171" s="1" t="s">
        <v>1071</v>
      </c>
      <c r="K1171" s="1" t="s">
        <v>34</v>
      </c>
      <c r="L1171" s="1" t="s">
        <v>756</v>
      </c>
      <c r="M1171" s="1">
        <v>1</v>
      </c>
      <c r="N1171" s="2">
        <v>134.01</v>
      </c>
      <c r="O1171" s="3">
        <v>162</v>
      </c>
      <c r="P1171" s="1">
        <v>0</v>
      </c>
      <c r="Q1171" s="1" t="s">
        <v>25</v>
      </c>
      <c r="R1171" s="1" t="s">
        <v>25</v>
      </c>
      <c r="S1171" s="1">
        <v>50</v>
      </c>
      <c r="T1171" s="1">
        <v>1</v>
      </c>
      <c r="U1171" s="1">
        <v>2</v>
      </c>
      <c r="V1171">
        <f t="shared" si="18"/>
        <v>162</v>
      </c>
    </row>
    <row r="1172" spans="1:22" ht="13" x14ac:dyDescent="0.15">
      <c r="A1172" s="4">
        <v>44777</v>
      </c>
      <c r="B1172" s="5">
        <v>0.81480324074074073</v>
      </c>
      <c r="C1172" s="1">
        <v>1775</v>
      </c>
      <c r="D1172" s="1">
        <v>13002606</v>
      </c>
      <c r="E1172" s="1">
        <v>13</v>
      </c>
      <c r="F1172" s="1">
        <v>22589</v>
      </c>
      <c r="G1172" s="1" t="s">
        <v>21</v>
      </c>
      <c r="H1172" s="1">
        <v>15</v>
      </c>
      <c r="I1172" s="1">
        <v>1517</v>
      </c>
      <c r="J1172" s="1" t="s">
        <v>1072</v>
      </c>
      <c r="K1172" s="1" t="s">
        <v>29</v>
      </c>
      <c r="L1172" s="1" t="s">
        <v>612</v>
      </c>
      <c r="M1172" s="1">
        <v>1</v>
      </c>
      <c r="N1172" s="2">
        <v>21.27</v>
      </c>
      <c r="O1172" s="3">
        <v>26</v>
      </c>
      <c r="P1172" s="1">
        <v>0</v>
      </c>
      <c r="Q1172" s="1" t="s">
        <v>25</v>
      </c>
      <c r="R1172" s="1" t="s">
        <v>25</v>
      </c>
      <c r="S1172" s="1">
        <v>50</v>
      </c>
      <c r="T1172" s="1">
        <v>1</v>
      </c>
      <c r="U1172" s="1">
        <v>1</v>
      </c>
      <c r="V1172">
        <f t="shared" si="18"/>
        <v>26</v>
      </c>
    </row>
    <row r="1173" spans="1:22" ht="13" x14ac:dyDescent="0.15">
      <c r="A1173" s="4">
        <v>44777</v>
      </c>
      <c r="B1173" s="5">
        <v>0.81480324074074073</v>
      </c>
      <c r="C1173" s="1">
        <v>1775</v>
      </c>
      <c r="D1173" s="1">
        <v>13002606</v>
      </c>
      <c r="E1173" s="1">
        <v>13</v>
      </c>
      <c r="F1173" s="1">
        <v>22589</v>
      </c>
      <c r="G1173" s="1" t="s">
        <v>21</v>
      </c>
      <c r="H1173" s="1">
        <v>15</v>
      </c>
      <c r="I1173" s="1">
        <v>1517</v>
      </c>
      <c r="J1173" s="1" t="s">
        <v>1072</v>
      </c>
      <c r="K1173" s="1" t="s">
        <v>29</v>
      </c>
      <c r="L1173" s="1" t="s">
        <v>612</v>
      </c>
      <c r="M1173" s="1">
        <v>1</v>
      </c>
      <c r="N1173" s="2">
        <v>21.27</v>
      </c>
      <c r="O1173" s="3">
        <v>26</v>
      </c>
      <c r="P1173" s="1">
        <v>0</v>
      </c>
      <c r="Q1173" s="1" t="s">
        <v>25</v>
      </c>
      <c r="R1173" s="1" t="s">
        <v>25</v>
      </c>
      <c r="S1173" s="1">
        <v>50</v>
      </c>
      <c r="T1173" s="1">
        <v>1</v>
      </c>
      <c r="U1173" s="1">
        <v>2</v>
      </c>
      <c r="V1173">
        <f t="shared" si="18"/>
        <v>26</v>
      </c>
    </row>
    <row r="1174" spans="1:22" ht="13" x14ac:dyDescent="0.15">
      <c r="A1174" s="4">
        <v>44777</v>
      </c>
      <c r="B1174" s="5">
        <v>0.81480324074074073</v>
      </c>
      <c r="C1174" s="1">
        <v>1775</v>
      </c>
      <c r="D1174" s="1">
        <v>13002606</v>
      </c>
      <c r="E1174" s="1">
        <v>13</v>
      </c>
      <c r="F1174" s="1">
        <v>22589</v>
      </c>
      <c r="G1174" s="1" t="s">
        <v>21</v>
      </c>
      <c r="H1174" s="1">
        <v>15</v>
      </c>
      <c r="I1174" s="1">
        <v>1517</v>
      </c>
      <c r="J1174" s="1" t="s">
        <v>1072</v>
      </c>
      <c r="K1174" s="1" t="s">
        <v>29</v>
      </c>
      <c r="L1174" s="1" t="s">
        <v>612</v>
      </c>
      <c r="M1174" s="1">
        <v>1</v>
      </c>
      <c r="N1174" s="2">
        <v>21.27</v>
      </c>
      <c r="O1174" s="3">
        <v>26</v>
      </c>
      <c r="P1174" s="1">
        <v>0</v>
      </c>
      <c r="Q1174" s="1" t="s">
        <v>25</v>
      </c>
      <c r="R1174" s="1" t="s">
        <v>25</v>
      </c>
      <c r="S1174" s="1">
        <v>50</v>
      </c>
      <c r="T1174" s="1">
        <v>1</v>
      </c>
      <c r="U1174" s="1">
        <v>3</v>
      </c>
      <c r="V1174">
        <f t="shared" si="18"/>
        <v>26</v>
      </c>
    </row>
    <row r="1175" spans="1:22" ht="13" x14ac:dyDescent="0.15">
      <c r="A1175" s="4">
        <v>44777</v>
      </c>
      <c r="B1175" s="5">
        <v>0.81480324074074073</v>
      </c>
      <c r="C1175" s="1">
        <v>1775</v>
      </c>
      <c r="D1175" s="1">
        <v>13002606</v>
      </c>
      <c r="E1175" s="1">
        <v>13</v>
      </c>
      <c r="F1175" s="1">
        <v>22589</v>
      </c>
      <c r="G1175" s="1" t="s">
        <v>21</v>
      </c>
      <c r="H1175" s="1">
        <v>15</v>
      </c>
      <c r="I1175" s="1">
        <v>422260</v>
      </c>
      <c r="J1175" s="1" t="s">
        <v>667</v>
      </c>
      <c r="K1175" s="1" t="s">
        <v>51</v>
      </c>
      <c r="L1175" s="1" t="s">
        <v>668</v>
      </c>
      <c r="M1175" s="1">
        <v>3</v>
      </c>
      <c r="N1175" s="2">
        <v>28.82</v>
      </c>
      <c r="O1175" s="3">
        <v>47</v>
      </c>
      <c r="P1175" s="1">
        <v>0</v>
      </c>
      <c r="Q1175" s="1" t="s">
        <v>25</v>
      </c>
      <c r="R1175" s="1" t="s">
        <v>25</v>
      </c>
      <c r="S1175" s="1">
        <v>50</v>
      </c>
      <c r="T1175" s="1">
        <v>1</v>
      </c>
      <c r="U1175" s="1">
        <v>4</v>
      </c>
      <c r="V1175">
        <f t="shared" si="18"/>
        <v>141</v>
      </c>
    </row>
    <row r="1176" spans="1:22" ht="13" x14ac:dyDescent="0.15">
      <c r="A1176" s="4">
        <v>44777</v>
      </c>
      <c r="B1176" s="5">
        <v>0.8165162037037037</v>
      </c>
      <c r="C1176" s="1">
        <v>1776</v>
      </c>
      <c r="D1176" s="1">
        <v>13002606</v>
      </c>
      <c r="E1176" s="1">
        <v>13</v>
      </c>
      <c r="F1176" s="1">
        <v>22589</v>
      </c>
      <c r="G1176" s="1" t="s">
        <v>21</v>
      </c>
      <c r="H1176" s="1">
        <v>18</v>
      </c>
      <c r="I1176" s="1">
        <v>550192</v>
      </c>
      <c r="J1176" s="1" t="s">
        <v>1073</v>
      </c>
      <c r="K1176" s="1" t="s">
        <v>34</v>
      </c>
      <c r="L1176" s="1" t="s">
        <v>391</v>
      </c>
      <c r="M1176" s="1">
        <v>1</v>
      </c>
      <c r="N1176" s="2">
        <v>136.80000000000001</v>
      </c>
      <c r="O1176" s="3">
        <v>152.96</v>
      </c>
      <c r="P1176" s="1">
        <v>0</v>
      </c>
      <c r="Q1176" s="1" t="s">
        <v>25</v>
      </c>
      <c r="R1176" s="1" t="s">
        <v>25</v>
      </c>
      <c r="S1176" s="1">
        <v>50</v>
      </c>
      <c r="T1176" s="1">
        <v>2</v>
      </c>
      <c r="U1176" s="1">
        <v>1</v>
      </c>
      <c r="V1176">
        <f t="shared" si="18"/>
        <v>152.96</v>
      </c>
    </row>
    <row r="1177" spans="1:22" ht="13" x14ac:dyDescent="0.15">
      <c r="A1177" s="4">
        <v>44777</v>
      </c>
      <c r="B1177" s="5">
        <v>0.8165162037037037</v>
      </c>
      <c r="C1177" s="1">
        <v>1776</v>
      </c>
      <c r="D1177" s="1">
        <v>13002606</v>
      </c>
      <c r="E1177" s="1">
        <v>13</v>
      </c>
      <c r="F1177" s="1">
        <v>22589</v>
      </c>
      <c r="G1177" s="1" t="s">
        <v>21</v>
      </c>
      <c r="H1177" s="1">
        <v>18</v>
      </c>
      <c r="I1177" s="1">
        <v>5326</v>
      </c>
      <c r="J1177" s="1" t="s">
        <v>1074</v>
      </c>
      <c r="K1177" s="1" t="s">
        <v>34</v>
      </c>
      <c r="L1177" s="1" t="s">
        <v>939</v>
      </c>
      <c r="M1177" s="1">
        <v>1</v>
      </c>
      <c r="N1177" s="2">
        <v>83.38</v>
      </c>
      <c r="O1177" s="3">
        <v>98.41</v>
      </c>
      <c r="P1177" s="1">
        <v>0</v>
      </c>
      <c r="Q1177" s="1" t="s">
        <v>25</v>
      </c>
      <c r="R1177" s="1" t="s">
        <v>25</v>
      </c>
      <c r="S1177" s="1">
        <v>50</v>
      </c>
      <c r="T1177" s="1">
        <v>2</v>
      </c>
      <c r="U1177" s="1">
        <v>2</v>
      </c>
      <c r="V1177">
        <f t="shared" si="18"/>
        <v>98.41</v>
      </c>
    </row>
    <row r="1178" spans="1:22" ht="13" x14ac:dyDescent="0.15">
      <c r="A1178" s="4">
        <v>44777</v>
      </c>
      <c r="B1178" s="5">
        <v>0.8165162037037037</v>
      </c>
      <c r="C1178" s="1">
        <v>1776</v>
      </c>
      <c r="D1178" s="1">
        <v>13002606</v>
      </c>
      <c r="E1178" s="1">
        <v>13</v>
      </c>
      <c r="F1178" s="1">
        <v>22589</v>
      </c>
      <c r="G1178" s="1" t="s">
        <v>21</v>
      </c>
      <c r="H1178" s="1">
        <v>18</v>
      </c>
      <c r="I1178" s="1">
        <v>5326</v>
      </c>
      <c r="J1178" s="1" t="s">
        <v>1074</v>
      </c>
      <c r="K1178" s="1" t="s">
        <v>34</v>
      </c>
      <c r="L1178" s="1" t="s">
        <v>939</v>
      </c>
      <c r="M1178" s="1">
        <v>1</v>
      </c>
      <c r="N1178" s="2">
        <v>83.38</v>
      </c>
      <c r="O1178" s="3">
        <v>98.41</v>
      </c>
      <c r="P1178" s="1">
        <v>0</v>
      </c>
      <c r="Q1178" s="1" t="s">
        <v>25</v>
      </c>
      <c r="R1178" s="1" t="s">
        <v>25</v>
      </c>
      <c r="S1178" s="1">
        <v>50</v>
      </c>
      <c r="T1178" s="1">
        <v>2</v>
      </c>
      <c r="U1178" s="1">
        <v>3</v>
      </c>
      <c r="V1178">
        <f t="shared" si="18"/>
        <v>98.41</v>
      </c>
    </row>
    <row r="1179" spans="1:22" ht="13" x14ac:dyDescent="0.15">
      <c r="A1179" s="4">
        <v>44777</v>
      </c>
      <c r="B1179" s="5">
        <v>0.8165162037037037</v>
      </c>
      <c r="C1179" s="1">
        <v>1776</v>
      </c>
      <c r="D1179" s="1">
        <v>13002606</v>
      </c>
      <c r="E1179" s="1">
        <v>13</v>
      </c>
      <c r="F1179" s="1">
        <v>22589</v>
      </c>
      <c r="G1179" s="1" t="s">
        <v>21</v>
      </c>
      <c r="H1179" s="1">
        <v>18</v>
      </c>
      <c r="I1179" s="1">
        <v>5326</v>
      </c>
      <c r="J1179" s="1" t="s">
        <v>1074</v>
      </c>
      <c r="K1179" s="1" t="s">
        <v>34</v>
      </c>
      <c r="L1179" s="1" t="s">
        <v>939</v>
      </c>
      <c r="M1179" s="1">
        <v>1</v>
      </c>
      <c r="N1179" s="2">
        <v>83.38</v>
      </c>
      <c r="O1179" s="3">
        <v>98.41</v>
      </c>
      <c r="P1179" s="1">
        <v>0</v>
      </c>
      <c r="Q1179" s="1" t="s">
        <v>25</v>
      </c>
      <c r="R1179" s="1" t="s">
        <v>25</v>
      </c>
      <c r="S1179" s="1">
        <v>50</v>
      </c>
      <c r="T1179" s="1">
        <v>2</v>
      </c>
      <c r="U1179" s="1">
        <v>4</v>
      </c>
      <c r="V1179">
        <f t="shared" si="18"/>
        <v>98.41</v>
      </c>
    </row>
    <row r="1180" spans="1:22" ht="13" x14ac:dyDescent="0.15">
      <c r="A1180" s="4">
        <v>44777</v>
      </c>
      <c r="B1180" s="5">
        <v>0.82451388888888888</v>
      </c>
      <c r="C1180" s="1">
        <v>1777</v>
      </c>
      <c r="D1180" s="1">
        <v>13002606</v>
      </c>
      <c r="E1180" s="1">
        <v>13</v>
      </c>
      <c r="F1180" s="1">
        <v>22589</v>
      </c>
      <c r="G1180" s="1" t="s">
        <v>21</v>
      </c>
      <c r="H1180" s="1">
        <v>18</v>
      </c>
      <c r="I1180" s="1">
        <v>3534</v>
      </c>
      <c r="J1180" s="1" t="s">
        <v>881</v>
      </c>
      <c r="K1180" s="1" t="s">
        <v>48</v>
      </c>
      <c r="L1180" s="1" t="s">
        <v>882</v>
      </c>
      <c r="M1180" s="1">
        <v>1</v>
      </c>
      <c r="N1180" s="2">
        <v>314.12</v>
      </c>
      <c r="O1180" s="3">
        <v>383</v>
      </c>
      <c r="P1180" s="1">
        <v>0</v>
      </c>
      <c r="Q1180" s="1" t="s">
        <v>25</v>
      </c>
      <c r="R1180" s="1" t="s">
        <v>25</v>
      </c>
      <c r="S1180" s="1">
        <v>50</v>
      </c>
      <c r="T1180" s="1">
        <v>1</v>
      </c>
      <c r="U1180" s="1">
        <v>1</v>
      </c>
      <c r="V1180">
        <f t="shared" si="18"/>
        <v>383</v>
      </c>
    </row>
    <row r="1181" spans="1:22" ht="13" x14ac:dyDescent="0.15">
      <c r="A1181" s="4">
        <v>44777</v>
      </c>
      <c r="B1181" s="5">
        <v>0.82451388888888888</v>
      </c>
      <c r="C1181" s="1">
        <v>1777</v>
      </c>
      <c r="D1181" s="1">
        <v>13002606</v>
      </c>
      <c r="E1181" s="1">
        <v>13</v>
      </c>
      <c r="F1181" s="1">
        <v>22589</v>
      </c>
      <c r="G1181" s="1" t="s">
        <v>21</v>
      </c>
      <c r="H1181" s="1">
        <v>18</v>
      </c>
      <c r="I1181" s="1">
        <v>443168</v>
      </c>
      <c r="J1181" s="1" t="s">
        <v>495</v>
      </c>
      <c r="K1181" s="1" t="s">
        <v>51</v>
      </c>
      <c r="L1181" s="1" t="s">
        <v>52</v>
      </c>
      <c r="M1181" s="1">
        <v>1</v>
      </c>
      <c r="N1181" s="2">
        <v>61.5</v>
      </c>
      <c r="O1181" s="3">
        <v>97</v>
      </c>
      <c r="P1181" s="1">
        <v>0</v>
      </c>
      <c r="Q1181" s="1" t="s">
        <v>25</v>
      </c>
      <c r="R1181" s="1" t="s">
        <v>25</v>
      </c>
      <c r="S1181" s="1">
        <v>50</v>
      </c>
      <c r="T1181" s="1">
        <v>1</v>
      </c>
      <c r="U1181" s="1">
        <v>2</v>
      </c>
      <c r="V1181">
        <f t="shared" si="18"/>
        <v>97</v>
      </c>
    </row>
    <row r="1182" spans="1:22" ht="13" x14ac:dyDescent="0.15">
      <c r="A1182" s="4">
        <v>44778</v>
      </c>
      <c r="B1182" s="5">
        <v>0.33399305555555553</v>
      </c>
      <c r="C1182" s="1">
        <v>1781</v>
      </c>
      <c r="D1182" s="1">
        <v>13002616</v>
      </c>
      <c r="E1182" s="1">
        <v>13</v>
      </c>
      <c r="F1182" s="1">
        <v>22589</v>
      </c>
      <c r="G1182" s="1" t="s">
        <v>21</v>
      </c>
      <c r="H1182" s="1">
        <v>15</v>
      </c>
      <c r="I1182" s="1">
        <v>104602</v>
      </c>
      <c r="J1182" s="1" t="s">
        <v>707</v>
      </c>
      <c r="K1182" s="1" t="s">
        <v>708</v>
      </c>
      <c r="L1182" s="1" t="s">
        <v>709</v>
      </c>
      <c r="M1182" s="1">
        <v>2</v>
      </c>
      <c r="N1182" s="2">
        <v>26.4</v>
      </c>
      <c r="O1182" s="3">
        <v>43</v>
      </c>
      <c r="P1182" s="1">
        <v>0</v>
      </c>
      <c r="Q1182" s="1" t="s">
        <v>25</v>
      </c>
      <c r="R1182" s="1" t="s">
        <v>25</v>
      </c>
      <c r="S1182" s="1">
        <v>50</v>
      </c>
      <c r="T1182" s="1">
        <v>1</v>
      </c>
      <c r="U1182" s="1">
        <v>1</v>
      </c>
      <c r="V1182">
        <f t="shared" si="18"/>
        <v>86</v>
      </c>
    </row>
    <row r="1183" spans="1:22" ht="13" x14ac:dyDescent="0.15">
      <c r="A1183" s="4">
        <v>44778</v>
      </c>
      <c r="B1183" s="5">
        <v>0.33399305555555553</v>
      </c>
      <c r="C1183" s="1">
        <v>1781</v>
      </c>
      <c r="D1183" s="1">
        <v>13002616</v>
      </c>
      <c r="E1183" s="1">
        <v>13</v>
      </c>
      <c r="F1183" s="1">
        <v>22589</v>
      </c>
      <c r="G1183" s="1" t="s">
        <v>21</v>
      </c>
      <c r="H1183" s="1">
        <v>15</v>
      </c>
      <c r="I1183" s="1">
        <v>440425</v>
      </c>
      <c r="J1183" s="1" t="s">
        <v>627</v>
      </c>
      <c r="K1183" s="1" t="s">
        <v>51</v>
      </c>
      <c r="L1183" s="1" t="s">
        <v>49</v>
      </c>
      <c r="M1183" s="1">
        <v>1</v>
      </c>
      <c r="N1183" s="2">
        <v>28.81</v>
      </c>
      <c r="O1183" s="3">
        <v>37</v>
      </c>
      <c r="P1183" s="1">
        <v>0</v>
      </c>
      <c r="Q1183" s="1" t="s">
        <v>25</v>
      </c>
      <c r="R1183" s="1" t="s">
        <v>25</v>
      </c>
      <c r="S1183" s="1">
        <v>50</v>
      </c>
      <c r="T1183" s="1">
        <v>1</v>
      </c>
      <c r="U1183" s="1">
        <v>2</v>
      </c>
      <c r="V1183">
        <f t="shared" si="18"/>
        <v>37</v>
      </c>
    </row>
    <row r="1184" spans="1:22" ht="13" x14ac:dyDescent="0.15">
      <c r="A1184" s="4">
        <v>44778</v>
      </c>
      <c r="B1184" s="5">
        <v>0.33399305555555553</v>
      </c>
      <c r="C1184" s="1">
        <v>1781</v>
      </c>
      <c r="D1184" s="1">
        <v>13002616</v>
      </c>
      <c r="E1184" s="1">
        <v>13</v>
      </c>
      <c r="F1184" s="1">
        <v>22589</v>
      </c>
      <c r="G1184" s="1" t="s">
        <v>21</v>
      </c>
      <c r="H1184" s="1">
        <v>15</v>
      </c>
      <c r="I1184" s="1">
        <v>440425</v>
      </c>
      <c r="J1184" s="1" t="s">
        <v>627</v>
      </c>
      <c r="K1184" s="1" t="s">
        <v>51</v>
      </c>
      <c r="L1184" s="1" t="s">
        <v>49</v>
      </c>
      <c r="M1184" s="1">
        <v>1</v>
      </c>
      <c r="N1184" s="2">
        <v>28.81</v>
      </c>
      <c r="O1184" s="3">
        <v>37</v>
      </c>
      <c r="P1184" s="1">
        <v>0</v>
      </c>
      <c r="Q1184" s="1" t="s">
        <v>25</v>
      </c>
      <c r="R1184" s="1" t="s">
        <v>25</v>
      </c>
      <c r="S1184" s="1">
        <v>50</v>
      </c>
      <c r="T1184" s="1">
        <v>1</v>
      </c>
      <c r="U1184" s="1">
        <v>3</v>
      </c>
      <c r="V1184">
        <f t="shared" si="18"/>
        <v>37</v>
      </c>
    </row>
    <row r="1185" spans="1:22" ht="13" x14ac:dyDescent="0.15">
      <c r="A1185" s="4">
        <v>44778</v>
      </c>
      <c r="B1185" s="5">
        <v>0.82562500000000005</v>
      </c>
      <c r="C1185" s="1">
        <v>1901</v>
      </c>
      <c r="D1185" s="1">
        <v>13002616</v>
      </c>
      <c r="E1185" s="1">
        <v>13</v>
      </c>
      <c r="F1185" s="1">
        <v>22589</v>
      </c>
      <c r="G1185" s="1" t="s">
        <v>21</v>
      </c>
      <c r="H1185" s="1">
        <v>18</v>
      </c>
      <c r="I1185" s="1">
        <v>440425</v>
      </c>
      <c r="J1185" s="1" t="s">
        <v>627</v>
      </c>
      <c r="K1185" s="1" t="s">
        <v>51</v>
      </c>
      <c r="L1185" s="1" t="s">
        <v>49</v>
      </c>
      <c r="M1185" s="1">
        <v>1</v>
      </c>
      <c r="N1185" s="2">
        <v>28.81</v>
      </c>
      <c r="O1185" s="3">
        <v>37</v>
      </c>
      <c r="P1185" s="1">
        <v>0</v>
      </c>
      <c r="Q1185" s="1" t="s">
        <v>25</v>
      </c>
      <c r="R1185" s="1" t="s">
        <v>25</v>
      </c>
      <c r="S1185" s="1">
        <v>50</v>
      </c>
      <c r="T1185" s="1">
        <v>1</v>
      </c>
      <c r="U1185" s="1">
        <v>1</v>
      </c>
      <c r="V1185">
        <f t="shared" si="18"/>
        <v>37</v>
      </c>
    </row>
    <row r="1186" spans="1:22" ht="13" x14ac:dyDescent="0.15">
      <c r="A1186" s="4">
        <v>44778</v>
      </c>
      <c r="B1186" s="5">
        <v>0.33399305555555553</v>
      </c>
      <c r="C1186" s="1">
        <v>1781</v>
      </c>
      <c r="D1186" s="1">
        <v>13002616</v>
      </c>
      <c r="E1186" s="1">
        <v>13</v>
      </c>
      <c r="F1186" s="1">
        <v>22589</v>
      </c>
      <c r="G1186" s="1" t="s">
        <v>21</v>
      </c>
      <c r="H1186" s="1">
        <v>15</v>
      </c>
      <c r="I1186" s="1">
        <v>444920</v>
      </c>
      <c r="J1186" s="1" t="s">
        <v>250</v>
      </c>
      <c r="K1186" s="1" t="s">
        <v>51</v>
      </c>
      <c r="L1186" s="1" t="s">
        <v>49</v>
      </c>
      <c r="M1186" s="1">
        <v>1</v>
      </c>
      <c r="N1186" s="2">
        <v>19.47</v>
      </c>
      <c r="O1186" s="3">
        <v>25</v>
      </c>
      <c r="P1186" s="1">
        <v>0</v>
      </c>
      <c r="Q1186" s="1" t="s">
        <v>25</v>
      </c>
      <c r="R1186" s="1" t="s">
        <v>25</v>
      </c>
      <c r="S1186" s="1">
        <v>50</v>
      </c>
      <c r="T1186" s="1">
        <v>1</v>
      </c>
      <c r="U1186" s="1">
        <v>4</v>
      </c>
      <c r="V1186">
        <f t="shared" si="18"/>
        <v>25</v>
      </c>
    </row>
    <row r="1187" spans="1:22" ht="13" x14ac:dyDescent="0.15">
      <c r="A1187" s="4">
        <v>44778</v>
      </c>
      <c r="B1187" s="5">
        <v>0.33399305555555553</v>
      </c>
      <c r="C1187" s="1">
        <v>1781</v>
      </c>
      <c r="D1187" s="1">
        <v>13002616</v>
      </c>
      <c r="E1187" s="1">
        <v>13</v>
      </c>
      <c r="F1187" s="1">
        <v>22589</v>
      </c>
      <c r="G1187" s="1" t="s">
        <v>21</v>
      </c>
      <c r="H1187" s="1">
        <v>15</v>
      </c>
      <c r="I1187" s="1">
        <v>444920</v>
      </c>
      <c r="J1187" s="1" t="s">
        <v>250</v>
      </c>
      <c r="K1187" s="1" t="s">
        <v>51</v>
      </c>
      <c r="L1187" s="1" t="s">
        <v>49</v>
      </c>
      <c r="M1187" s="1">
        <v>1</v>
      </c>
      <c r="N1187" s="2">
        <v>19.47</v>
      </c>
      <c r="O1187" s="3">
        <v>25</v>
      </c>
      <c r="P1187" s="1">
        <v>0</v>
      </c>
      <c r="Q1187" s="1" t="s">
        <v>25</v>
      </c>
      <c r="R1187" s="1" t="s">
        <v>25</v>
      </c>
      <c r="S1187" s="1">
        <v>50</v>
      </c>
      <c r="T1187" s="1">
        <v>1</v>
      </c>
      <c r="U1187" s="1">
        <v>5</v>
      </c>
      <c r="V1187">
        <f t="shared" si="18"/>
        <v>25</v>
      </c>
    </row>
    <row r="1188" spans="1:22" ht="13" x14ac:dyDescent="0.15">
      <c r="A1188" s="4">
        <v>44778</v>
      </c>
      <c r="B1188" s="5">
        <v>0.33917824074074077</v>
      </c>
      <c r="C1188" s="1">
        <v>1782</v>
      </c>
      <c r="D1188" s="1">
        <v>13002616</v>
      </c>
      <c r="E1188" s="1">
        <v>13</v>
      </c>
      <c r="F1188" s="1">
        <v>22589</v>
      </c>
      <c r="G1188" s="1" t="s">
        <v>21</v>
      </c>
      <c r="H1188" s="1">
        <v>18</v>
      </c>
      <c r="I1188" s="1">
        <v>431</v>
      </c>
      <c r="J1188" s="1" t="s">
        <v>989</v>
      </c>
      <c r="K1188" s="1" t="s">
        <v>29</v>
      </c>
      <c r="L1188" s="1" t="s">
        <v>216</v>
      </c>
      <c r="M1188" s="1">
        <v>1</v>
      </c>
      <c r="N1188" s="2">
        <v>41.83</v>
      </c>
      <c r="O1188" s="3">
        <v>51</v>
      </c>
      <c r="P1188" s="1">
        <v>0</v>
      </c>
      <c r="Q1188" s="1" t="s">
        <v>25</v>
      </c>
      <c r="R1188" s="1" t="s">
        <v>25</v>
      </c>
      <c r="S1188" s="1">
        <v>50</v>
      </c>
      <c r="T1188" s="1">
        <v>1</v>
      </c>
      <c r="U1188" s="1">
        <v>1</v>
      </c>
      <c r="V1188">
        <f t="shared" si="18"/>
        <v>51</v>
      </c>
    </row>
    <row r="1189" spans="1:22" ht="13" x14ac:dyDescent="0.15">
      <c r="A1189" s="4">
        <v>44778</v>
      </c>
      <c r="B1189" s="5">
        <v>0.33917824074074077</v>
      </c>
      <c r="C1189" s="1">
        <v>1782</v>
      </c>
      <c r="D1189" s="1">
        <v>13002616</v>
      </c>
      <c r="E1189" s="1">
        <v>13</v>
      </c>
      <c r="F1189" s="1">
        <v>22589</v>
      </c>
      <c r="G1189" s="1" t="s">
        <v>21</v>
      </c>
      <c r="H1189" s="1">
        <v>18</v>
      </c>
      <c r="I1189" s="1">
        <v>346984</v>
      </c>
      <c r="J1189" s="1" t="s">
        <v>714</v>
      </c>
      <c r="K1189" s="1" t="s">
        <v>51</v>
      </c>
      <c r="L1189" s="1" t="s">
        <v>668</v>
      </c>
      <c r="M1189" s="1">
        <v>0.05</v>
      </c>
      <c r="N1189" s="2">
        <v>766.81</v>
      </c>
      <c r="O1189" s="3">
        <v>1089</v>
      </c>
      <c r="P1189" s="1">
        <v>0</v>
      </c>
      <c r="Q1189" s="1" t="s">
        <v>25</v>
      </c>
      <c r="R1189" s="1" t="s">
        <v>25</v>
      </c>
      <c r="S1189" s="1">
        <v>50</v>
      </c>
      <c r="T1189" s="1">
        <v>1</v>
      </c>
      <c r="U1189" s="1">
        <v>3</v>
      </c>
      <c r="V1189">
        <f t="shared" si="18"/>
        <v>54.45</v>
      </c>
    </row>
    <row r="1190" spans="1:22" ht="13" x14ac:dyDescent="0.15">
      <c r="A1190" s="4">
        <v>44778</v>
      </c>
      <c r="B1190" s="5">
        <v>0.33917824074074077</v>
      </c>
      <c r="C1190" s="1">
        <v>1782</v>
      </c>
      <c r="D1190" s="1">
        <v>13002616</v>
      </c>
      <c r="E1190" s="1">
        <v>13</v>
      </c>
      <c r="F1190" s="1">
        <v>22589</v>
      </c>
      <c r="G1190" s="1" t="s">
        <v>21</v>
      </c>
      <c r="H1190" s="1">
        <v>18</v>
      </c>
      <c r="I1190" s="1">
        <v>1504015</v>
      </c>
      <c r="J1190" s="1" t="s">
        <v>94</v>
      </c>
      <c r="K1190" s="1" t="s">
        <v>95</v>
      </c>
      <c r="L1190" s="1" t="s">
        <v>668</v>
      </c>
      <c r="M1190" s="1">
        <v>1</v>
      </c>
      <c r="N1190" s="2">
        <v>1.1499999999999999</v>
      </c>
      <c r="O1190" s="3">
        <v>2</v>
      </c>
      <c r="P1190" s="1">
        <v>0</v>
      </c>
      <c r="Q1190" s="1" t="s">
        <v>25</v>
      </c>
      <c r="R1190" s="1" t="s">
        <v>25</v>
      </c>
      <c r="S1190" s="1">
        <v>50</v>
      </c>
      <c r="T1190" s="1">
        <v>1</v>
      </c>
      <c r="U1190" s="1">
        <v>2</v>
      </c>
      <c r="V1190">
        <f t="shared" si="18"/>
        <v>2</v>
      </c>
    </row>
    <row r="1191" spans="1:22" ht="13" x14ac:dyDescent="0.15">
      <c r="A1191" s="4">
        <v>44778</v>
      </c>
      <c r="B1191" s="5">
        <v>0.35546296296296298</v>
      </c>
      <c r="C1191" s="1">
        <v>1787</v>
      </c>
      <c r="D1191" s="1">
        <v>13002616</v>
      </c>
      <c r="E1191" s="1">
        <v>13</v>
      </c>
      <c r="F1191" s="1">
        <v>22589</v>
      </c>
      <c r="G1191" s="1" t="s">
        <v>21</v>
      </c>
      <c r="H1191" s="1">
        <v>18</v>
      </c>
      <c r="I1191" s="1">
        <v>1504015</v>
      </c>
      <c r="J1191" s="1" t="s">
        <v>94</v>
      </c>
      <c r="K1191" s="1" t="s">
        <v>95</v>
      </c>
      <c r="L1191" s="1" t="s">
        <v>668</v>
      </c>
      <c r="M1191" s="1">
        <v>1</v>
      </c>
      <c r="N1191" s="2">
        <v>1.1499999999999999</v>
      </c>
      <c r="O1191" s="3">
        <v>2</v>
      </c>
      <c r="P1191" s="1">
        <v>0</v>
      </c>
      <c r="Q1191" s="1" t="s">
        <v>25</v>
      </c>
      <c r="R1191" s="1" t="s">
        <v>25</v>
      </c>
      <c r="S1191" s="1">
        <v>50</v>
      </c>
      <c r="T1191" s="1">
        <v>1</v>
      </c>
      <c r="U1191" s="1">
        <v>4</v>
      </c>
      <c r="V1191">
        <f t="shared" si="18"/>
        <v>2</v>
      </c>
    </row>
    <row r="1192" spans="1:22" ht="13" x14ac:dyDescent="0.15">
      <c r="A1192" s="4">
        <v>44778</v>
      </c>
      <c r="B1192" s="5">
        <v>0.58947916666666667</v>
      </c>
      <c r="C1192" s="1">
        <v>1851</v>
      </c>
      <c r="D1192" s="1">
        <v>13002616</v>
      </c>
      <c r="E1192" s="1">
        <v>13</v>
      </c>
      <c r="F1192" s="1">
        <v>22589</v>
      </c>
      <c r="G1192" s="1" t="s">
        <v>21</v>
      </c>
      <c r="H1192" s="1">
        <v>18</v>
      </c>
      <c r="I1192" s="1">
        <v>1504015</v>
      </c>
      <c r="J1192" s="1" t="s">
        <v>94</v>
      </c>
      <c r="K1192" s="1" t="s">
        <v>95</v>
      </c>
      <c r="L1192" s="1" t="s">
        <v>668</v>
      </c>
      <c r="M1192" s="1">
        <v>1</v>
      </c>
      <c r="N1192" s="2">
        <v>1.1499999999999999</v>
      </c>
      <c r="O1192" s="3">
        <v>2</v>
      </c>
      <c r="P1192" s="1">
        <v>0</v>
      </c>
      <c r="Q1192" s="1" t="s">
        <v>25</v>
      </c>
      <c r="R1192" s="1" t="s">
        <v>25</v>
      </c>
      <c r="S1192" s="1">
        <v>50</v>
      </c>
      <c r="T1192" s="1">
        <v>1</v>
      </c>
      <c r="U1192" s="1">
        <v>4</v>
      </c>
      <c r="V1192">
        <f t="shared" si="18"/>
        <v>2</v>
      </c>
    </row>
    <row r="1193" spans="1:22" ht="13" x14ac:dyDescent="0.15">
      <c r="A1193" s="4">
        <v>44778</v>
      </c>
      <c r="B1193" s="5">
        <v>0.61406249999999996</v>
      </c>
      <c r="C1193" s="1">
        <v>1859</v>
      </c>
      <c r="D1193" s="1">
        <v>13002616</v>
      </c>
      <c r="E1193" s="1">
        <v>13</v>
      </c>
      <c r="F1193" s="1">
        <v>22589</v>
      </c>
      <c r="G1193" s="1" t="s">
        <v>21</v>
      </c>
      <c r="H1193" s="1">
        <v>15</v>
      </c>
      <c r="I1193" s="1">
        <v>1504015</v>
      </c>
      <c r="J1193" s="1" t="s">
        <v>94</v>
      </c>
      <c r="K1193" s="1" t="s">
        <v>95</v>
      </c>
      <c r="L1193" s="1" t="s">
        <v>668</v>
      </c>
      <c r="M1193" s="1">
        <v>1</v>
      </c>
      <c r="N1193" s="2">
        <v>1.1499999999999999</v>
      </c>
      <c r="O1193" s="3">
        <v>2</v>
      </c>
      <c r="P1193" s="1">
        <v>0</v>
      </c>
      <c r="Q1193" s="1" t="s">
        <v>25</v>
      </c>
      <c r="R1193" s="1" t="s">
        <v>25</v>
      </c>
      <c r="S1193" s="1">
        <v>50</v>
      </c>
      <c r="T1193" s="1">
        <v>1</v>
      </c>
      <c r="U1193" s="1">
        <v>2</v>
      </c>
      <c r="V1193">
        <f t="shared" si="18"/>
        <v>2</v>
      </c>
    </row>
    <row r="1194" spans="1:22" ht="13" x14ac:dyDescent="0.15">
      <c r="A1194" s="4">
        <v>44778</v>
      </c>
      <c r="B1194" s="5">
        <v>0.65141203703703698</v>
      </c>
      <c r="C1194" s="1">
        <v>1867</v>
      </c>
      <c r="D1194" s="1">
        <v>13002616</v>
      </c>
      <c r="E1194" s="1">
        <v>13</v>
      </c>
      <c r="F1194" s="1">
        <v>22589</v>
      </c>
      <c r="G1194" s="1" t="s">
        <v>21</v>
      </c>
      <c r="H1194" s="1">
        <v>15</v>
      </c>
      <c r="I1194" s="1">
        <v>1504015</v>
      </c>
      <c r="J1194" s="1" t="s">
        <v>94</v>
      </c>
      <c r="K1194" s="1" t="s">
        <v>95</v>
      </c>
      <c r="L1194" s="1" t="s">
        <v>668</v>
      </c>
      <c r="M1194" s="1">
        <v>1</v>
      </c>
      <c r="N1194" s="2">
        <v>1.1499999999999999</v>
      </c>
      <c r="O1194" s="3">
        <v>2</v>
      </c>
      <c r="P1194" s="1">
        <v>0</v>
      </c>
      <c r="Q1194" s="1" t="s">
        <v>25</v>
      </c>
      <c r="R1194" s="1" t="s">
        <v>25</v>
      </c>
      <c r="S1194" s="1">
        <v>50</v>
      </c>
      <c r="T1194" s="1">
        <v>1</v>
      </c>
      <c r="U1194" s="1">
        <v>1</v>
      </c>
      <c r="V1194">
        <f t="shared" si="18"/>
        <v>2</v>
      </c>
    </row>
    <row r="1195" spans="1:22" ht="13" x14ac:dyDescent="0.15">
      <c r="A1195" s="4">
        <v>44778</v>
      </c>
      <c r="B1195" s="5">
        <v>0.71643518518518523</v>
      </c>
      <c r="C1195" s="1">
        <v>1878</v>
      </c>
      <c r="D1195" s="1">
        <v>13002616</v>
      </c>
      <c r="E1195" s="1">
        <v>13</v>
      </c>
      <c r="F1195" s="1">
        <v>22589</v>
      </c>
      <c r="G1195" s="1" t="s">
        <v>21</v>
      </c>
      <c r="H1195" s="1">
        <v>15</v>
      </c>
      <c r="I1195" s="1">
        <v>1504015</v>
      </c>
      <c r="J1195" s="1" t="s">
        <v>94</v>
      </c>
      <c r="K1195" s="1" t="s">
        <v>95</v>
      </c>
      <c r="L1195" s="1" t="s">
        <v>668</v>
      </c>
      <c r="M1195" s="1">
        <v>1</v>
      </c>
      <c r="N1195" s="2">
        <v>1.1499999999999999</v>
      </c>
      <c r="O1195" s="3">
        <v>2</v>
      </c>
      <c r="P1195" s="1">
        <v>0</v>
      </c>
      <c r="Q1195" s="1" t="s">
        <v>25</v>
      </c>
      <c r="R1195" s="1" t="s">
        <v>25</v>
      </c>
      <c r="S1195" s="1">
        <v>50</v>
      </c>
      <c r="T1195" s="1">
        <v>1</v>
      </c>
      <c r="U1195" s="1">
        <v>3</v>
      </c>
      <c r="V1195">
        <f t="shared" si="18"/>
        <v>2</v>
      </c>
    </row>
    <row r="1196" spans="1:22" ht="13" x14ac:dyDescent="0.15">
      <c r="A1196" s="4">
        <v>44778</v>
      </c>
      <c r="B1196" s="5">
        <v>0.73204861111111108</v>
      </c>
      <c r="C1196" s="1">
        <v>1883</v>
      </c>
      <c r="D1196" s="1">
        <v>13002616</v>
      </c>
      <c r="E1196" s="1">
        <v>13</v>
      </c>
      <c r="F1196" s="1">
        <v>22589</v>
      </c>
      <c r="G1196" s="1" t="s">
        <v>21</v>
      </c>
      <c r="H1196" s="1">
        <v>15</v>
      </c>
      <c r="I1196" s="1">
        <v>1504015</v>
      </c>
      <c r="J1196" s="1" t="s">
        <v>94</v>
      </c>
      <c r="K1196" s="1" t="s">
        <v>95</v>
      </c>
      <c r="L1196" s="1" t="s">
        <v>668</v>
      </c>
      <c r="M1196" s="1">
        <v>1</v>
      </c>
      <c r="N1196" s="2">
        <v>1.1499999999999999</v>
      </c>
      <c r="O1196" s="3">
        <v>2</v>
      </c>
      <c r="P1196" s="1">
        <v>0</v>
      </c>
      <c r="Q1196" s="1" t="s">
        <v>25</v>
      </c>
      <c r="R1196" s="1" t="s">
        <v>25</v>
      </c>
      <c r="S1196" s="1">
        <v>50</v>
      </c>
      <c r="T1196" s="1">
        <v>1</v>
      </c>
      <c r="U1196" s="1">
        <v>3</v>
      </c>
      <c r="V1196">
        <f t="shared" si="18"/>
        <v>2</v>
      </c>
    </row>
    <row r="1197" spans="1:22" ht="13" x14ac:dyDescent="0.15">
      <c r="A1197" s="4">
        <v>44778</v>
      </c>
      <c r="B1197" s="5">
        <v>0.34179398148148149</v>
      </c>
      <c r="C1197" s="1">
        <v>1783</v>
      </c>
      <c r="D1197" s="1">
        <v>13002616</v>
      </c>
      <c r="E1197" s="1">
        <v>13</v>
      </c>
      <c r="F1197" s="1">
        <v>22589</v>
      </c>
      <c r="G1197" s="1" t="s">
        <v>21</v>
      </c>
      <c r="H1197" s="1">
        <v>18</v>
      </c>
      <c r="I1197" s="1">
        <v>318215</v>
      </c>
      <c r="J1197" s="1" t="s">
        <v>1075</v>
      </c>
      <c r="K1197" s="1" t="s">
        <v>45</v>
      </c>
      <c r="L1197" s="1" t="s">
        <v>1076</v>
      </c>
      <c r="M1197" s="1">
        <v>1</v>
      </c>
      <c r="N1197" s="2">
        <v>446.06</v>
      </c>
      <c r="O1197" s="3">
        <v>589</v>
      </c>
      <c r="P1197" s="1">
        <v>36.39</v>
      </c>
      <c r="Q1197" s="1">
        <v>925</v>
      </c>
      <c r="R1197" s="1">
        <v>200000000492</v>
      </c>
      <c r="S1197" s="1">
        <v>50</v>
      </c>
      <c r="T1197" s="1">
        <v>1</v>
      </c>
      <c r="U1197" s="1">
        <v>3</v>
      </c>
      <c r="V1197">
        <f t="shared" si="18"/>
        <v>589</v>
      </c>
    </row>
    <row r="1198" spans="1:22" ht="13" x14ac:dyDescent="0.15">
      <c r="A1198" s="4">
        <v>44778</v>
      </c>
      <c r="B1198" s="5">
        <v>0.34179398148148149</v>
      </c>
      <c r="C1198" s="1">
        <v>1783</v>
      </c>
      <c r="D1198" s="1">
        <v>13002616</v>
      </c>
      <c r="E1198" s="1">
        <v>13</v>
      </c>
      <c r="F1198" s="1">
        <v>22589</v>
      </c>
      <c r="G1198" s="1" t="s">
        <v>21</v>
      </c>
      <c r="H1198" s="1">
        <v>18</v>
      </c>
      <c r="I1198" s="1">
        <v>48192</v>
      </c>
      <c r="J1198" s="1" t="s">
        <v>176</v>
      </c>
      <c r="K1198" s="1" t="s">
        <v>58</v>
      </c>
      <c r="L1198" s="1" t="s">
        <v>177</v>
      </c>
      <c r="M1198" s="1">
        <v>1</v>
      </c>
      <c r="N1198" s="2">
        <v>22.43</v>
      </c>
      <c r="O1198" s="3">
        <v>37</v>
      </c>
      <c r="P1198" s="1">
        <v>2.29</v>
      </c>
      <c r="Q1198" s="1">
        <v>925</v>
      </c>
      <c r="R1198" s="1">
        <v>200000000492</v>
      </c>
      <c r="S1198" s="1">
        <v>50</v>
      </c>
      <c r="T1198" s="1">
        <v>1</v>
      </c>
      <c r="U1198" s="1">
        <v>4</v>
      </c>
      <c r="V1198">
        <f t="shared" si="18"/>
        <v>37</v>
      </c>
    </row>
    <row r="1199" spans="1:22" ht="13" x14ac:dyDescent="0.15">
      <c r="A1199" s="4">
        <v>44778</v>
      </c>
      <c r="B1199" s="5">
        <v>0.52067129629629627</v>
      </c>
      <c r="C1199" s="1">
        <v>1835</v>
      </c>
      <c r="D1199" s="1">
        <v>13002616</v>
      </c>
      <c r="E1199" s="1">
        <v>13</v>
      </c>
      <c r="F1199" s="1">
        <v>22589</v>
      </c>
      <c r="G1199" s="1" t="s">
        <v>21</v>
      </c>
      <c r="H1199" s="1">
        <v>18</v>
      </c>
      <c r="I1199" s="1">
        <v>48192</v>
      </c>
      <c r="J1199" s="1" t="s">
        <v>176</v>
      </c>
      <c r="K1199" s="1" t="s">
        <v>58</v>
      </c>
      <c r="L1199" s="1" t="s">
        <v>177</v>
      </c>
      <c r="M1199" s="1">
        <v>1</v>
      </c>
      <c r="N1199" s="2">
        <v>22.43</v>
      </c>
      <c r="O1199" s="3">
        <v>37</v>
      </c>
      <c r="P1199" s="1">
        <v>0</v>
      </c>
      <c r="Q1199" s="1" t="s">
        <v>25</v>
      </c>
      <c r="R1199" s="1" t="s">
        <v>25</v>
      </c>
      <c r="S1199" s="1">
        <v>50</v>
      </c>
      <c r="T1199" s="1">
        <v>1</v>
      </c>
      <c r="U1199" s="1">
        <v>2</v>
      </c>
      <c r="V1199">
        <f t="shared" si="18"/>
        <v>37</v>
      </c>
    </row>
    <row r="1200" spans="1:22" ht="13" x14ac:dyDescent="0.15">
      <c r="A1200" s="4">
        <v>44778</v>
      </c>
      <c r="B1200" s="5">
        <v>0.34179398148148149</v>
      </c>
      <c r="C1200" s="1">
        <v>1783</v>
      </c>
      <c r="D1200" s="1">
        <v>13002616</v>
      </c>
      <c r="E1200" s="1">
        <v>13</v>
      </c>
      <c r="F1200" s="1">
        <v>22589</v>
      </c>
      <c r="G1200" s="1" t="s">
        <v>21</v>
      </c>
      <c r="H1200" s="1">
        <v>18</v>
      </c>
      <c r="I1200" s="1">
        <v>45314</v>
      </c>
      <c r="J1200" s="1" t="s">
        <v>767</v>
      </c>
      <c r="K1200" s="1" t="s">
        <v>252</v>
      </c>
      <c r="L1200" s="1" t="s">
        <v>360</v>
      </c>
      <c r="M1200" s="1">
        <v>1</v>
      </c>
      <c r="N1200" s="2">
        <v>20.3</v>
      </c>
      <c r="O1200" s="3">
        <v>33</v>
      </c>
      <c r="P1200" s="1">
        <v>2.04</v>
      </c>
      <c r="Q1200" s="1">
        <v>925</v>
      </c>
      <c r="R1200" s="1">
        <v>200000000492</v>
      </c>
      <c r="S1200" s="1">
        <v>50</v>
      </c>
      <c r="T1200" s="1">
        <v>1</v>
      </c>
      <c r="U1200" s="1">
        <v>5</v>
      </c>
      <c r="V1200">
        <f t="shared" si="18"/>
        <v>33</v>
      </c>
    </row>
    <row r="1201" spans="1:22" ht="13" x14ac:dyDescent="0.15">
      <c r="A1201" s="4">
        <v>44778</v>
      </c>
      <c r="B1201" s="5">
        <v>0.34179398148148149</v>
      </c>
      <c r="C1201" s="1">
        <v>1783</v>
      </c>
      <c r="D1201" s="1">
        <v>13002616</v>
      </c>
      <c r="E1201" s="1">
        <v>13</v>
      </c>
      <c r="F1201" s="1">
        <v>22589</v>
      </c>
      <c r="G1201" s="1" t="s">
        <v>21</v>
      </c>
      <c r="H1201" s="1">
        <v>18</v>
      </c>
      <c r="I1201" s="1">
        <v>6402</v>
      </c>
      <c r="J1201" s="1" t="s">
        <v>468</v>
      </c>
      <c r="K1201" s="1" t="s">
        <v>45</v>
      </c>
      <c r="L1201" s="1" t="s">
        <v>76</v>
      </c>
      <c r="M1201" s="1">
        <v>1</v>
      </c>
      <c r="N1201" s="2">
        <v>18.18</v>
      </c>
      <c r="O1201" s="3">
        <v>30</v>
      </c>
      <c r="P1201" s="1">
        <v>4.67</v>
      </c>
      <c r="Q1201" s="1">
        <v>939</v>
      </c>
      <c r="R1201" s="1">
        <v>200000000042</v>
      </c>
      <c r="S1201" s="1">
        <v>50</v>
      </c>
      <c r="T1201" s="1">
        <v>1</v>
      </c>
      <c r="U1201" s="1">
        <v>6</v>
      </c>
      <c r="V1201">
        <f t="shared" si="18"/>
        <v>30</v>
      </c>
    </row>
    <row r="1202" spans="1:22" ht="13" x14ac:dyDescent="0.15">
      <c r="A1202" s="4">
        <v>44778</v>
      </c>
      <c r="B1202" s="5">
        <v>0.34179398148148149</v>
      </c>
      <c r="C1202" s="1">
        <v>1783</v>
      </c>
      <c r="D1202" s="1">
        <v>13002616</v>
      </c>
      <c r="E1202" s="1">
        <v>13</v>
      </c>
      <c r="F1202" s="1">
        <v>22589</v>
      </c>
      <c r="G1202" s="1" t="s">
        <v>21</v>
      </c>
      <c r="H1202" s="1">
        <v>18</v>
      </c>
      <c r="I1202" s="1">
        <v>18274</v>
      </c>
      <c r="J1202" s="1" t="s">
        <v>1077</v>
      </c>
      <c r="K1202" s="1" t="s">
        <v>34</v>
      </c>
      <c r="L1202" s="1" t="s">
        <v>1078</v>
      </c>
      <c r="M1202" s="1">
        <v>1</v>
      </c>
      <c r="N1202" s="2">
        <v>57.53</v>
      </c>
      <c r="O1202" s="3">
        <v>91</v>
      </c>
      <c r="P1202" s="1">
        <v>5.62</v>
      </c>
      <c r="Q1202" s="1">
        <v>925</v>
      </c>
      <c r="R1202" s="1">
        <v>200000000492</v>
      </c>
      <c r="S1202" s="1">
        <v>50</v>
      </c>
      <c r="T1202" s="1">
        <v>1</v>
      </c>
      <c r="U1202" s="1">
        <v>2</v>
      </c>
      <c r="V1202">
        <f t="shared" si="18"/>
        <v>91</v>
      </c>
    </row>
    <row r="1203" spans="1:22" ht="13" x14ac:dyDescent="0.15">
      <c r="A1203" s="4">
        <v>44778</v>
      </c>
      <c r="B1203" s="5">
        <v>0.34179398148148149</v>
      </c>
      <c r="C1203" s="1">
        <v>1783</v>
      </c>
      <c r="D1203" s="1">
        <v>13002616</v>
      </c>
      <c r="E1203" s="1">
        <v>13</v>
      </c>
      <c r="F1203" s="1">
        <v>22589</v>
      </c>
      <c r="G1203" s="1" t="s">
        <v>21</v>
      </c>
      <c r="H1203" s="1">
        <v>18</v>
      </c>
      <c r="I1203" s="1">
        <v>260841</v>
      </c>
      <c r="J1203" s="1" t="s">
        <v>986</v>
      </c>
      <c r="K1203" s="1" t="s">
        <v>51</v>
      </c>
      <c r="L1203" s="1" t="s">
        <v>167</v>
      </c>
      <c r="M1203" s="1">
        <v>1</v>
      </c>
      <c r="N1203" s="2">
        <v>9.67</v>
      </c>
      <c r="O1203" s="3">
        <v>16</v>
      </c>
      <c r="P1203" s="1">
        <v>0.99</v>
      </c>
      <c r="Q1203" s="1">
        <v>925</v>
      </c>
      <c r="R1203" s="1">
        <v>200000000492</v>
      </c>
      <c r="S1203" s="1">
        <v>50</v>
      </c>
      <c r="T1203" s="1">
        <v>1</v>
      </c>
      <c r="U1203" s="1">
        <v>1</v>
      </c>
      <c r="V1203">
        <f t="shared" si="18"/>
        <v>16</v>
      </c>
    </row>
    <row r="1204" spans="1:22" ht="13" x14ac:dyDescent="0.15">
      <c r="A1204" s="4">
        <v>44778</v>
      </c>
      <c r="B1204" s="5">
        <v>0.3427546296296296</v>
      </c>
      <c r="C1204" s="1">
        <v>1784</v>
      </c>
      <c r="D1204" s="1">
        <v>13002616</v>
      </c>
      <c r="E1204" s="1">
        <v>13</v>
      </c>
      <c r="F1204" s="1">
        <v>22589</v>
      </c>
      <c r="G1204" s="1" t="s">
        <v>21</v>
      </c>
      <c r="H1204" s="1">
        <v>18</v>
      </c>
      <c r="I1204" s="1">
        <v>11811</v>
      </c>
      <c r="J1204" s="1" t="s">
        <v>558</v>
      </c>
      <c r="K1204" s="1" t="s">
        <v>29</v>
      </c>
      <c r="L1204" s="1" t="s">
        <v>78</v>
      </c>
      <c r="M1204" s="1">
        <v>1</v>
      </c>
      <c r="N1204" s="2">
        <v>360.53</v>
      </c>
      <c r="O1204" s="3">
        <v>476</v>
      </c>
      <c r="P1204" s="1">
        <v>0</v>
      </c>
      <c r="Q1204" s="1" t="s">
        <v>25</v>
      </c>
      <c r="R1204" s="1" t="s">
        <v>25</v>
      </c>
      <c r="S1204" s="1">
        <v>50</v>
      </c>
      <c r="T1204" s="1">
        <v>1</v>
      </c>
      <c r="U1204" s="1">
        <v>1</v>
      </c>
      <c r="V1204">
        <f t="shared" si="18"/>
        <v>476</v>
      </c>
    </row>
    <row r="1205" spans="1:22" ht="13" x14ac:dyDescent="0.15">
      <c r="A1205" s="4">
        <v>44778</v>
      </c>
      <c r="B1205" s="5">
        <v>0.34400462962962963</v>
      </c>
      <c r="C1205" s="1">
        <v>1785</v>
      </c>
      <c r="D1205" s="1">
        <v>13002616</v>
      </c>
      <c r="E1205" s="1">
        <v>13</v>
      </c>
      <c r="F1205" s="1">
        <v>22589</v>
      </c>
      <c r="G1205" s="1" t="s">
        <v>21</v>
      </c>
      <c r="H1205" s="1">
        <v>15</v>
      </c>
      <c r="I1205" s="1">
        <v>305271</v>
      </c>
      <c r="J1205" s="1" t="s">
        <v>1079</v>
      </c>
      <c r="K1205" s="1" t="s">
        <v>23</v>
      </c>
      <c r="L1205" s="1" t="s">
        <v>255</v>
      </c>
      <c r="M1205" s="1">
        <v>1</v>
      </c>
      <c r="N1205" s="2">
        <v>893.49</v>
      </c>
      <c r="O1205" s="3">
        <v>1153</v>
      </c>
      <c r="P1205" s="1">
        <v>172</v>
      </c>
      <c r="Q1205" s="1">
        <v>27</v>
      </c>
      <c r="R1205" s="1">
        <v>200010000015</v>
      </c>
      <c r="S1205" s="1">
        <v>50</v>
      </c>
      <c r="T1205" s="1">
        <v>1</v>
      </c>
      <c r="U1205" s="1">
        <v>1</v>
      </c>
      <c r="V1205">
        <f t="shared" si="18"/>
        <v>1153</v>
      </c>
    </row>
    <row r="1206" spans="1:22" ht="13" x14ac:dyDescent="0.15">
      <c r="A1206" s="4">
        <v>44778</v>
      </c>
      <c r="B1206" s="5">
        <v>0.34400462962962963</v>
      </c>
      <c r="C1206" s="1">
        <v>1785</v>
      </c>
      <c r="D1206" s="1">
        <v>13002616</v>
      </c>
      <c r="E1206" s="1">
        <v>13</v>
      </c>
      <c r="F1206" s="1">
        <v>22589</v>
      </c>
      <c r="G1206" s="1" t="s">
        <v>21</v>
      </c>
      <c r="H1206" s="1">
        <v>15</v>
      </c>
      <c r="I1206" s="1">
        <v>1501</v>
      </c>
      <c r="J1206" s="1" t="s">
        <v>1080</v>
      </c>
      <c r="K1206" s="1" t="s">
        <v>51</v>
      </c>
      <c r="L1206" s="1" t="s">
        <v>175</v>
      </c>
      <c r="M1206" s="1">
        <v>1</v>
      </c>
      <c r="N1206" s="2">
        <v>22.23</v>
      </c>
      <c r="O1206" s="3">
        <v>28</v>
      </c>
      <c r="P1206" s="1">
        <v>2</v>
      </c>
      <c r="Q1206" s="1">
        <v>27</v>
      </c>
      <c r="R1206" s="1">
        <v>200010000015</v>
      </c>
      <c r="S1206" s="1">
        <v>50</v>
      </c>
      <c r="T1206" s="1">
        <v>1</v>
      </c>
      <c r="U1206" s="1">
        <v>2</v>
      </c>
      <c r="V1206">
        <f t="shared" si="18"/>
        <v>28</v>
      </c>
    </row>
    <row r="1207" spans="1:22" ht="13" x14ac:dyDescent="0.15">
      <c r="A1207" s="4">
        <v>44778</v>
      </c>
      <c r="B1207" s="5">
        <v>0.34400462962962963</v>
      </c>
      <c r="C1207" s="1">
        <v>1785</v>
      </c>
      <c r="D1207" s="1">
        <v>13002616</v>
      </c>
      <c r="E1207" s="1">
        <v>13</v>
      </c>
      <c r="F1207" s="1">
        <v>22589</v>
      </c>
      <c r="G1207" s="1" t="s">
        <v>21</v>
      </c>
      <c r="H1207" s="1">
        <v>15</v>
      </c>
      <c r="I1207" s="1">
        <v>1501</v>
      </c>
      <c r="J1207" s="1" t="s">
        <v>1080</v>
      </c>
      <c r="K1207" s="1" t="s">
        <v>51</v>
      </c>
      <c r="L1207" s="1" t="s">
        <v>175</v>
      </c>
      <c r="M1207" s="1">
        <v>1</v>
      </c>
      <c r="N1207" s="2">
        <v>22.23</v>
      </c>
      <c r="O1207" s="3">
        <v>28</v>
      </c>
      <c r="P1207" s="1">
        <v>2</v>
      </c>
      <c r="Q1207" s="1">
        <v>27</v>
      </c>
      <c r="R1207" s="1">
        <v>200010000015</v>
      </c>
      <c r="S1207" s="1">
        <v>50</v>
      </c>
      <c r="T1207" s="1">
        <v>1</v>
      </c>
      <c r="U1207" s="1">
        <v>3</v>
      </c>
      <c r="V1207">
        <f t="shared" si="18"/>
        <v>28</v>
      </c>
    </row>
    <row r="1208" spans="1:22" ht="13" x14ac:dyDescent="0.15">
      <c r="A1208" s="4">
        <v>44778</v>
      </c>
      <c r="B1208" s="5">
        <v>0.34738425925925925</v>
      </c>
      <c r="C1208" s="1">
        <v>1786</v>
      </c>
      <c r="D1208" s="1">
        <v>13002616</v>
      </c>
      <c r="E1208" s="1">
        <v>13</v>
      </c>
      <c r="F1208" s="1">
        <v>22589</v>
      </c>
      <c r="G1208" s="1" t="s">
        <v>21</v>
      </c>
      <c r="H1208" s="1">
        <v>15</v>
      </c>
      <c r="I1208" s="1">
        <v>57712</v>
      </c>
      <c r="J1208" s="1" t="s">
        <v>617</v>
      </c>
      <c r="K1208" s="1" t="s">
        <v>34</v>
      </c>
      <c r="L1208" s="1" t="s">
        <v>415</v>
      </c>
      <c r="M1208" s="1">
        <v>1</v>
      </c>
      <c r="N1208" s="2">
        <v>20.23</v>
      </c>
      <c r="O1208" s="3">
        <v>25</v>
      </c>
      <c r="P1208" s="1">
        <v>0</v>
      </c>
      <c r="Q1208" s="1" t="s">
        <v>25</v>
      </c>
      <c r="R1208" s="1" t="s">
        <v>25</v>
      </c>
      <c r="S1208" s="1">
        <v>50</v>
      </c>
      <c r="T1208" s="1">
        <v>1</v>
      </c>
      <c r="U1208" s="1">
        <v>1</v>
      </c>
      <c r="V1208">
        <f t="shared" si="18"/>
        <v>25</v>
      </c>
    </row>
    <row r="1209" spans="1:22" ht="13" x14ac:dyDescent="0.15">
      <c r="A1209" s="4">
        <v>44778</v>
      </c>
      <c r="B1209" s="5">
        <v>0.35546296296296298</v>
      </c>
      <c r="C1209" s="1">
        <v>1787</v>
      </c>
      <c r="D1209" s="1">
        <v>13002616</v>
      </c>
      <c r="E1209" s="1">
        <v>13</v>
      </c>
      <c r="F1209" s="1">
        <v>22589</v>
      </c>
      <c r="G1209" s="1" t="s">
        <v>21</v>
      </c>
      <c r="H1209" s="1">
        <v>18</v>
      </c>
      <c r="I1209" s="1">
        <v>825</v>
      </c>
      <c r="J1209" s="1" t="s">
        <v>1081</v>
      </c>
      <c r="K1209" s="1" t="s">
        <v>23</v>
      </c>
      <c r="L1209" s="1" t="s">
        <v>1082</v>
      </c>
      <c r="M1209" s="1">
        <v>0.2</v>
      </c>
      <c r="N1209" s="2">
        <v>454.16</v>
      </c>
      <c r="O1209" s="3">
        <v>539</v>
      </c>
      <c r="P1209" s="1">
        <v>0</v>
      </c>
      <c r="Q1209" s="1" t="s">
        <v>25</v>
      </c>
      <c r="R1209" s="1" t="s">
        <v>25</v>
      </c>
      <c r="S1209" s="1">
        <v>50</v>
      </c>
      <c r="T1209" s="1">
        <v>1</v>
      </c>
      <c r="U1209" s="1">
        <v>2</v>
      </c>
      <c r="V1209">
        <f t="shared" si="18"/>
        <v>107.80000000000001</v>
      </c>
    </row>
    <row r="1210" spans="1:22" ht="13" x14ac:dyDescent="0.15">
      <c r="A1210" s="4">
        <v>44778</v>
      </c>
      <c r="B1210" s="5">
        <v>0.35546296296296298</v>
      </c>
      <c r="C1210" s="1">
        <v>1787</v>
      </c>
      <c r="D1210" s="1">
        <v>13002616</v>
      </c>
      <c r="E1210" s="1">
        <v>13</v>
      </c>
      <c r="F1210" s="1">
        <v>22589</v>
      </c>
      <c r="G1210" s="1" t="s">
        <v>21</v>
      </c>
      <c r="H1210" s="1">
        <v>18</v>
      </c>
      <c r="I1210" s="1">
        <v>857</v>
      </c>
      <c r="J1210" s="1" t="s">
        <v>1083</v>
      </c>
      <c r="K1210" s="1" t="s">
        <v>51</v>
      </c>
      <c r="L1210" s="1" t="s">
        <v>244</v>
      </c>
      <c r="M1210" s="1">
        <v>1</v>
      </c>
      <c r="N1210" s="2">
        <v>53.81</v>
      </c>
      <c r="O1210" s="3">
        <v>66</v>
      </c>
      <c r="P1210" s="1">
        <v>0</v>
      </c>
      <c r="Q1210" s="1" t="s">
        <v>25</v>
      </c>
      <c r="R1210" s="1" t="s">
        <v>25</v>
      </c>
      <c r="S1210" s="1">
        <v>50</v>
      </c>
      <c r="T1210" s="1">
        <v>1</v>
      </c>
      <c r="U1210" s="1">
        <v>3</v>
      </c>
      <c r="V1210">
        <f t="shared" si="18"/>
        <v>66</v>
      </c>
    </row>
    <row r="1211" spans="1:22" ht="13" x14ac:dyDescent="0.15">
      <c r="A1211" s="4">
        <v>44778</v>
      </c>
      <c r="B1211" s="5">
        <v>0.35546296296296298</v>
      </c>
      <c r="C1211" s="1">
        <v>1787</v>
      </c>
      <c r="D1211" s="1">
        <v>13002616</v>
      </c>
      <c r="E1211" s="1">
        <v>13</v>
      </c>
      <c r="F1211" s="1">
        <v>22589</v>
      </c>
      <c r="G1211" s="1" t="s">
        <v>21</v>
      </c>
      <c r="H1211" s="1">
        <v>18</v>
      </c>
      <c r="I1211" s="1">
        <v>364619</v>
      </c>
      <c r="J1211" s="1" t="s">
        <v>803</v>
      </c>
      <c r="K1211" s="1" t="s">
        <v>51</v>
      </c>
      <c r="L1211" s="1" t="s">
        <v>668</v>
      </c>
      <c r="M1211" s="1">
        <v>0.12</v>
      </c>
      <c r="N1211" s="2">
        <v>645.79</v>
      </c>
      <c r="O1211" s="3">
        <v>918</v>
      </c>
      <c r="P1211" s="1">
        <v>0</v>
      </c>
      <c r="Q1211" s="1" t="s">
        <v>25</v>
      </c>
      <c r="R1211" s="1" t="s">
        <v>25</v>
      </c>
      <c r="S1211" s="1">
        <v>50</v>
      </c>
      <c r="T1211" s="1">
        <v>1</v>
      </c>
      <c r="U1211" s="1">
        <v>6</v>
      </c>
      <c r="V1211">
        <f t="shared" si="18"/>
        <v>110.16</v>
      </c>
    </row>
    <row r="1212" spans="1:22" ht="13" x14ac:dyDescent="0.15">
      <c r="A1212" s="4">
        <v>44778</v>
      </c>
      <c r="B1212" s="5">
        <v>0.35546296296296298</v>
      </c>
      <c r="C1212" s="1">
        <v>1787</v>
      </c>
      <c r="D1212" s="1">
        <v>13002616</v>
      </c>
      <c r="E1212" s="1">
        <v>13</v>
      </c>
      <c r="F1212" s="1">
        <v>22589</v>
      </c>
      <c r="G1212" s="1" t="s">
        <v>21</v>
      </c>
      <c r="H1212" s="1">
        <v>18</v>
      </c>
      <c r="I1212" s="1">
        <v>27806</v>
      </c>
      <c r="J1212" s="1" t="s">
        <v>1084</v>
      </c>
      <c r="K1212" s="1" t="s">
        <v>51</v>
      </c>
      <c r="L1212" s="1" t="s">
        <v>474</v>
      </c>
      <c r="M1212" s="1">
        <v>1</v>
      </c>
      <c r="N1212" s="2">
        <v>81.72</v>
      </c>
      <c r="O1212" s="3">
        <v>117</v>
      </c>
      <c r="P1212" s="1">
        <v>0</v>
      </c>
      <c r="Q1212" s="1" t="s">
        <v>25</v>
      </c>
      <c r="R1212" s="1" t="s">
        <v>25</v>
      </c>
      <c r="S1212" s="1">
        <v>50</v>
      </c>
      <c r="T1212" s="1">
        <v>1</v>
      </c>
      <c r="U1212" s="1">
        <v>1</v>
      </c>
      <c r="V1212">
        <f t="shared" si="18"/>
        <v>117</v>
      </c>
    </row>
    <row r="1213" spans="1:22" ht="13" x14ac:dyDescent="0.15">
      <c r="A1213" s="4">
        <v>44778</v>
      </c>
      <c r="B1213" s="5">
        <v>0.35546296296296298</v>
      </c>
      <c r="C1213" s="1">
        <v>1787</v>
      </c>
      <c r="D1213" s="1">
        <v>13002616</v>
      </c>
      <c r="E1213" s="1">
        <v>13</v>
      </c>
      <c r="F1213" s="1">
        <v>22589</v>
      </c>
      <c r="G1213" s="1" t="s">
        <v>21</v>
      </c>
      <c r="H1213" s="1">
        <v>18</v>
      </c>
      <c r="I1213" s="1">
        <v>6596</v>
      </c>
      <c r="J1213" s="1" t="s">
        <v>1085</v>
      </c>
      <c r="K1213" s="1" t="s">
        <v>23</v>
      </c>
      <c r="L1213" s="1" t="s">
        <v>895</v>
      </c>
      <c r="M1213" s="1">
        <v>0.33333332999999998</v>
      </c>
      <c r="N1213" s="2">
        <v>1622.46</v>
      </c>
      <c r="O1213" s="3">
        <v>2029</v>
      </c>
      <c r="P1213" s="1">
        <v>0</v>
      </c>
      <c r="Q1213" s="1" t="s">
        <v>25</v>
      </c>
      <c r="R1213" s="1" t="s">
        <v>25</v>
      </c>
      <c r="S1213" s="1">
        <v>50</v>
      </c>
      <c r="T1213" s="1">
        <v>1</v>
      </c>
      <c r="U1213" s="1">
        <v>5</v>
      </c>
      <c r="V1213">
        <f t="shared" si="18"/>
        <v>676.33332656999994</v>
      </c>
    </row>
    <row r="1214" spans="1:22" ht="13" x14ac:dyDescent="0.15">
      <c r="A1214" s="4">
        <v>44778</v>
      </c>
      <c r="B1214" s="5">
        <v>0.35689814814814813</v>
      </c>
      <c r="C1214" s="1">
        <v>1788</v>
      </c>
      <c r="D1214" s="1">
        <v>13002616</v>
      </c>
      <c r="E1214" s="1">
        <v>13</v>
      </c>
      <c r="F1214" s="1">
        <v>22589</v>
      </c>
      <c r="G1214" s="1" t="s">
        <v>21</v>
      </c>
      <c r="H1214" s="1">
        <v>15</v>
      </c>
      <c r="I1214" s="1">
        <v>475</v>
      </c>
      <c r="J1214" s="1" t="s">
        <v>241</v>
      </c>
      <c r="K1214" s="1" t="s">
        <v>64</v>
      </c>
      <c r="L1214" s="1" t="s">
        <v>35</v>
      </c>
      <c r="M1214" s="1">
        <v>1</v>
      </c>
      <c r="N1214" s="2">
        <v>133.49</v>
      </c>
      <c r="O1214" s="3">
        <v>183</v>
      </c>
      <c r="P1214" s="1">
        <v>12</v>
      </c>
      <c r="Q1214" s="1">
        <v>9</v>
      </c>
      <c r="R1214" s="1">
        <v>200010002508</v>
      </c>
      <c r="S1214" s="1">
        <v>50</v>
      </c>
      <c r="T1214" s="1">
        <v>1</v>
      </c>
      <c r="U1214" s="1">
        <v>1</v>
      </c>
      <c r="V1214">
        <f t="shared" si="18"/>
        <v>183</v>
      </c>
    </row>
    <row r="1215" spans="1:22" ht="13" x14ac:dyDescent="0.15">
      <c r="A1215" s="4">
        <v>44778</v>
      </c>
      <c r="B1215" s="5">
        <v>0.35789351851851853</v>
      </c>
      <c r="C1215" s="1">
        <v>1789</v>
      </c>
      <c r="D1215" s="1">
        <v>13002616</v>
      </c>
      <c r="E1215" s="1">
        <v>13</v>
      </c>
      <c r="F1215" s="1">
        <v>22589</v>
      </c>
      <c r="G1215" s="1" t="s">
        <v>21</v>
      </c>
      <c r="H1215" s="1">
        <v>15</v>
      </c>
      <c r="I1215" s="1">
        <v>338588</v>
      </c>
      <c r="J1215" s="1" t="s">
        <v>36</v>
      </c>
      <c r="K1215" s="1" t="s">
        <v>23</v>
      </c>
      <c r="L1215" s="1" t="s">
        <v>37</v>
      </c>
      <c r="M1215" s="1">
        <v>1</v>
      </c>
      <c r="N1215" s="2">
        <v>358.64</v>
      </c>
      <c r="O1215" s="3">
        <v>450</v>
      </c>
      <c r="P1215" s="1">
        <v>22</v>
      </c>
      <c r="Q1215" s="1">
        <v>9</v>
      </c>
      <c r="R1215" s="1">
        <v>200010002508</v>
      </c>
      <c r="S1215" s="1">
        <v>50</v>
      </c>
      <c r="T1215" s="1">
        <v>1</v>
      </c>
      <c r="U1215" s="1">
        <v>1</v>
      </c>
      <c r="V1215">
        <f t="shared" si="18"/>
        <v>450</v>
      </c>
    </row>
    <row r="1216" spans="1:22" ht="13" x14ac:dyDescent="0.15">
      <c r="A1216" s="4">
        <v>44778</v>
      </c>
      <c r="B1216" s="5">
        <v>0.37512731481481482</v>
      </c>
      <c r="C1216" s="1">
        <v>1790</v>
      </c>
      <c r="D1216" s="1">
        <v>13002616</v>
      </c>
      <c r="E1216" s="1">
        <v>13</v>
      </c>
      <c r="F1216" s="1">
        <v>22589</v>
      </c>
      <c r="G1216" s="1" t="s">
        <v>21</v>
      </c>
      <c r="H1216" s="1">
        <v>18</v>
      </c>
      <c r="I1216" s="1">
        <v>157882</v>
      </c>
      <c r="J1216" s="1" t="s">
        <v>1086</v>
      </c>
      <c r="K1216" s="1" t="s">
        <v>23</v>
      </c>
      <c r="L1216" s="1" t="s">
        <v>1087</v>
      </c>
      <c r="M1216" s="1">
        <v>1</v>
      </c>
      <c r="N1216" s="2">
        <v>203.54</v>
      </c>
      <c r="O1216" s="3">
        <v>275</v>
      </c>
      <c r="P1216" s="1">
        <v>0</v>
      </c>
      <c r="Q1216" s="1" t="s">
        <v>25</v>
      </c>
      <c r="R1216" s="1" t="s">
        <v>25</v>
      </c>
      <c r="S1216" s="1">
        <v>50</v>
      </c>
      <c r="T1216" s="1">
        <v>1</v>
      </c>
      <c r="U1216" s="1">
        <v>1</v>
      </c>
      <c r="V1216">
        <f t="shared" si="18"/>
        <v>275</v>
      </c>
    </row>
    <row r="1217" spans="1:22" ht="13" x14ac:dyDescent="0.15">
      <c r="A1217" s="4">
        <v>44778</v>
      </c>
      <c r="B1217" s="5">
        <v>0.38285879629629632</v>
      </c>
      <c r="C1217" s="1">
        <v>1791</v>
      </c>
      <c r="D1217" s="1">
        <v>13002616</v>
      </c>
      <c r="E1217" s="1">
        <v>13</v>
      </c>
      <c r="F1217" s="1">
        <v>22589</v>
      </c>
      <c r="G1217" s="1" t="s">
        <v>21</v>
      </c>
      <c r="H1217" s="1">
        <v>15</v>
      </c>
      <c r="I1217" s="1">
        <v>344527</v>
      </c>
      <c r="J1217" s="1" t="s">
        <v>1088</v>
      </c>
      <c r="K1217" s="1" t="s">
        <v>29</v>
      </c>
      <c r="L1217" s="1" t="s">
        <v>862</v>
      </c>
      <c r="M1217" s="1">
        <v>1</v>
      </c>
      <c r="N1217" s="2">
        <v>54.35</v>
      </c>
      <c r="O1217" s="3">
        <v>66</v>
      </c>
      <c r="P1217" s="1">
        <v>3</v>
      </c>
      <c r="Q1217" s="1">
        <v>9</v>
      </c>
      <c r="R1217" s="1">
        <v>200010016190</v>
      </c>
      <c r="S1217" s="1">
        <v>50</v>
      </c>
      <c r="T1217" s="1">
        <v>1</v>
      </c>
      <c r="U1217" s="1">
        <v>1</v>
      </c>
      <c r="V1217">
        <f t="shared" si="18"/>
        <v>66</v>
      </c>
    </row>
    <row r="1218" spans="1:22" ht="13" x14ac:dyDescent="0.15">
      <c r="A1218" s="4">
        <v>44778</v>
      </c>
      <c r="B1218" s="5">
        <v>0.38393518518518521</v>
      </c>
      <c r="C1218" s="1">
        <v>1792</v>
      </c>
      <c r="D1218" s="1">
        <v>13002616</v>
      </c>
      <c r="E1218" s="1">
        <v>13</v>
      </c>
      <c r="F1218" s="1">
        <v>22589</v>
      </c>
      <c r="G1218" s="1" t="s">
        <v>21</v>
      </c>
      <c r="H1218" s="1">
        <v>15</v>
      </c>
      <c r="I1218" s="1">
        <v>170308</v>
      </c>
      <c r="J1218" s="1" t="s">
        <v>944</v>
      </c>
      <c r="K1218" s="1" t="s">
        <v>23</v>
      </c>
      <c r="L1218" s="1" t="s">
        <v>159</v>
      </c>
      <c r="M1218" s="1">
        <v>1</v>
      </c>
      <c r="N1218" s="2">
        <v>79.2</v>
      </c>
      <c r="O1218" s="3">
        <v>97</v>
      </c>
      <c r="P1218" s="1">
        <v>4</v>
      </c>
      <c r="Q1218" s="1">
        <v>9</v>
      </c>
      <c r="R1218" s="1">
        <v>200010001617</v>
      </c>
      <c r="S1218" s="1">
        <v>50</v>
      </c>
      <c r="T1218" s="1">
        <v>1</v>
      </c>
      <c r="U1218" s="1">
        <v>2</v>
      </c>
      <c r="V1218">
        <f t="shared" si="18"/>
        <v>97</v>
      </c>
    </row>
    <row r="1219" spans="1:22" ht="13" x14ac:dyDescent="0.15">
      <c r="A1219" s="4">
        <v>44778</v>
      </c>
      <c r="B1219" s="5">
        <v>0.38393518518518521</v>
      </c>
      <c r="C1219" s="1">
        <v>1792</v>
      </c>
      <c r="D1219" s="1">
        <v>13002616</v>
      </c>
      <c r="E1219" s="1">
        <v>13</v>
      </c>
      <c r="F1219" s="1">
        <v>22589</v>
      </c>
      <c r="G1219" s="1" t="s">
        <v>21</v>
      </c>
      <c r="H1219" s="1">
        <v>15</v>
      </c>
      <c r="I1219" s="1">
        <v>74656</v>
      </c>
      <c r="J1219" s="1" t="s">
        <v>198</v>
      </c>
      <c r="K1219" s="1" t="s">
        <v>61</v>
      </c>
      <c r="L1219" s="1" t="s">
        <v>76</v>
      </c>
      <c r="M1219" s="1">
        <v>1</v>
      </c>
      <c r="N1219" s="2">
        <v>392.48</v>
      </c>
      <c r="O1219" s="3">
        <v>471</v>
      </c>
      <c r="P1219" s="1">
        <v>32</v>
      </c>
      <c r="Q1219" s="1">
        <v>9</v>
      </c>
      <c r="R1219" s="1">
        <v>200010001617</v>
      </c>
      <c r="S1219" s="1">
        <v>50</v>
      </c>
      <c r="T1219" s="1">
        <v>1</v>
      </c>
      <c r="U1219" s="1">
        <v>1</v>
      </c>
      <c r="V1219">
        <f t="shared" ref="V1219:V1282" si="19">O1219*M1219</f>
        <v>471</v>
      </c>
    </row>
    <row r="1220" spans="1:22" ht="13" x14ac:dyDescent="0.15">
      <c r="A1220" s="4">
        <v>44778</v>
      </c>
      <c r="B1220" s="5">
        <v>0.38469907407407405</v>
      </c>
      <c r="C1220" s="1">
        <v>1793</v>
      </c>
      <c r="D1220" s="1">
        <v>13002616</v>
      </c>
      <c r="E1220" s="1">
        <v>13</v>
      </c>
      <c r="F1220" s="1">
        <v>22589</v>
      </c>
      <c r="G1220" s="1" t="s">
        <v>21</v>
      </c>
      <c r="H1220" s="1">
        <v>15</v>
      </c>
      <c r="I1220" s="1">
        <v>449563</v>
      </c>
      <c r="J1220" s="1" t="s">
        <v>1089</v>
      </c>
      <c r="K1220" s="1" t="s">
        <v>61</v>
      </c>
      <c r="L1220" s="1" t="s">
        <v>1090</v>
      </c>
      <c r="M1220" s="1">
        <v>1</v>
      </c>
      <c r="N1220" s="2">
        <v>22.22</v>
      </c>
      <c r="O1220" s="3">
        <v>36</v>
      </c>
      <c r="P1220" s="1">
        <v>0</v>
      </c>
      <c r="Q1220" s="1" t="s">
        <v>25</v>
      </c>
      <c r="R1220" s="1" t="s">
        <v>25</v>
      </c>
      <c r="S1220" s="1">
        <v>50</v>
      </c>
      <c r="T1220" s="1">
        <v>1</v>
      </c>
      <c r="U1220" s="1">
        <v>1</v>
      </c>
      <c r="V1220">
        <f t="shared" si="19"/>
        <v>36</v>
      </c>
    </row>
    <row r="1221" spans="1:22" ht="13" x14ac:dyDescent="0.15">
      <c r="A1221" s="4">
        <v>44778</v>
      </c>
      <c r="B1221" s="5">
        <v>0.5577199074074074</v>
      </c>
      <c r="C1221" s="1">
        <v>1844</v>
      </c>
      <c r="D1221" s="1">
        <v>13002616</v>
      </c>
      <c r="E1221" s="1">
        <v>13</v>
      </c>
      <c r="F1221" s="1">
        <v>22589</v>
      </c>
      <c r="G1221" s="1" t="s">
        <v>21</v>
      </c>
      <c r="H1221" s="1">
        <v>18</v>
      </c>
      <c r="I1221" s="1">
        <v>449563</v>
      </c>
      <c r="J1221" s="1" t="s">
        <v>1089</v>
      </c>
      <c r="K1221" s="1" t="s">
        <v>61</v>
      </c>
      <c r="L1221" s="1" t="s">
        <v>1090</v>
      </c>
      <c r="M1221" s="1">
        <v>1</v>
      </c>
      <c r="N1221" s="2">
        <v>22.22</v>
      </c>
      <c r="O1221" s="3">
        <v>36</v>
      </c>
      <c r="P1221" s="1">
        <v>0</v>
      </c>
      <c r="Q1221" s="1" t="s">
        <v>25</v>
      </c>
      <c r="R1221" s="1" t="s">
        <v>25</v>
      </c>
      <c r="S1221" s="1">
        <v>50</v>
      </c>
      <c r="T1221" s="1">
        <v>1</v>
      </c>
      <c r="U1221" s="1">
        <v>7</v>
      </c>
      <c r="V1221">
        <f t="shared" si="19"/>
        <v>36</v>
      </c>
    </row>
    <row r="1222" spans="1:22" ht="13" x14ac:dyDescent="0.15">
      <c r="A1222" s="4">
        <v>44778</v>
      </c>
      <c r="B1222" s="5">
        <v>0.38556712962962963</v>
      </c>
      <c r="C1222" s="1">
        <v>1794</v>
      </c>
      <c r="D1222" s="1">
        <v>13002616</v>
      </c>
      <c r="E1222" s="1">
        <v>13</v>
      </c>
      <c r="F1222" s="1">
        <v>22589</v>
      </c>
      <c r="G1222" s="1" t="s">
        <v>21</v>
      </c>
      <c r="H1222" s="1">
        <v>18</v>
      </c>
      <c r="I1222" s="1">
        <v>276810</v>
      </c>
      <c r="J1222" s="1" t="s">
        <v>231</v>
      </c>
      <c r="K1222" s="1" t="s">
        <v>61</v>
      </c>
      <c r="L1222" s="1" t="s">
        <v>192</v>
      </c>
      <c r="M1222" s="1">
        <v>1</v>
      </c>
      <c r="N1222" s="2">
        <v>316.36</v>
      </c>
      <c r="O1222" s="3">
        <v>380</v>
      </c>
      <c r="P1222" s="1">
        <v>38</v>
      </c>
      <c r="Q1222" s="1">
        <v>30</v>
      </c>
      <c r="R1222" s="1">
        <v>200000000024</v>
      </c>
      <c r="S1222" s="1">
        <v>50</v>
      </c>
      <c r="T1222" s="1">
        <v>1</v>
      </c>
      <c r="U1222" s="1">
        <v>1</v>
      </c>
      <c r="V1222">
        <f t="shared" si="19"/>
        <v>380</v>
      </c>
    </row>
    <row r="1223" spans="1:22" ht="13" x14ac:dyDescent="0.15">
      <c r="A1223" s="4">
        <v>44778</v>
      </c>
      <c r="B1223" s="5">
        <v>0.38695601851851852</v>
      </c>
      <c r="C1223" s="1">
        <v>1795</v>
      </c>
      <c r="D1223" s="1">
        <v>13002616</v>
      </c>
      <c r="E1223" s="1">
        <v>13</v>
      </c>
      <c r="F1223" s="1">
        <v>22589</v>
      </c>
      <c r="G1223" s="1" t="s">
        <v>21</v>
      </c>
      <c r="H1223" s="1">
        <v>18</v>
      </c>
      <c r="I1223" s="1">
        <v>141755</v>
      </c>
      <c r="J1223" s="1" t="s">
        <v>1091</v>
      </c>
      <c r="K1223" s="1" t="s">
        <v>29</v>
      </c>
      <c r="L1223" s="1" t="s">
        <v>348</v>
      </c>
      <c r="M1223" s="1">
        <v>1</v>
      </c>
      <c r="N1223" s="2">
        <v>45.35</v>
      </c>
      <c r="O1223" s="3">
        <v>74</v>
      </c>
      <c r="P1223" s="1">
        <v>0</v>
      </c>
      <c r="Q1223" s="1" t="s">
        <v>25</v>
      </c>
      <c r="R1223" s="1" t="s">
        <v>25</v>
      </c>
      <c r="S1223" s="1">
        <v>50</v>
      </c>
      <c r="T1223" s="1">
        <v>1</v>
      </c>
      <c r="U1223" s="1">
        <v>1</v>
      </c>
      <c r="V1223">
        <f t="shared" si="19"/>
        <v>74</v>
      </c>
    </row>
    <row r="1224" spans="1:22" ht="13" x14ac:dyDescent="0.15">
      <c r="A1224" s="4">
        <v>44778</v>
      </c>
      <c r="B1224" s="5">
        <v>0.39240740740740743</v>
      </c>
      <c r="C1224" s="1">
        <v>1796</v>
      </c>
      <c r="D1224" s="1">
        <v>13002616</v>
      </c>
      <c r="E1224" s="1">
        <v>13</v>
      </c>
      <c r="F1224" s="1">
        <v>22589</v>
      </c>
      <c r="G1224" s="1" t="s">
        <v>21</v>
      </c>
      <c r="H1224" s="1">
        <v>18</v>
      </c>
      <c r="I1224" s="1">
        <v>446309</v>
      </c>
      <c r="J1224" s="1" t="s">
        <v>674</v>
      </c>
      <c r="K1224" s="1" t="s">
        <v>51</v>
      </c>
      <c r="L1224" s="1" t="s">
        <v>97</v>
      </c>
      <c r="M1224" s="1">
        <v>1</v>
      </c>
      <c r="N1224" s="2">
        <v>16.3</v>
      </c>
      <c r="O1224" s="3">
        <v>25</v>
      </c>
      <c r="P1224" s="1">
        <v>1</v>
      </c>
      <c r="Q1224" s="1">
        <v>9</v>
      </c>
      <c r="R1224" s="1">
        <v>200010009884</v>
      </c>
      <c r="S1224" s="1">
        <v>50</v>
      </c>
      <c r="T1224" s="1">
        <v>1</v>
      </c>
      <c r="U1224" s="1">
        <v>1</v>
      </c>
      <c r="V1224">
        <f t="shared" si="19"/>
        <v>25</v>
      </c>
    </row>
    <row r="1225" spans="1:22" ht="13" x14ac:dyDescent="0.15">
      <c r="A1225" s="4">
        <v>44778</v>
      </c>
      <c r="B1225" s="5">
        <v>0.39240740740740743</v>
      </c>
      <c r="C1225" s="1">
        <v>1796</v>
      </c>
      <c r="D1225" s="1">
        <v>13002616</v>
      </c>
      <c r="E1225" s="1">
        <v>13</v>
      </c>
      <c r="F1225" s="1">
        <v>22589</v>
      </c>
      <c r="G1225" s="1" t="s">
        <v>21</v>
      </c>
      <c r="H1225" s="1">
        <v>18</v>
      </c>
      <c r="I1225" s="1">
        <v>446309</v>
      </c>
      <c r="J1225" s="1" t="s">
        <v>674</v>
      </c>
      <c r="K1225" s="1" t="s">
        <v>51</v>
      </c>
      <c r="L1225" s="1" t="s">
        <v>97</v>
      </c>
      <c r="M1225" s="1">
        <v>1</v>
      </c>
      <c r="N1225" s="2">
        <v>18.61</v>
      </c>
      <c r="O1225" s="3">
        <v>29</v>
      </c>
      <c r="P1225" s="1">
        <v>2</v>
      </c>
      <c r="Q1225" s="1">
        <v>9</v>
      </c>
      <c r="R1225" s="1">
        <v>200010009884</v>
      </c>
      <c r="S1225" s="1">
        <v>50</v>
      </c>
      <c r="T1225" s="1">
        <v>1</v>
      </c>
      <c r="U1225" s="1">
        <v>2</v>
      </c>
      <c r="V1225">
        <f t="shared" si="19"/>
        <v>29</v>
      </c>
    </row>
    <row r="1226" spans="1:22" ht="13" x14ac:dyDescent="0.15">
      <c r="A1226" s="4">
        <v>44778</v>
      </c>
      <c r="B1226" s="5">
        <v>0.39531250000000001</v>
      </c>
      <c r="C1226" s="1">
        <v>1797</v>
      </c>
      <c r="D1226" s="1">
        <v>13002616</v>
      </c>
      <c r="E1226" s="1">
        <v>13</v>
      </c>
      <c r="F1226" s="1">
        <v>22589</v>
      </c>
      <c r="G1226" s="1" t="s">
        <v>21</v>
      </c>
      <c r="H1226" s="1">
        <v>18</v>
      </c>
      <c r="I1226" s="1">
        <v>1799</v>
      </c>
      <c r="J1226" s="1" t="s">
        <v>998</v>
      </c>
      <c r="K1226" s="1" t="s">
        <v>45</v>
      </c>
      <c r="L1226" s="1" t="s">
        <v>999</v>
      </c>
      <c r="M1226" s="1">
        <v>1</v>
      </c>
      <c r="N1226" s="2">
        <v>400.06</v>
      </c>
      <c r="O1226" s="3">
        <v>481</v>
      </c>
      <c r="P1226" s="1">
        <v>0</v>
      </c>
      <c r="Q1226" s="1" t="s">
        <v>25</v>
      </c>
      <c r="R1226" s="1" t="s">
        <v>25</v>
      </c>
      <c r="S1226" s="1">
        <v>50</v>
      </c>
      <c r="T1226" s="1">
        <v>1</v>
      </c>
      <c r="U1226" s="1">
        <v>1</v>
      </c>
      <c r="V1226">
        <f t="shared" si="19"/>
        <v>481</v>
      </c>
    </row>
    <row r="1227" spans="1:22" ht="13" x14ac:dyDescent="0.15">
      <c r="A1227" s="4">
        <v>44778</v>
      </c>
      <c r="B1227" s="5">
        <v>0.39695601851851853</v>
      </c>
      <c r="C1227" s="1">
        <v>1798</v>
      </c>
      <c r="D1227" s="1">
        <v>13002616</v>
      </c>
      <c r="E1227" s="1">
        <v>13</v>
      </c>
      <c r="F1227" s="1">
        <v>22589</v>
      </c>
      <c r="G1227" s="1" t="s">
        <v>21</v>
      </c>
      <c r="H1227" s="1">
        <v>15</v>
      </c>
      <c r="I1227" s="1">
        <v>6678</v>
      </c>
      <c r="J1227" s="1" t="s">
        <v>427</v>
      </c>
      <c r="K1227" s="1" t="s">
        <v>23</v>
      </c>
      <c r="L1227" s="1" t="s">
        <v>895</v>
      </c>
      <c r="M1227" s="1">
        <v>1</v>
      </c>
      <c r="N1227" s="2">
        <v>458.22</v>
      </c>
      <c r="O1227" s="3">
        <v>587</v>
      </c>
      <c r="P1227" s="1">
        <v>41</v>
      </c>
      <c r="Q1227" s="1">
        <v>9</v>
      </c>
      <c r="R1227" s="1">
        <v>200010022565</v>
      </c>
      <c r="S1227" s="1">
        <v>50</v>
      </c>
      <c r="T1227" s="1">
        <v>1</v>
      </c>
      <c r="U1227" s="1">
        <v>1</v>
      </c>
      <c r="V1227">
        <f t="shared" si="19"/>
        <v>587</v>
      </c>
    </row>
    <row r="1228" spans="1:22" ht="13" x14ac:dyDescent="0.15">
      <c r="A1228" s="4">
        <v>44778</v>
      </c>
      <c r="B1228" s="5">
        <v>0.39695601851851853</v>
      </c>
      <c r="C1228" s="1">
        <v>1798</v>
      </c>
      <c r="D1228" s="1">
        <v>13002616</v>
      </c>
      <c r="E1228" s="1">
        <v>13</v>
      </c>
      <c r="F1228" s="1">
        <v>22589</v>
      </c>
      <c r="G1228" s="1" t="s">
        <v>21</v>
      </c>
      <c r="H1228" s="1">
        <v>15</v>
      </c>
      <c r="I1228" s="1">
        <v>142036</v>
      </c>
      <c r="J1228" s="1" t="s">
        <v>101</v>
      </c>
      <c r="K1228" s="1" t="s">
        <v>51</v>
      </c>
      <c r="L1228" s="1" t="s">
        <v>76</v>
      </c>
      <c r="M1228" s="1">
        <v>1</v>
      </c>
      <c r="N1228" s="2">
        <v>187.95</v>
      </c>
      <c r="O1228" s="3">
        <v>220</v>
      </c>
      <c r="P1228" s="1">
        <v>15</v>
      </c>
      <c r="Q1228" s="1">
        <v>9</v>
      </c>
      <c r="R1228" s="1">
        <v>200010022565</v>
      </c>
      <c r="S1228" s="1">
        <v>50</v>
      </c>
      <c r="T1228" s="1">
        <v>1</v>
      </c>
      <c r="U1228" s="1">
        <v>2</v>
      </c>
      <c r="V1228">
        <f t="shared" si="19"/>
        <v>220</v>
      </c>
    </row>
    <row r="1229" spans="1:22" ht="13" x14ac:dyDescent="0.15">
      <c r="A1229" s="4">
        <v>44778</v>
      </c>
      <c r="B1229" s="5">
        <v>0.39695601851851853</v>
      </c>
      <c r="C1229" s="1">
        <v>1798</v>
      </c>
      <c r="D1229" s="1">
        <v>13002616</v>
      </c>
      <c r="E1229" s="1">
        <v>13</v>
      </c>
      <c r="F1229" s="1">
        <v>22589</v>
      </c>
      <c r="G1229" s="1" t="s">
        <v>21</v>
      </c>
      <c r="H1229" s="1">
        <v>15</v>
      </c>
      <c r="I1229" s="1">
        <v>128772</v>
      </c>
      <c r="J1229" s="1" t="s">
        <v>1092</v>
      </c>
      <c r="K1229" s="1" t="s">
        <v>61</v>
      </c>
      <c r="L1229" s="1" t="s">
        <v>1093</v>
      </c>
      <c r="M1229" s="1">
        <v>1</v>
      </c>
      <c r="N1229" s="2">
        <v>176.46</v>
      </c>
      <c r="O1229" s="3">
        <v>274</v>
      </c>
      <c r="P1229" s="1">
        <v>27</v>
      </c>
      <c r="Q1229" s="1">
        <v>9</v>
      </c>
      <c r="R1229" s="1">
        <v>200010022565</v>
      </c>
      <c r="S1229" s="1">
        <v>50</v>
      </c>
      <c r="T1229" s="1">
        <v>1</v>
      </c>
      <c r="U1229" s="1">
        <v>3</v>
      </c>
      <c r="V1229">
        <f t="shared" si="19"/>
        <v>274</v>
      </c>
    </row>
    <row r="1230" spans="1:22" ht="13" x14ac:dyDescent="0.15">
      <c r="A1230" s="4">
        <v>44778</v>
      </c>
      <c r="B1230" s="5">
        <v>0.39747685185185183</v>
      </c>
      <c r="C1230" s="1">
        <v>1799</v>
      </c>
      <c r="D1230" s="1">
        <v>13002616</v>
      </c>
      <c r="E1230" s="1">
        <v>13</v>
      </c>
      <c r="F1230" s="1">
        <v>22589</v>
      </c>
      <c r="G1230" s="1" t="s">
        <v>21</v>
      </c>
      <c r="H1230" s="1">
        <v>15</v>
      </c>
      <c r="I1230" s="1">
        <v>9426</v>
      </c>
      <c r="J1230" s="1" t="s">
        <v>392</v>
      </c>
      <c r="K1230" s="1" t="s">
        <v>51</v>
      </c>
      <c r="L1230" s="1" t="s">
        <v>195</v>
      </c>
      <c r="M1230" s="1">
        <v>1</v>
      </c>
      <c r="N1230" s="2">
        <v>177.67</v>
      </c>
      <c r="O1230" s="3">
        <v>215</v>
      </c>
      <c r="P1230" s="1">
        <v>10</v>
      </c>
      <c r="Q1230" s="1">
        <v>9</v>
      </c>
      <c r="R1230" s="1">
        <v>200010022565</v>
      </c>
      <c r="S1230" s="1">
        <v>50</v>
      </c>
      <c r="T1230" s="1">
        <v>1</v>
      </c>
      <c r="U1230" s="1">
        <v>1</v>
      </c>
      <c r="V1230">
        <f t="shared" si="19"/>
        <v>215</v>
      </c>
    </row>
    <row r="1231" spans="1:22" ht="13" x14ac:dyDescent="0.15">
      <c r="A1231" s="4">
        <v>44778</v>
      </c>
      <c r="B1231" s="5">
        <v>0.39747685185185183</v>
      </c>
      <c r="C1231" s="1">
        <v>1799</v>
      </c>
      <c r="D1231" s="1">
        <v>13002616</v>
      </c>
      <c r="E1231" s="1">
        <v>13</v>
      </c>
      <c r="F1231" s="1">
        <v>22589</v>
      </c>
      <c r="G1231" s="1" t="s">
        <v>21</v>
      </c>
      <c r="H1231" s="1">
        <v>15</v>
      </c>
      <c r="I1231" s="1">
        <v>9426</v>
      </c>
      <c r="J1231" s="1" t="s">
        <v>392</v>
      </c>
      <c r="K1231" s="1" t="s">
        <v>51</v>
      </c>
      <c r="L1231" s="1" t="s">
        <v>195</v>
      </c>
      <c r="M1231" s="1">
        <v>1</v>
      </c>
      <c r="N1231" s="2">
        <v>177.67</v>
      </c>
      <c r="O1231" s="3">
        <v>215</v>
      </c>
      <c r="P1231" s="1">
        <v>10</v>
      </c>
      <c r="Q1231" s="1">
        <v>9</v>
      </c>
      <c r="R1231" s="1">
        <v>200010022565</v>
      </c>
      <c r="S1231" s="1">
        <v>50</v>
      </c>
      <c r="T1231" s="1">
        <v>1</v>
      </c>
      <c r="U1231" s="1">
        <v>2</v>
      </c>
      <c r="V1231">
        <f t="shared" si="19"/>
        <v>215</v>
      </c>
    </row>
    <row r="1232" spans="1:22" ht="13" x14ac:dyDescent="0.15">
      <c r="A1232" s="4">
        <v>44778</v>
      </c>
      <c r="B1232" s="5">
        <v>0.39881944444444445</v>
      </c>
      <c r="C1232" s="1">
        <v>1800</v>
      </c>
      <c r="D1232" s="1">
        <v>13002616</v>
      </c>
      <c r="E1232" s="1">
        <v>13</v>
      </c>
      <c r="F1232" s="1">
        <v>22589</v>
      </c>
      <c r="G1232" s="1" t="s">
        <v>21</v>
      </c>
      <c r="H1232" s="1">
        <v>15</v>
      </c>
      <c r="I1232" s="1">
        <v>33001</v>
      </c>
      <c r="J1232" s="1" t="s">
        <v>378</v>
      </c>
      <c r="K1232" s="1" t="s">
        <v>29</v>
      </c>
      <c r="L1232" s="1" t="s">
        <v>269</v>
      </c>
      <c r="M1232" s="1">
        <v>16</v>
      </c>
      <c r="N1232" s="2">
        <v>2.08</v>
      </c>
      <c r="O1232" s="3">
        <v>4</v>
      </c>
      <c r="P1232" s="1">
        <v>0</v>
      </c>
      <c r="Q1232" s="1" t="s">
        <v>25</v>
      </c>
      <c r="R1232" s="1" t="s">
        <v>25</v>
      </c>
      <c r="S1232" s="1">
        <v>50</v>
      </c>
      <c r="T1232" s="1">
        <v>1</v>
      </c>
      <c r="U1232" s="1">
        <v>1</v>
      </c>
      <c r="V1232">
        <f t="shared" si="19"/>
        <v>64</v>
      </c>
    </row>
    <row r="1233" spans="1:22" ht="13" x14ac:dyDescent="0.15">
      <c r="A1233" s="4">
        <v>44778</v>
      </c>
      <c r="B1233" s="5">
        <v>0.44091435185185185</v>
      </c>
      <c r="C1233" s="1">
        <v>1816</v>
      </c>
      <c r="D1233" s="1">
        <v>13002616</v>
      </c>
      <c r="E1233" s="1">
        <v>13</v>
      </c>
      <c r="F1233" s="1">
        <v>22589</v>
      </c>
      <c r="G1233" s="1" t="s">
        <v>21</v>
      </c>
      <c r="H1233" s="1">
        <v>15</v>
      </c>
      <c r="I1233" s="1">
        <v>33001</v>
      </c>
      <c r="J1233" s="1" t="s">
        <v>378</v>
      </c>
      <c r="K1233" s="1" t="s">
        <v>29</v>
      </c>
      <c r="L1233" s="1" t="s">
        <v>269</v>
      </c>
      <c r="M1233" s="1">
        <v>8</v>
      </c>
      <c r="N1233" s="2">
        <v>2.08</v>
      </c>
      <c r="O1233" s="3">
        <v>4</v>
      </c>
      <c r="P1233" s="1">
        <v>0</v>
      </c>
      <c r="Q1233" s="1" t="s">
        <v>25</v>
      </c>
      <c r="R1233" s="1" t="s">
        <v>25</v>
      </c>
      <c r="S1233" s="1">
        <v>50</v>
      </c>
      <c r="T1233" s="1">
        <v>1</v>
      </c>
      <c r="U1233" s="1">
        <v>1</v>
      </c>
      <c r="V1233">
        <f t="shared" si="19"/>
        <v>32</v>
      </c>
    </row>
    <row r="1234" spans="1:22" ht="13" x14ac:dyDescent="0.15">
      <c r="A1234" s="4">
        <v>44778</v>
      </c>
      <c r="B1234" s="5">
        <v>0.71643518518518523</v>
      </c>
      <c r="C1234" s="1">
        <v>1878</v>
      </c>
      <c r="D1234" s="1">
        <v>13002616</v>
      </c>
      <c r="E1234" s="1">
        <v>13</v>
      </c>
      <c r="F1234" s="1">
        <v>22589</v>
      </c>
      <c r="G1234" s="1" t="s">
        <v>21</v>
      </c>
      <c r="H1234" s="1">
        <v>15</v>
      </c>
      <c r="I1234" s="1">
        <v>33001</v>
      </c>
      <c r="J1234" s="1" t="s">
        <v>378</v>
      </c>
      <c r="K1234" s="1" t="s">
        <v>29</v>
      </c>
      <c r="L1234" s="1" t="s">
        <v>269</v>
      </c>
      <c r="M1234" s="1">
        <v>4</v>
      </c>
      <c r="N1234" s="2">
        <v>2.08</v>
      </c>
      <c r="O1234" s="3">
        <v>4</v>
      </c>
      <c r="P1234" s="1">
        <v>0</v>
      </c>
      <c r="Q1234" s="1" t="s">
        <v>25</v>
      </c>
      <c r="R1234" s="1" t="s">
        <v>25</v>
      </c>
      <c r="S1234" s="1">
        <v>50</v>
      </c>
      <c r="T1234" s="1">
        <v>1</v>
      </c>
      <c r="U1234" s="1">
        <v>2</v>
      </c>
      <c r="V1234">
        <f t="shared" si="19"/>
        <v>16</v>
      </c>
    </row>
    <row r="1235" spans="1:22" ht="13" x14ac:dyDescent="0.15">
      <c r="A1235" s="4">
        <v>44778</v>
      </c>
      <c r="B1235" s="5">
        <v>0.39881944444444445</v>
      </c>
      <c r="C1235" s="1">
        <v>1800</v>
      </c>
      <c r="D1235" s="1">
        <v>13002616</v>
      </c>
      <c r="E1235" s="1">
        <v>13</v>
      </c>
      <c r="F1235" s="1">
        <v>22589</v>
      </c>
      <c r="G1235" s="1" t="s">
        <v>21</v>
      </c>
      <c r="H1235" s="1">
        <v>15</v>
      </c>
      <c r="I1235" s="1">
        <v>81990</v>
      </c>
      <c r="J1235" s="1" t="s">
        <v>1046</v>
      </c>
      <c r="K1235" s="1" t="s">
        <v>23</v>
      </c>
      <c r="L1235" s="1" t="s">
        <v>269</v>
      </c>
      <c r="M1235" s="1">
        <v>4</v>
      </c>
      <c r="N1235" s="2">
        <v>5.27</v>
      </c>
      <c r="O1235" s="3">
        <v>9</v>
      </c>
      <c r="P1235" s="1">
        <v>0</v>
      </c>
      <c r="Q1235" s="1" t="s">
        <v>25</v>
      </c>
      <c r="R1235" s="1" t="s">
        <v>25</v>
      </c>
      <c r="S1235" s="1">
        <v>50</v>
      </c>
      <c r="T1235" s="1">
        <v>1</v>
      </c>
      <c r="U1235" s="1">
        <v>2</v>
      </c>
      <c r="V1235">
        <f t="shared" si="19"/>
        <v>36</v>
      </c>
    </row>
    <row r="1236" spans="1:22" ht="13" x14ac:dyDescent="0.15">
      <c r="A1236" s="4">
        <v>44778</v>
      </c>
      <c r="B1236" s="5">
        <v>0.3997222222222222</v>
      </c>
      <c r="C1236" s="1">
        <v>1801</v>
      </c>
      <c r="D1236" s="1">
        <v>13002616</v>
      </c>
      <c r="E1236" s="1">
        <v>13</v>
      </c>
      <c r="F1236" s="1">
        <v>22589</v>
      </c>
      <c r="G1236" s="1" t="s">
        <v>21</v>
      </c>
      <c r="H1236" s="1">
        <v>18</v>
      </c>
      <c r="I1236" s="1">
        <v>299026</v>
      </c>
      <c r="J1236" s="1" t="s">
        <v>805</v>
      </c>
      <c r="K1236" s="1" t="s">
        <v>34</v>
      </c>
      <c r="L1236" s="1" t="s">
        <v>80</v>
      </c>
      <c r="M1236" s="1">
        <v>1</v>
      </c>
      <c r="N1236" s="2">
        <v>166.99</v>
      </c>
      <c r="O1236" s="3">
        <v>259</v>
      </c>
      <c r="P1236" s="1">
        <v>0</v>
      </c>
      <c r="Q1236" s="1" t="s">
        <v>25</v>
      </c>
      <c r="R1236" s="1" t="s">
        <v>25</v>
      </c>
      <c r="S1236" s="1">
        <v>50</v>
      </c>
      <c r="T1236" s="1">
        <v>1</v>
      </c>
      <c r="U1236" s="1">
        <v>1</v>
      </c>
      <c r="V1236">
        <f t="shared" si="19"/>
        <v>259</v>
      </c>
    </row>
    <row r="1237" spans="1:22" ht="13" x14ac:dyDescent="0.15">
      <c r="A1237" s="4">
        <v>44778</v>
      </c>
      <c r="B1237" s="5">
        <v>0.40113425925925927</v>
      </c>
      <c r="C1237" s="1">
        <v>1802</v>
      </c>
      <c r="D1237" s="1">
        <v>13002616</v>
      </c>
      <c r="E1237" s="1">
        <v>13</v>
      </c>
      <c r="F1237" s="1">
        <v>22589</v>
      </c>
      <c r="G1237" s="1" t="s">
        <v>21</v>
      </c>
      <c r="H1237" s="1">
        <v>18</v>
      </c>
      <c r="I1237" s="1">
        <v>123849</v>
      </c>
      <c r="J1237" s="1" t="s">
        <v>706</v>
      </c>
      <c r="K1237" s="1" t="s">
        <v>23</v>
      </c>
      <c r="L1237" s="1" t="s">
        <v>76</v>
      </c>
      <c r="M1237" s="1">
        <v>1</v>
      </c>
      <c r="N1237" s="2">
        <v>1023.08</v>
      </c>
      <c r="O1237" s="3">
        <v>1133</v>
      </c>
      <c r="P1237" s="1">
        <v>33</v>
      </c>
      <c r="Q1237" s="1">
        <v>9</v>
      </c>
      <c r="R1237" s="1">
        <v>200010022555</v>
      </c>
      <c r="S1237" s="1">
        <v>50</v>
      </c>
      <c r="T1237" s="1">
        <v>1</v>
      </c>
      <c r="U1237" s="1">
        <v>2</v>
      </c>
      <c r="V1237">
        <f t="shared" si="19"/>
        <v>1133</v>
      </c>
    </row>
    <row r="1238" spans="1:22" ht="13" x14ac:dyDescent="0.15">
      <c r="A1238" s="4">
        <v>44778</v>
      </c>
      <c r="B1238" s="5">
        <v>0.40113425925925927</v>
      </c>
      <c r="C1238" s="1">
        <v>1802</v>
      </c>
      <c r="D1238" s="1">
        <v>13002616</v>
      </c>
      <c r="E1238" s="1">
        <v>13</v>
      </c>
      <c r="F1238" s="1">
        <v>22589</v>
      </c>
      <c r="G1238" s="1" t="s">
        <v>21</v>
      </c>
      <c r="H1238" s="1">
        <v>18</v>
      </c>
      <c r="I1238" s="1">
        <v>354089</v>
      </c>
      <c r="J1238" s="1" t="s">
        <v>369</v>
      </c>
      <c r="K1238" s="1" t="s">
        <v>29</v>
      </c>
      <c r="L1238" s="1" t="s">
        <v>335</v>
      </c>
      <c r="M1238" s="1">
        <v>1</v>
      </c>
      <c r="N1238" s="2">
        <v>39.369999999999997</v>
      </c>
      <c r="O1238" s="3">
        <v>60</v>
      </c>
      <c r="P1238" s="1">
        <v>4</v>
      </c>
      <c r="Q1238" s="1">
        <v>9</v>
      </c>
      <c r="R1238" s="1">
        <v>200010022555</v>
      </c>
      <c r="S1238" s="1">
        <v>50</v>
      </c>
      <c r="T1238" s="1">
        <v>1</v>
      </c>
      <c r="U1238" s="1">
        <v>1</v>
      </c>
      <c r="V1238">
        <f t="shared" si="19"/>
        <v>60</v>
      </c>
    </row>
    <row r="1239" spans="1:22" ht="13" x14ac:dyDescent="0.15">
      <c r="A1239" s="4">
        <v>44778</v>
      </c>
      <c r="B1239" s="5">
        <v>0.40243055555555557</v>
      </c>
      <c r="C1239" s="1">
        <v>1803</v>
      </c>
      <c r="D1239" s="1">
        <v>13002616</v>
      </c>
      <c r="E1239" s="1">
        <v>13</v>
      </c>
      <c r="F1239" s="1">
        <v>22589</v>
      </c>
      <c r="G1239" s="1" t="s">
        <v>21</v>
      </c>
      <c r="H1239" s="1">
        <v>15</v>
      </c>
      <c r="I1239" s="1">
        <v>275527</v>
      </c>
      <c r="J1239" s="1" t="s">
        <v>1094</v>
      </c>
      <c r="K1239" s="1" t="s">
        <v>51</v>
      </c>
      <c r="L1239" s="1" t="s">
        <v>236</v>
      </c>
      <c r="M1239" s="1">
        <v>1</v>
      </c>
      <c r="N1239" s="2">
        <v>71.02</v>
      </c>
      <c r="O1239" s="3">
        <v>101</v>
      </c>
      <c r="P1239" s="1">
        <v>7</v>
      </c>
      <c r="Q1239" s="1">
        <v>9</v>
      </c>
      <c r="R1239" s="1">
        <v>200010000522</v>
      </c>
      <c r="S1239" s="1">
        <v>50</v>
      </c>
      <c r="T1239" s="1">
        <v>1</v>
      </c>
      <c r="U1239" s="1">
        <v>2</v>
      </c>
      <c r="V1239">
        <f t="shared" si="19"/>
        <v>101</v>
      </c>
    </row>
    <row r="1240" spans="1:22" ht="13" x14ac:dyDescent="0.15">
      <c r="A1240" s="4">
        <v>44778</v>
      </c>
      <c r="B1240" s="5">
        <v>0.40243055555555557</v>
      </c>
      <c r="C1240" s="1">
        <v>1803</v>
      </c>
      <c r="D1240" s="1">
        <v>13002616</v>
      </c>
      <c r="E1240" s="1">
        <v>13</v>
      </c>
      <c r="F1240" s="1">
        <v>22589</v>
      </c>
      <c r="G1240" s="1" t="s">
        <v>21</v>
      </c>
      <c r="H1240" s="1">
        <v>15</v>
      </c>
      <c r="I1240" s="1">
        <v>126130</v>
      </c>
      <c r="J1240" s="1" t="s">
        <v>1095</v>
      </c>
      <c r="K1240" s="1" t="s">
        <v>23</v>
      </c>
      <c r="L1240" s="1" t="s">
        <v>76</v>
      </c>
      <c r="M1240" s="1">
        <v>1</v>
      </c>
      <c r="N1240" s="2">
        <v>220.41</v>
      </c>
      <c r="O1240" s="3">
        <v>298</v>
      </c>
      <c r="P1240" s="1">
        <v>20</v>
      </c>
      <c r="Q1240" s="1">
        <v>9</v>
      </c>
      <c r="R1240" s="1">
        <v>200010000522</v>
      </c>
      <c r="S1240" s="1">
        <v>50</v>
      </c>
      <c r="T1240" s="1">
        <v>1</v>
      </c>
      <c r="U1240" s="1">
        <v>1</v>
      </c>
      <c r="V1240">
        <f t="shared" si="19"/>
        <v>298</v>
      </c>
    </row>
    <row r="1241" spans="1:22" ht="13" x14ac:dyDescent="0.15">
      <c r="A1241" s="4">
        <v>44778</v>
      </c>
      <c r="B1241" s="5">
        <v>0.40243055555555557</v>
      </c>
      <c r="C1241" s="1">
        <v>1803</v>
      </c>
      <c r="D1241" s="1">
        <v>13002616</v>
      </c>
      <c r="E1241" s="1">
        <v>13</v>
      </c>
      <c r="F1241" s="1">
        <v>22589</v>
      </c>
      <c r="G1241" s="1" t="s">
        <v>21</v>
      </c>
      <c r="H1241" s="1">
        <v>15</v>
      </c>
      <c r="I1241" s="1">
        <v>486887</v>
      </c>
      <c r="J1241" s="1" t="s">
        <v>1096</v>
      </c>
      <c r="K1241" s="1" t="s">
        <v>23</v>
      </c>
      <c r="L1241" s="1" t="s">
        <v>137</v>
      </c>
      <c r="M1241" s="1">
        <v>1</v>
      </c>
      <c r="N1241" s="2">
        <v>596.85</v>
      </c>
      <c r="O1241" s="3">
        <v>658</v>
      </c>
      <c r="P1241" s="1">
        <v>19</v>
      </c>
      <c r="Q1241" s="1">
        <v>9</v>
      </c>
      <c r="R1241" s="1">
        <v>200010000522</v>
      </c>
      <c r="S1241" s="1">
        <v>50</v>
      </c>
      <c r="T1241" s="1">
        <v>1</v>
      </c>
      <c r="U1241" s="1">
        <v>3</v>
      </c>
      <c r="V1241">
        <f t="shared" si="19"/>
        <v>658</v>
      </c>
    </row>
    <row r="1242" spans="1:22" ht="13" x14ac:dyDescent="0.15">
      <c r="A1242" s="4">
        <v>44778</v>
      </c>
      <c r="B1242" s="5">
        <v>0.40408564814814812</v>
      </c>
      <c r="C1242" s="1">
        <v>1804</v>
      </c>
      <c r="D1242" s="1">
        <v>13002616</v>
      </c>
      <c r="E1242" s="1">
        <v>13</v>
      </c>
      <c r="F1242" s="1">
        <v>22589</v>
      </c>
      <c r="G1242" s="1" t="s">
        <v>21</v>
      </c>
      <c r="H1242" s="1">
        <v>15</v>
      </c>
      <c r="I1242" s="1">
        <v>418134</v>
      </c>
      <c r="J1242" s="1" t="s">
        <v>418</v>
      </c>
      <c r="K1242" s="1" t="s">
        <v>29</v>
      </c>
      <c r="L1242" s="1" t="s">
        <v>335</v>
      </c>
      <c r="M1242" s="1">
        <v>1</v>
      </c>
      <c r="N1242" s="2">
        <v>30.54</v>
      </c>
      <c r="O1242" s="3">
        <v>36</v>
      </c>
      <c r="P1242" s="1">
        <v>2</v>
      </c>
      <c r="Q1242" s="1">
        <v>9</v>
      </c>
      <c r="R1242" s="1">
        <v>200010002967</v>
      </c>
      <c r="S1242" s="1">
        <v>50</v>
      </c>
      <c r="T1242" s="1">
        <v>1</v>
      </c>
      <c r="U1242" s="1">
        <v>1</v>
      </c>
      <c r="V1242">
        <f t="shared" si="19"/>
        <v>36</v>
      </c>
    </row>
    <row r="1243" spans="1:22" ht="13" x14ac:dyDescent="0.15">
      <c r="A1243" s="4">
        <v>44778</v>
      </c>
      <c r="B1243" s="5">
        <v>0.64531249999999996</v>
      </c>
      <c r="C1243" s="1">
        <v>1864</v>
      </c>
      <c r="D1243" s="1">
        <v>13002616</v>
      </c>
      <c r="E1243" s="1">
        <v>13</v>
      </c>
      <c r="F1243" s="1">
        <v>22589</v>
      </c>
      <c r="G1243" s="1" t="s">
        <v>21</v>
      </c>
      <c r="H1243" s="1">
        <v>18</v>
      </c>
      <c r="I1243" s="1">
        <v>418134</v>
      </c>
      <c r="J1243" s="1" t="s">
        <v>418</v>
      </c>
      <c r="K1243" s="1" t="s">
        <v>29</v>
      </c>
      <c r="L1243" s="1" t="s">
        <v>335</v>
      </c>
      <c r="M1243" s="1">
        <v>1</v>
      </c>
      <c r="N1243" s="2">
        <v>30.54</v>
      </c>
      <c r="O1243" s="3">
        <v>36</v>
      </c>
      <c r="P1243" s="1">
        <v>0</v>
      </c>
      <c r="Q1243" s="1" t="s">
        <v>25</v>
      </c>
      <c r="R1243" s="1" t="s">
        <v>25</v>
      </c>
      <c r="S1243" s="1">
        <v>50</v>
      </c>
      <c r="T1243" s="1">
        <v>1</v>
      </c>
      <c r="U1243" s="1">
        <v>1</v>
      </c>
      <c r="V1243">
        <f t="shared" si="19"/>
        <v>36</v>
      </c>
    </row>
    <row r="1244" spans="1:22" ht="13" x14ac:dyDescent="0.15">
      <c r="A1244" s="4">
        <v>44778</v>
      </c>
      <c r="B1244" s="5">
        <v>0.64531249999999996</v>
      </c>
      <c r="C1244" s="1">
        <v>1864</v>
      </c>
      <c r="D1244" s="1">
        <v>13002616</v>
      </c>
      <c r="E1244" s="1">
        <v>13</v>
      </c>
      <c r="F1244" s="1">
        <v>22589</v>
      </c>
      <c r="G1244" s="1" t="s">
        <v>21</v>
      </c>
      <c r="H1244" s="1">
        <v>18</v>
      </c>
      <c r="I1244" s="1">
        <v>418134</v>
      </c>
      <c r="J1244" s="1" t="s">
        <v>418</v>
      </c>
      <c r="K1244" s="1" t="s">
        <v>29</v>
      </c>
      <c r="L1244" s="1" t="s">
        <v>335</v>
      </c>
      <c r="M1244" s="1">
        <v>1</v>
      </c>
      <c r="N1244" s="2">
        <v>30.54</v>
      </c>
      <c r="O1244" s="3">
        <v>36</v>
      </c>
      <c r="P1244" s="1">
        <v>0</v>
      </c>
      <c r="Q1244" s="1" t="s">
        <v>25</v>
      </c>
      <c r="R1244" s="1" t="s">
        <v>25</v>
      </c>
      <c r="S1244" s="1">
        <v>50</v>
      </c>
      <c r="T1244" s="1">
        <v>1</v>
      </c>
      <c r="U1244" s="1">
        <v>2</v>
      </c>
      <c r="V1244">
        <f t="shared" si="19"/>
        <v>36</v>
      </c>
    </row>
    <row r="1245" spans="1:22" ht="13" x14ac:dyDescent="0.15">
      <c r="A1245" s="4">
        <v>44778</v>
      </c>
      <c r="B1245" s="5">
        <v>0.40408564814814812</v>
      </c>
      <c r="C1245" s="1">
        <v>1804</v>
      </c>
      <c r="D1245" s="1">
        <v>13002616</v>
      </c>
      <c r="E1245" s="1">
        <v>13</v>
      </c>
      <c r="F1245" s="1">
        <v>22589</v>
      </c>
      <c r="G1245" s="1" t="s">
        <v>21</v>
      </c>
      <c r="H1245" s="1">
        <v>15</v>
      </c>
      <c r="I1245" s="1">
        <v>259492</v>
      </c>
      <c r="J1245" s="1" t="s">
        <v>1097</v>
      </c>
      <c r="K1245" s="1" t="s">
        <v>64</v>
      </c>
      <c r="L1245" s="1" t="s">
        <v>1098</v>
      </c>
      <c r="M1245" s="1">
        <v>1</v>
      </c>
      <c r="N1245" s="2">
        <v>91.91</v>
      </c>
      <c r="O1245" s="3">
        <v>145</v>
      </c>
      <c r="P1245" s="1">
        <v>14</v>
      </c>
      <c r="Q1245" s="1">
        <v>9</v>
      </c>
      <c r="R1245" s="1">
        <v>200010002967</v>
      </c>
      <c r="S1245" s="1">
        <v>50</v>
      </c>
      <c r="T1245" s="1">
        <v>1</v>
      </c>
      <c r="U1245" s="1">
        <v>2</v>
      </c>
      <c r="V1245">
        <f t="shared" si="19"/>
        <v>145</v>
      </c>
    </row>
    <row r="1246" spans="1:22" ht="13" x14ac:dyDescent="0.15">
      <c r="A1246" s="4">
        <v>44778</v>
      </c>
      <c r="B1246" s="5">
        <v>0.46134259259259258</v>
      </c>
      <c r="C1246" s="1">
        <v>1818</v>
      </c>
      <c r="D1246" s="1">
        <v>13002616</v>
      </c>
      <c r="E1246" s="1">
        <v>13</v>
      </c>
      <c r="F1246" s="1">
        <v>22589</v>
      </c>
      <c r="G1246" s="1" t="s">
        <v>21</v>
      </c>
      <c r="H1246" s="1">
        <v>18</v>
      </c>
      <c r="I1246" s="1">
        <v>259492</v>
      </c>
      <c r="J1246" s="1" t="s">
        <v>1097</v>
      </c>
      <c r="K1246" s="1" t="s">
        <v>64</v>
      </c>
      <c r="L1246" s="1" t="s">
        <v>1098</v>
      </c>
      <c r="M1246" s="1">
        <v>1</v>
      </c>
      <c r="N1246" s="2">
        <v>91.91</v>
      </c>
      <c r="O1246" s="3">
        <v>145</v>
      </c>
      <c r="P1246" s="1">
        <v>0</v>
      </c>
      <c r="Q1246" s="1" t="s">
        <v>25</v>
      </c>
      <c r="R1246" s="1" t="s">
        <v>25</v>
      </c>
      <c r="S1246" s="1">
        <v>50</v>
      </c>
      <c r="T1246" s="1">
        <v>1</v>
      </c>
      <c r="U1246" s="1">
        <v>1</v>
      </c>
      <c r="V1246">
        <f t="shared" si="19"/>
        <v>145</v>
      </c>
    </row>
    <row r="1247" spans="1:22" ht="13" x14ac:dyDescent="0.15">
      <c r="A1247" s="4">
        <v>44778</v>
      </c>
      <c r="B1247" s="5">
        <v>0.40599537037037037</v>
      </c>
      <c r="C1247" s="1">
        <v>1805</v>
      </c>
      <c r="D1247" s="1">
        <v>13002616</v>
      </c>
      <c r="E1247" s="1">
        <v>13</v>
      </c>
      <c r="F1247" s="1">
        <v>22589</v>
      </c>
      <c r="G1247" s="1" t="s">
        <v>21</v>
      </c>
      <c r="H1247" s="1">
        <v>15</v>
      </c>
      <c r="I1247" s="1">
        <v>18836</v>
      </c>
      <c r="J1247" s="1" t="s">
        <v>517</v>
      </c>
      <c r="K1247" s="1" t="s">
        <v>51</v>
      </c>
      <c r="L1247" s="1" t="s">
        <v>67</v>
      </c>
      <c r="M1247" s="1">
        <v>1</v>
      </c>
      <c r="N1247" s="2">
        <v>109.1</v>
      </c>
      <c r="O1247" s="3">
        <v>123</v>
      </c>
      <c r="P1247" s="1">
        <v>8</v>
      </c>
      <c r="Q1247" s="1">
        <v>9</v>
      </c>
      <c r="R1247" s="1">
        <v>200010026859</v>
      </c>
      <c r="S1247" s="1">
        <v>50</v>
      </c>
      <c r="T1247" s="1">
        <v>1</v>
      </c>
      <c r="U1247" s="1">
        <v>2</v>
      </c>
      <c r="V1247">
        <f t="shared" si="19"/>
        <v>123</v>
      </c>
    </row>
    <row r="1248" spans="1:22" ht="13" x14ac:dyDescent="0.15">
      <c r="A1248" s="4">
        <v>44778</v>
      </c>
      <c r="B1248" s="5">
        <v>0.43986111111111109</v>
      </c>
      <c r="C1248" s="1">
        <v>1815</v>
      </c>
      <c r="D1248" s="1">
        <v>13002616</v>
      </c>
      <c r="E1248" s="1">
        <v>13</v>
      </c>
      <c r="F1248" s="1">
        <v>22589</v>
      </c>
      <c r="G1248" s="1" t="s">
        <v>21</v>
      </c>
      <c r="H1248" s="1">
        <v>18</v>
      </c>
      <c r="I1248" s="1">
        <v>18836</v>
      </c>
      <c r="J1248" s="1" t="s">
        <v>517</v>
      </c>
      <c r="K1248" s="1" t="s">
        <v>51</v>
      </c>
      <c r="L1248" s="1" t="s">
        <v>67</v>
      </c>
      <c r="M1248" s="1">
        <v>1</v>
      </c>
      <c r="N1248" s="2">
        <v>109.1</v>
      </c>
      <c r="O1248" s="3">
        <v>123</v>
      </c>
      <c r="P1248" s="1">
        <v>8</v>
      </c>
      <c r="Q1248" s="1">
        <v>9</v>
      </c>
      <c r="R1248" s="1">
        <v>200010023919</v>
      </c>
      <c r="S1248" s="1">
        <v>50</v>
      </c>
      <c r="T1248" s="1">
        <v>1</v>
      </c>
      <c r="U1248" s="1">
        <v>4</v>
      </c>
      <c r="V1248">
        <f t="shared" si="19"/>
        <v>123</v>
      </c>
    </row>
    <row r="1249" spans="1:22" ht="13" x14ac:dyDescent="0.15">
      <c r="A1249" s="4">
        <v>44778</v>
      </c>
      <c r="B1249" s="5">
        <v>0.66655092592592591</v>
      </c>
      <c r="C1249" s="1">
        <v>1871</v>
      </c>
      <c r="D1249" s="1">
        <v>13002616</v>
      </c>
      <c r="E1249" s="1">
        <v>13</v>
      </c>
      <c r="F1249" s="1">
        <v>22589</v>
      </c>
      <c r="G1249" s="1" t="s">
        <v>21</v>
      </c>
      <c r="H1249" s="1">
        <v>18</v>
      </c>
      <c r="I1249" s="1">
        <v>18836</v>
      </c>
      <c r="J1249" s="1" t="s">
        <v>517</v>
      </c>
      <c r="K1249" s="1" t="s">
        <v>51</v>
      </c>
      <c r="L1249" s="1" t="s">
        <v>67</v>
      </c>
      <c r="M1249" s="1">
        <v>1</v>
      </c>
      <c r="N1249" s="2">
        <v>109.1</v>
      </c>
      <c r="O1249" s="3">
        <v>123</v>
      </c>
      <c r="P1249" s="1">
        <v>0</v>
      </c>
      <c r="Q1249" s="1" t="s">
        <v>25</v>
      </c>
      <c r="R1249" s="1" t="s">
        <v>25</v>
      </c>
      <c r="S1249" s="1">
        <v>50</v>
      </c>
      <c r="T1249" s="1">
        <v>1</v>
      </c>
      <c r="U1249" s="1">
        <v>2</v>
      </c>
      <c r="V1249">
        <f t="shared" si="19"/>
        <v>123</v>
      </c>
    </row>
    <row r="1250" spans="1:22" ht="13" x14ac:dyDescent="0.15">
      <c r="A1250" s="4">
        <v>44778</v>
      </c>
      <c r="B1250" s="5">
        <v>0.40599537037037037</v>
      </c>
      <c r="C1250" s="1">
        <v>1805</v>
      </c>
      <c r="D1250" s="1">
        <v>13002616</v>
      </c>
      <c r="E1250" s="1">
        <v>13</v>
      </c>
      <c r="F1250" s="1">
        <v>22589</v>
      </c>
      <c r="G1250" s="1" t="s">
        <v>21</v>
      </c>
      <c r="H1250" s="1">
        <v>15</v>
      </c>
      <c r="I1250" s="1">
        <v>19568</v>
      </c>
      <c r="J1250" s="1" t="s">
        <v>821</v>
      </c>
      <c r="K1250" s="1" t="s">
        <v>51</v>
      </c>
      <c r="L1250" s="1" t="s">
        <v>822</v>
      </c>
      <c r="M1250" s="1">
        <v>1</v>
      </c>
      <c r="N1250" s="2">
        <v>213.83</v>
      </c>
      <c r="O1250" s="3">
        <v>289</v>
      </c>
      <c r="P1250" s="1">
        <v>20</v>
      </c>
      <c r="Q1250" s="1">
        <v>9</v>
      </c>
      <c r="R1250" s="1">
        <v>200010026859</v>
      </c>
      <c r="S1250" s="1">
        <v>50</v>
      </c>
      <c r="T1250" s="1">
        <v>1</v>
      </c>
      <c r="U1250" s="1">
        <v>3</v>
      </c>
      <c r="V1250">
        <f t="shared" si="19"/>
        <v>289</v>
      </c>
    </row>
    <row r="1251" spans="1:22" ht="13" x14ac:dyDescent="0.15">
      <c r="A1251" s="4">
        <v>44778</v>
      </c>
      <c r="B1251" s="5">
        <v>0.52201388888888889</v>
      </c>
      <c r="C1251" s="1">
        <v>1836</v>
      </c>
      <c r="D1251" s="1">
        <v>13002616</v>
      </c>
      <c r="E1251" s="1">
        <v>13</v>
      </c>
      <c r="F1251" s="1">
        <v>22589</v>
      </c>
      <c r="G1251" s="1" t="s">
        <v>21</v>
      </c>
      <c r="H1251" s="1">
        <v>15</v>
      </c>
      <c r="I1251" s="1">
        <v>19568</v>
      </c>
      <c r="J1251" s="1" t="s">
        <v>821</v>
      </c>
      <c r="K1251" s="1" t="s">
        <v>51</v>
      </c>
      <c r="L1251" s="1" t="s">
        <v>822</v>
      </c>
      <c r="M1251" s="1">
        <v>1</v>
      </c>
      <c r="N1251" s="2">
        <v>213.83</v>
      </c>
      <c r="O1251" s="3">
        <v>289</v>
      </c>
      <c r="P1251" s="1">
        <v>20</v>
      </c>
      <c r="Q1251" s="1">
        <v>9</v>
      </c>
      <c r="R1251" s="1">
        <v>200010001180</v>
      </c>
      <c r="S1251" s="1">
        <v>50</v>
      </c>
      <c r="T1251" s="1">
        <v>1</v>
      </c>
      <c r="U1251" s="1">
        <v>2</v>
      </c>
      <c r="V1251">
        <f t="shared" si="19"/>
        <v>289</v>
      </c>
    </row>
    <row r="1252" spans="1:22" ht="13" x14ac:dyDescent="0.15">
      <c r="A1252" s="4">
        <v>44778</v>
      </c>
      <c r="B1252" s="5">
        <v>0.40599537037037037</v>
      </c>
      <c r="C1252" s="1">
        <v>1805</v>
      </c>
      <c r="D1252" s="1">
        <v>13002616</v>
      </c>
      <c r="E1252" s="1">
        <v>13</v>
      </c>
      <c r="F1252" s="1">
        <v>22589</v>
      </c>
      <c r="G1252" s="1" t="s">
        <v>21</v>
      </c>
      <c r="H1252" s="1">
        <v>15</v>
      </c>
      <c r="I1252" s="1">
        <v>1504331</v>
      </c>
      <c r="J1252" s="1" t="s">
        <v>143</v>
      </c>
      <c r="K1252" s="1" t="s">
        <v>144</v>
      </c>
      <c r="L1252" s="1" t="s">
        <v>822</v>
      </c>
      <c r="M1252" s="1">
        <v>1</v>
      </c>
      <c r="N1252" s="2">
        <v>0.01</v>
      </c>
      <c r="O1252" s="3">
        <v>0.01</v>
      </c>
      <c r="P1252" s="1">
        <v>0</v>
      </c>
      <c r="Q1252" s="1" t="s">
        <v>25</v>
      </c>
      <c r="R1252" s="1" t="s">
        <v>25</v>
      </c>
      <c r="S1252" s="1">
        <v>50</v>
      </c>
      <c r="T1252" s="1">
        <v>1</v>
      </c>
      <c r="U1252" s="1">
        <v>1</v>
      </c>
      <c r="V1252">
        <f t="shared" si="19"/>
        <v>0.01</v>
      </c>
    </row>
    <row r="1253" spans="1:22" ht="13" x14ac:dyDescent="0.15">
      <c r="A1253" s="4">
        <v>44778</v>
      </c>
      <c r="B1253" s="5">
        <v>0.51466435185185189</v>
      </c>
      <c r="C1253" s="1">
        <v>1833</v>
      </c>
      <c r="D1253" s="1">
        <v>13002616</v>
      </c>
      <c r="E1253" s="1">
        <v>13</v>
      </c>
      <c r="F1253" s="1">
        <v>22589</v>
      </c>
      <c r="G1253" s="1" t="s">
        <v>21</v>
      </c>
      <c r="H1253" s="1">
        <v>18</v>
      </c>
      <c r="I1253" s="1">
        <v>1504331</v>
      </c>
      <c r="J1253" s="1" t="s">
        <v>143</v>
      </c>
      <c r="K1253" s="1" t="s">
        <v>144</v>
      </c>
      <c r="L1253" s="1" t="s">
        <v>822</v>
      </c>
      <c r="M1253" s="1">
        <v>1</v>
      </c>
      <c r="N1253" s="2">
        <v>0.01</v>
      </c>
      <c r="O1253" s="3">
        <v>0.01</v>
      </c>
      <c r="P1253" s="1">
        <v>0</v>
      </c>
      <c r="Q1253" s="1" t="s">
        <v>25</v>
      </c>
      <c r="R1253" s="1" t="s">
        <v>25</v>
      </c>
      <c r="S1253" s="1">
        <v>50</v>
      </c>
      <c r="T1253" s="1">
        <v>1</v>
      </c>
      <c r="U1253" s="1">
        <v>2</v>
      </c>
      <c r="V1253">
        <f t="shared" si="19"/>
        <v>0.01</v>
      </c>
    </row>
    <row r="1254" spans="1:22" ht="13" x14ac:dyDescent="0.15">
      <c r="A1254" s="4">
        <v>44778</v>
      </c>
      <c r="B1254" s="5">
        <v>0.59703703703703703</v>
      </c>
      <c r="C1254" s="1">
        <v>1853</v>
      </c>
      <c r="D1254" s="1">
        <v>13002616</v>
      </c>
      <c r="E1254" s="1">
        <v>13</v>
      </c>
      <c r="F1254" s="1">
        <v>22589</v>
      </c>
      <c r="G1254" s="1" t="s">
        <v>21</v>
      </c>
      <c r="H1254" s="1">
        <v>18</v>
      </c>
      <c r="I1254" s="1">
        <v>1504331</v>
      </c>
      <c r="J1254" s="1" t="s">
        <v>143</v>
      </c>
      <c r="K1254" s="1" t="s">
        <v>144</v>
      </c>
      <c r="L1254" s="1" t="s">
        <v>822</v>
      </c>
      <c r="M1254" s="1">
        <v>1</v>
      </c>
      <c r="N1254" s="2">
        <v>0.01</v>
      </c>
      <c r="O1254" s="3">
        <v>0.01</v>
      </c>
      <c r="P1254" s="1">
        <v>0</v>
      </c>
      <c r="Q1254" s="1" t="s">
        <v>25</v>
      </c>
      <c r="R1254" s="1" t="s">
        <v>25</v>
      </c>
      <c r="S1254" s="1">
        <v>50</v>
      </c>
      <c r="T1254" s="1">
        <v>1</v>
      </c>
      <c r="U1254" s="1">
        <v>1</v>
      </c>
      <c r="V1254">
        <f t="shared" si="19"/>
        <v>0.01</v>
      </c>
    </row>
    <row r="1255" spans="1:22" ht="13" x14ac:dyDescent="0.15">
      <c r="A1255" s="4">
        <v>44778</v>
      </c>
      <c r="B1255" s="5">
        <v>0.40689814814814818</v>
      </c>
      <c r="C1255" s="1">
        <v>1806</v>
      </c>
      <c r="D1255" s="1">
        <v>13002616</v>
      </c>
      <c r="E1255" s="1">
        <v>13</v>
      </c>
      <c r="F1255" s="1">
        <v>22589</v>
      </c>
      <c r="G1255" s="1" t="s">
        <v>21</v>
      </c>
      <c r="H1255" s="1">
        <v>18</v>
      </c>
      <c r="I1255" s="1">
        <v>14828</v>
      </c>
      <c r="J1255" s="1" t="s">
        <v>885</v>
      </c>
      <c r="K1255" s="1" t="s">
        <v>61</v>
      </c>
      <c r="L1255" s="1" t="s">
        <v>886</v>
      </c>
      <c r="M1255" s="1">
        <v>1</v>
      </c>
      <c r="N1255" s="2">
        <v>73.040000000000006</v>
      </c>
      <c r="O1255" s="3">
        <v>88</v>
      </c>
      <c r="P1255" s="1">
        <v>6</v>
      </c>
      <c r="Q1255" s="1">
        <v>9</v>
      </c>
      <c r="R1255" s="1">
        <v>200010026815</v>
      </c>
      <c r="S1255" s="1">
        <v>50</v>
      </c>
      <c r="T1255" s="1">
        <v>1</v>
      </c>
      <c r="U1255" s="1">
        <v>1</v>
      </c>
      <c r="V1255">
        <f t="shared" si="19"/>
        <v>88</v>
      </c>
    </row>
    <row r="1256" spans="1:22" ht="13" x14ac:dyDescent="0.15">
      <c r="A1256" s="4">
        <v>44778</v>
      </c>
      <c r="B1256" s="5">
        <v>0.40689814814814818</v>
      </c>
      <c r="C1256" s="1">
        <v>1806</v>
      </c>
      <c r="D1256" s="1">
        <v>13002616</v>
      </c>
      <c r="E1256" s="1">
        <v>13</v>
      </c>
      <c r="F1256" s="1">
        <v>22589</v>
      </c>
      <c r="G1256" s="1" t="s">
        <v>21</v>
      </c>
      <c r="H1256" s="1">
        <v>18</v>
      </c>
      <c r="I1256" s="1">
        <v>14828</v>
      </c>
      <c r="J1256" s="1" t="s">
        <v>885</v>
      </c>
      <c r="K1256" s="1" t="s">
        <v>61</v>
      </c>
      <c r="L1256" s="1" t="s">
        <v>886</v>
      </c>
      <c r="M1256" s="1">
        <v>1</v>
      </c>
      <c r="N1256" s="2">
        <v>73.040000000000006</v>
      </c>
      <c r="O1256" s="3">
        <v>88</v>
      </c>
      <c r="P1256" s="1">
        <v>6</v>
      </c>
      <c r="Q1256" s="1">
        <v>9</v>
      </c>
      <c r="R1256" s="1">
        <v>200010026815</v>
      </c>
      <c r="S1256" s="1">
        <v>50</v>
      </c>
      <c r="T1256" s="1">
        <v>1</v>
      </c>
      <c r="U1256" s="1">
        <v>2</v>
      </c>
      <c r="V1256">
        <f t="shared" si="19"/>
        <v>88</v>
      </c>
    </row>
    <row r="1257" spans="1:22" ht="13" x14ac:dyDescent="0.15">
      <c r="A1257" s="4">
        <v>44778</v>
      </c>
      <c r="B1257" s="5">
        <v>0.41304398148148147</v>
      </c>
      <c r="C1257" s="1">
        <v>1807</v>
      </c>
      <c r="D1257" s="1">
        <v>13002616</v>
      </c>
      <c r="E1257" s="1">
        <v>13</v>
      </c>
      <c r="F1257" s="1">
        <v>22589</v>
      </c>
      <c r="G1257" s="1" t="s">
        <v>21</v>
      </c>
      <c r="H1257" s="1">
        <v>15</v>
      </c>
      <c r="I1257" s="1">
        <v>18118</v>
      </c>
      <c r="J1257" s="1" t="s">
        <v>984</v>
      </c>
      <c r="K1257" s="1" t="s">
        <v>117</v>
      </c>
      <c r="L1257" s="1" t="s">
        <v>985</v>
      </c>
      <c r="M1257" s="1">
        <v>1</v>
      </c>
      <c r="N1257" s="2">
        <v>102.28</v>
      </c>
      <c r="O1257" s="3">
        <v>141</v>
      </c>
      <c r="P1257" s="1">
        <v>9</v>
      </c>
      <c r="Q1257" s="1">
        <v>9</v>
      </c>
      <c r="R1257" s="1">
        <v>200010001691</v>
      </c>
      <c r="S1257" s="1">
        <v>50</v>
      </c>
      <c r="T1257" s="1">
        <v>1</v>
      </c>
      <c r="U1257" s="1">
        <v>2</v>
      </c>
      <c r="V1257">
        <f t="shared" si="19"/>
        <v>141</v>
      </c>
    </row>
    <row r="1258" spans="1:22" ht="13" x14ac:dyDescent="0.15">
      <c r="A1258" s="4">
        <v>44778</v>
      </c>
      <c r="B1258" s="5">
        <v>0.41304398148148147</v>
      </c>
      <c r="C1258" s="1">
        <v>1807</v>
      </c>
      <c r="D1258" s="1">
        <v>13002616</v>
      </c>
      <c r="E1258" s="1">
        <v>13</v>
      </c>
      <c r="F1258" s="1">
        <v>22589</v>
      </c>
      <c r="G1258" s="1" t="s">
        <v>21</v>
      </c>
      <c r="H1258" s="1">
        <v>15</v>
      </c>
      <c r="I1258" s="1">
        <v>344597</v>
      </c>
      <c r="J1258" s="1" t="s">
        <v>646</v>
      </c>
      <c r="K1258" s="1" t="s">
        <v>51</v>
      </c>
      <c r="L1258" s="1" t="s">
        <v>647</v>
      </c>
      <c r="M1258" s="1">
        <v>1</v>
      </c>
      <c r="N1258" s="2">
        <v>75.73</v>
      </c>
      <c r="O1258" s="3">
        <v>95</v>
      </c>
      <c r="P1258" s="1">
        <v>4</v>
      </c>
      <c r="Q1258" s="1">
        <v>9</v>
      </c>
      <c r="R1258" s="1">
        <v>200010001691</v>
      </c>
      <c r="S1258" s="1">
        <v>50</v>
      </c>
      <c r="T1258" s="1">
        <v>1</v>
      </c>
      <c r="U1258" s="1">
        <v>1</v>
      </c>
      <c r="V1258">
        <f t="shared" si="19"/>
        <v>95</v>
      </c>
    </row>
    <row r="1259" spans="1:22" ht="13" x14ac:dyDescent="0.15">
      <c r="A1259" s="4">
        <v>44778</v>
      </c>
      <c r="B1259" s="5">
        <v>0.41304398148148147</v>
      </c>
      <c r="C1259" s="1">
        <v>1807</v>
      </c>
      <c r="D1259" s="1">
        <v>13002616</v>
      </c>
      <c r="E1259" s="1">
        <v>13</v>
      </c>
      <c r="F1259" s="1">
        <v>22589</v>
      </c>
      <c r="G1259" s="1" t="s">
        <v>21</v>
      </c>
      <c r="H1259" s="1">
        <v>15</v>
      </c>
      <c r="I1259" s="1">
        <v>4800</v>
      </c>
      <c r="J1259" s="1" t="s">
        <v>254</v>
      </c>
      <c r="K1259" s="1" t="s">
        <v>51</v>
      </c>
      <c r="L1259" s="1" t="s">
        <v>255</v>
      </c>
      <c r="M1259" s="1">
        <v>1</v>
      </c>
      <c r="N1259" s="2">
        <v>42.05</v>
      </c>
      <c r="O1259" s="3">
        <v>53</v>
      </c>
      <c r="P1259" s="1">
        <v>2</v>
      </c>
      <c r="Q1259" s="1">
        <v>9</v>
      </c>
      <c r="R1259" s="1">
        <v>200010001691</v>
      </c>
      <c r="S1259" s="1">
        <v>50</v>
      </c>
      <c r="T1259" s="1">
        <v>1</v>
      </c>
      <c r="U1259" s="1">
        <v>4</v>
      </c>
      <c r="V1259">
        <f t="shared" si="19"/>
        <v>53</v>
      </c>
    </row>
    <row r="1260" spans="1:22" ht="13" x14ac:dyDescent="0.15">
      <c r="A1260" s="4">
        <v>44778</v>
      </c>
      <c r="B1260" s="5">
        <v>0.41304398148148147</v>
      </c>
      <c r="C1260" s="1">
        <v>1807</v>
      </c>
      <c r="D1260" s="1">
        <v>13002616</v>
      </c>
      <c r="E1260" s="1">
        <v>13</v>
      </c>
      <c r="F1260" s="1">
        <v>22589</v>
      </c>
      <c r="G1260" s="1" t="s">
        <v>21</v>
      </c>
      <c r="H1260" s="1">
        <v>15</v>
      </c>
      <c r="I1260" s="1">
        <v>435596</v>
      </c>
      <c r="J1260" s="1" t="s">
        <v>1053</v>
      </c>
      <c r="K1260" s="1" t="s">
        <v>51</v>
      </c>
      <c r="L1260" s="1" t="s">
        <v>453</v>
      </c>
      <c r="M1260" s="1">
        <v>1</v>
      </c>
      <c r="N1260" s="2">
        <v>12.53</v>
      </c>
      <c r="O1260" s="3">
        <v>20</v>
      </c>
      <c r="P1260" s="1">
        <v>1</v>
      </c>
      <c r="Q1260" s="1">
        <v>9</v>
      </c>
      <c r="R1260" s="1">
        <v>200010001691</v>
      </c>
      <c r="S1260" s="1">
        <v>50</v>
      </c>
      <c r="T1260" s="1">
        <v>1</v>
      </c>
      <c r="U1260" s="1">
        <v>3</v>
      </c>
      <c r="V1260">
        <f t="shared" si="19"/>
        <v>20</v>
      </c>
    </row>
    <row r="1261" spans="1:22" ht="13" x14ac:dyDescent="0.15">
      <c r="A1261" s="4">
        <v>44778</v>
      </c>
      <c r="B1261" s="5">
        <v>0.41531249999999997</v>
      </c>
      <c r="C1261" s="1">
        <v>1808</v>
      </c>
      <c r="D1261" s="1">
        <v>13002616</v>
      </c>
      <c r="E1261" s="1">
        <v>13</v>
      </c>
      <c r="F1261" s="1">
        <v>22589</v>
      </c>
      <c r="G1261" s="1" t="s">
        <v>21</v>
      </c>
      <c r="H1261" s="1">
        <v>18</v>
      </c>
      <c r="I1261" s="1">
        <v>168881</v>
      </c>
      <c r="J1261" s="1" t="s">
        <v>1099</v>
      </c>
      <c r="K1261" s="1" t="s">
        <v>117</v>
      </c>
      <c r="L1261" s="1" t="s">
        <v>1100</v>
      </c>
      <c r="M1261" s="1">
        <v>1</v>
      </c>
      <c r="N1261" s="2">
        <v>466.26</v>
      </c>
      <c r="O1261" s="3">
        <v>653</v>
      </c>
      <c r="P1261" s="1">
        <v>91</v>
      </c>
      <c r="Q1261" s="1">
        <v>925</v>
      </c>
      <c r="R1261" s="1">
        <v>200000000492</v>
      </c>
      <c r="S1261" s="1">
        <v>50</v>
      </c>
      <c r="T1261" s="1">
        <v>1</v>
      </c>
      <c r="U1261" s="1">
        <v>1</v>
      </c>
      <c r="V1261">
        <f t="shared" si="19"/>
        <v>653</v>
      </c>
    </row>
    <row r="1262" spans="1:22" ht="13" x14ac:dyDescent="0.15">
      <c r="A1262" s="4">
        <v>44778</v>
      </c>
      <c r="B1262" s="5">
        <v>0.41627314814814814</v>
      </c>
      <c r="C1262" s="1">
        <v>1809</v>
      </c>
      <c r="D1262" s="1">
        <v>13002616</v>
      </c>
      <c r="E1262" s="1">
        <v>13</v>
      </c>
      <c r="F1262" s="1">
        <v>22589</v>
      </c>
      <c r="G1262" s="1" t="s">
        <v>21</v>
      </c>
      <c r="H1262" s="1">
        <v>15</v>
      </c>
      <c r="I1262" s="1">
        <v>348748</v>
      </c>
      <c r="J1262" s="1" t="s">
        <v>260</v>
      </c>
      <c r="K1262" s="1" t="s">
        <v>29</v>
      </c>
      <c r="L1262" s="1" t="s">
        <v>261</v>
      </c>
      <c r="M1262" s="1">
        <v>1</v>
      </c>
      <c r="N1262" s="2">
        <v>56.03</v>
      </c>
      <c r="O1262" s="3">
        <v>70</v>
      </c>
      <c r="P1262" s="1">
        <v>0</v>
      </c>
      <c r="Q1262" s="1" t="s">
        <v>25</v>
      </c>
      <c r="R1262" s="1" t="s">
        <v>25</v>
      </c>
      <c r="S1262" s="1">
        <v>50</v>
      </c>
      <c r="T1262" s="1">
        <v>1</v>
      </c>
      <c r="U1262" s="1">
        <v>1</v>
      </c>
      <c r="V1262">
        <f t="shared" si="19"/>
        <v>70</v>
      </c>
    </row>
    <row r="1263" spans="1:22" ht="13" x14ac:dyDescent="0.15">
      <c r="A1263" s="4">
        <v>44778</v>
      </c>
      <c r="B1263" s="5">
        <v>0.48697916666666669</v>
      </c>
      <c r="C1263" s="1">
        <v>1823</v>
      </c>
      <c r="D1263" s="1">
        <v>13002616</v>
      </c>
      <c r="E1263" s="1">
        <v>13</v>
      </c>
      <c r="F1263" s="1">
        <v>22589</v>
      </c>
      <c r="G1263" s="1" t="s">
        <v>21</v>
      </c>
      <c r="H1263" s="1">
        <v>15</v>
      </c>
      <c r="I1263" s="1">
        <v>348748</v>
      </c>
      <c r="J1263" s="1" t="s">
        <v>260</v>
      </c>
      <c r="K1263" s="1" t="s">
        <v>29</v>
      </c>
      <c r="L1263" s="1" t="s">
        <v>261</v>
      </c>
      <c r="M1263" s="1">
        <v>1</v>
      </c>
      <c r="N1263" s="2">
        <v>56.03</v>
      </c>
      <c r="O1263" s="3">
        <v>70</v>
      </c>
      <c r="P1263" s="1">
        <v>3</v>
      </c>
      <c r="Q1263" s="1">
        <v>9</v>
      </c>
      <c r="R1263" s="1">
        <v>200010009407</v>
      </c>
      <c r="S1263" s="1">
        <v>50</v>
      </c>
      <c r="T1263" s="1">
        <v>1</v>
      </c>
      <c r="U1263" s="1">
        <v>1</v>
      </c>
      <c r="V1263">
        <f t="shared" si="19"/>
        <v>70</v>
      </c>
    </row>
    <row r="1264" spans="1:22" ht="13" x14ac:dyDescent="0.15">
      <c r="A1264" s="4">
        <v>44778</v>
      </c>
      <c r="B1264" s="5">
        <v>0.41627314814814814</v>
      </c>
      <c r="C1264" s="1">
        <v>1809</v>
      </c>
      <c r="D1264" s="1">
        <v>13002616</v>
      </c>
      <c r="E1264" s="1">
        <v>13</v>
      </c>
      <c r="F1264" s="1">
        <v>22589</v>
      </c>
      <c r="G1264" s="1" t="s">
        <v>21</v>
      </c>
      <c r="H1264" s="1">
        <v>15</v>
      </c>
      <c r="I1264" s="1">
        <v>18199</v>
      </c>
      <c r="J1264" s="1" t="s">
        <v>1101</v>
      </c>
      <c r="K1264" s="1" t="s">
        <v>34</v>
      </c>
      <c r="L1264" s="1" t="s">
        <v>1102</v>
      </c>
      <c r="M1264" s="1">
        <v>1</v>
      </c>
      <c r="N1264" s="2">
        <v>118.71</v>
      </c>
      <c r="O1264" s="3">
        <v>173</v>
      </c>
      <c r="P1264" s="1">
        <v>0</v>
      </c>
      <c r="Q1264" s="1" t="s">
        <v>25</v>
      </c>
      <c r="R1264" s="1" t="s">
        <v>25</v>
      </c>
      <c r="S1264" s="1">
        <v>50</v>
      </c>
      <c r="T1264" s="1">
        <v>1</v>
      </c>
      <c r="U1264" s="1">
        <v>2</v>
      </c>
      <c r="V1264">
        <f t="shared" si="19"/>
        <v>173</v>
      </c>
    </row>
    <row r="1265" spans="1:22" ht="13" x14ac:dyDescent="0.15">
      <c r="A1265" s="4">
        <v>44778</v>
      </c>
      <c r="B1265" s="5">
        <v>0.41776620370370371</v>
      </c>
      <c r="C1265" s="1">
        <v>1810</v>
      </c>
      <c r="D1265" s="1">
        <v>13002616</v>
      </c>
      <c r="E1265" s="1">
        <v>13</v>
      </c>
      <c r="F1265" s="1">
        <v>22589</v>
      </c>
      <c r="G1265" s="1" t="s">
        <v>21</v>
      </c>
      <c r="H1265" s="1">
        <v>15</v>
      </c>
      <c r="I1265" s="1">
        <v>2982</v>
      </c>
      <c r="J1265" s="1" t="s">
        <v>1103</v>
      </c>
      <c r="K1265" s="1" t="s">
        <v>34</v>
      </c>
      <c r="L1265" s="1" t="s">
        <v>1104</v>
      </c>
      <c r="M1265" s="1">
        <v>1</v>
      </c>
      <c r="N1265" s="2">
        <v>107.68</v>
      </c>
      <c r="O1265" s="3">
        <v>129</v>
      </c>
      <c r="P1265" s="1">
        <v>6</v>
      </c>
      <c r="Q1265" s="1">
        <v>9</v>
      </c>
      <c r="R1265" s="1">
        <v>200010002070</v>
      </c>
      <c r="S1265" s="1">
        <v>50</v>
      </c>
      <c r="T1265" s="1">
        <v>1</v>
      </c>
      <c r="U1265" s="1">
        <v>1</v>
      </c>
      <c r="V1265">
        <f t="shared" si="19"/>
        <v>129</v>
      </c>
    </row>
    <row r="1266" spans="1:22" ht="13" x14ac:dyDescent="0.15">
      <c r="A1266" s="4">
        <v>44778</v>
      </c>
      <c r="B1266" s="5">
        <v>0.41776620370370371</v>
      </c>
      <c r="C1266" s="1">
        <v>1810</v>
      </c>
      <c r="D1266" s="1">
        <v>13002616</v>
      </c>
      <c r="E1266" s="1">
        <v>13</v>
      </c>
      <c r="F1266" s="1">
        <v>22589</v>
      </c>
      <c r="G1266" s="1" t="s">
        <v>21</v>
      </c>
      <c r="H1266" s="1">
        <v>15</v>
      </c>
      <c r="I1266" s="1">
        <v>354089</v>
      </c>
      <c r="J1266" s="1" t="s">
        <v>369</v>
      </c>
      <c r="K1266" s="1" t="s">
        <v>29</v>
      </c>
      <c r="L1266" s="1" t="s">
        <v>335</v>
      </c>
      <c r="M1266" s="1">
        <v>1</v>
      </c>
      <c r="N1266" s="2">
        <v>39.369999999999997</v>
      </c>
      <c r="O1266" s="3">
        <v>60</v>
      </c>
      <c r="P1266" s="1">
        <v>4</v>
      </c>
      <c r="Q1266" s="1">
        <v>9</v>
      </c>
      <c r="R1266" s="1">
        <v>200010002070</v>
      </c>
      <c r="S1266" s="1">
        <v>50</v>
      </c>
      <c r="T1266" s="1">
        <v>1</v>
      </c>
      <c r="U1266" s="1">
        <v>2</v>
      </c>
      <c r="V1266">
        <f t="shared" si="19"/>
        <v>60</v>
      </c>
    </row>
    <row r="1267" spans="1:22" ht="13" x14ac:dyDescent="0.15">
      <c r="A1267" s="4">
        <v>44778</v>
      </c>
      <c r="B1267" s="5">
        <v>0.41885416666666669</v>
      </c>
      <c r="C1267" s="1">
        <v>1811</v>
      </c>
      <c r="D1267" s="1">
        <v>13002616</v>
      </c>
      <c r="E1267" s="1">
        <v>13</v>
      </c>
      <c r="F1267" s="1">
        <v>22589</v>
      </c>
      <c r="G1267" s="1" t="s">
        <v>21</v>
      </c>
      <c r="H1267" s="1">
        <v>15</v>
      </c>
      <c r="I1267" s="1">
        <v>141007</v>
      </c>
      <c r="J1267" s="1" t="s">
        <v>1105</v>
      </c>
      <c r="K1267" s="1" t="s">
        <v>252</v>
      </c>
      <c r="L1267" s="1" t="s">
        <v>1106</v>
      </c>
      <c r="M1267" s="1">
        <v>1</v>
      </c>
      <c r="N1267" s="2">
        <v>61.92</v>
      </c>
      <c r="O1267" s="3">
        <v>98</v>
      </c>
      <c r="P1267" s="1">
        <v>0</v>
      </c>
      <c r="Q1267" s="1" t="s">
        <v>25</v>
      </c>
      <c r="R1267" s="1" t="s">
        <v>25</v>
      </c>
      <c r="S1267" s="1">
        <v>50</v>
      </c>
      <c r="T1267" s="1">
        <v>1</v>
      </c>
      <c r="U1267" s="1">
        <v>1</v>
      </c>
      <c r="V1267">
        <f t="shared" si="19"/>
        <v>98</v>
      </c>
    </row>
    <row r="1268" spans="1:22" ht="13" x14ac:dyDescent="0.15">
      <c r="A1268" s="4">
        <v>44778</v>
      </c>
      <c r="B1268" s="5">
        <v>0.43175925925925923</v>
      </c>
      <c r="C1268" s="1">
        <v>1812</v>
      </c>
      <c r="D1268" s="1">
        <v>13002616</v>
      </c>
      <c r="E1268" s="1">
        <v>13</v>
      </c>
      <c r="F1268" s="1">
        <v>22589</v>
      </c>
      <c r="G1268" s="1" t="s">
        <v>21</v>
      </c>
      <c r="H1268" s="1">
        <v>18</v>
      </c>
      <c r="I1268" s="1">
        <v>473</v>
      </c>
      <c r="J1268" s="1" t="s">
        <v>521</v>
      </c>
      <c r="K1268" s="1" t="s">
        <v>23</v>
      </c>
      <c r="L1268" s="1" t="s">
        <v>303</v>
      </c>
      <c r="M1268" s="1">
        <v>1</v>
      </c>
      <c r="N1268" s="2">
        <v>47.59</v>
      </c>
      <c r="O1268" s="3">
        <v>73</v>
      </c>
      <c r="P1268" s="1">
        <v>0</v>
      </c>
      <c r="Q1268" s="1" t="s">
        <v>25</v>
      </c>
      <c r="R1268" s="1" t="s">
        <v>25</v>
      </c>
      <c r="S1268" s="1">
        <v>50</v>
      </c>
      <c r="T1268" s="1">
        <v>1</v>
      </c>
      <c r="U1268" s="1">
        <v>1</v>
      </c>
      <c r="V1268">
        <f t="shared" si="19"/>
        <v>73</v>
      </c>
    </row>
    <row r="1269" spans="1:22" ht="13" x14ac:dyDescent="0.15">
      <c r="A1269" s="4">
        <v>44778</v>
      </c>
      <c r="B1269" s="5">
        <v>0.43732638888888886</v>
      </c>
      <c r="C1269" s="1">
        <v>1813</v>
      </c>
      <c r="D1269" s="1">
        <v>13002616</v>
      </c>
      <c r="E1269" s="1">
        <v>13</v>
      </c>
      <c r="F1269" s="1">
        <v>22589</v>
      </c>
      <c r="G1269" s="1" t="s">
        <v>21</v>
      </c>
      <c r="H1269" s="1">
        <v>15</v>
      </c>
      <c r="I1269" s="1">
        <v>157879</v>
      </c>
      <c r="J1269" s="1" t="s">
        <v>1107</v>
      </c>
      <c r="K1269" s="1" t="s">
        <v>51</v>
      </c>
      <c r="L1269" s="1" t="s">
        <v>35</v>
      </c>
      <c r="M1269" s="1">
        <v>1</v>
      </c>
      <c r="N1269" s="2">
        <v>213.39</v>
      </c>
      <c r="O1269" s="3">
        <v>254</v>
      </c>
      <c r="P1269" s="1">
        <v>12</v>
      </c>
      <c r="Q1269" s="1">
        <v>9</v>
      </c>
      <c r="R1269" s="1">
        <v>200010000853</v>
      </c>
      <c r="S1269" s="1">
        <v>50</v>
      </c>
      <c r="T1269" s="1">
        <v>1</v>
      </c>
      <c r="U1269" s="1">
        <v>1</v>
      </c>
      <c r="V1269">
        <f t="shared" si="19"/>
        <v>254</v>
      </c>
    </row>
    <row r="1270" spans="1:22" ht="13" x14ac:dyDescent="0.15">
      <c r="A1270" s="4">
        <v>44778</v>
      </c>
      <c r="B1270" s="5">
        <v>0.43861111111111112</v>
      </c>
      <c r="C1270" s="1">
        <v>1814</v>
      </c>
      <c r="D1270" s="1">
        <v>13002616</v>
      </c>
      <c r="E1270" s="1">
        <v>13</v>
      </c>
      <c r="F1270" s="1">
        <v>22589</v>
      </c>
      <c r="G1270" s="1" t="s">
        <v>21</v>
      </c>
      <c r="H1270" s="1">
        <v>15</v>
      </c>
      <c r="I1270" s="1">
        <v>2308</v>
      </c>
      <c r="J1270" s="1" t="s">
        <v>1108</v>
      </c>
      <c r="K1270" s="1" t="s">
        <v>45</v>
      </c>
      <c r="L1270" s="1" t="s">
        <v>1109</v>
      </c>
      <c r="M1270" s="1">
        <v>1</v>
      </c>
      <c r="N1270" s="2">
        <v>103.04</v>
      </c>
      <c r="O1270" s="3">
        <v>122</v>
      </c>
      <c r="P1270" s="1">
        <v>0</v>
      </c>
      <c r="Q1270" s="1" t="s">
        <v>25</v>
      </c>
      <c r="R1270" s="1" t="s">
        <v>25</v>
      </c>
      <c r="S1270" s="1">
        <v>50</v>
      </c>
      <c r="T1270" s="1">
        <v>1</v>
      </c>
      <c r="U1270" s="1">
        <v>1</v>
      </c>
      <c r="V1270">
        <f t="shared" si="19"/>
        <v>122</v>
      </c>
    </row>
    <row r="1271" spans="1:22" ht="13" x14ac:dyDescent="0.15">
      <c r="A1271" s="4">
        <v>44778</v>
      </c>
      <c r="B1271" s="5">
        <v>0.43986111111111109</v>
      </c>
      <c r="C1271" s="1">
        <v>1815</v>
      </c>
      <c r="D1271" s="1">
        <v>13002616</v>
      </c>
      <c r="E1271" s="1">
        <v>13</v>
      </c>
      <c r="F1271" s="1">
        <v>22589</v>
      </c>
      <c r="G1271" s="1" t="s">
        <v>21</v>
      </c>
      <c r="H1271" s="1">
        <v>18</v>
      </c>
      <c r="I1271" s="1">
        <v>564775</v>
      </c>
      <c r="J1271" s="1" t="s">
        <v>508</v>
      </c>
      <c r="K1271" s="1" t="s">
        <v>51</v>
      </c>
      <c r="L1271" s="1" t="s">
        <v>509</v>
      </c>
      <c r="M1271" s="1">
        <v>1</v>
      </c>
      <c r="N1271" s="2">
        <v>6.84</v>
      </c>
      <c r="O1271" s="3">
        <v>12</v>
      </c>
      <c r="P1271" s="1">
        <v>1</v>
      </c>
      <c r="Q1271" s="1">
        <v>9</v>
      </c>
      <c r="R1271" s="1">
        <v>200010023919</v>
      </c>
      <c r="S1271" s="1">
        <v>50</v>
      </c>
      <c r="T1271" s="1">
        <v>1</v>
      </c>
      <c r="U1271" s="1">
        <v>2</v>
      </c>
      <c r="V1271">
        <f t="shared" si="19"/>
        <v>12</v>
      </c>
    </row>
    <row r="1272" spans="1:22" ht="13" x14ac:dyDescent="0.15">
      <c r="A1272" s="4">
        <v>44778</v>
      </c>
      <c r="B1272" s="5">
        <v>0.43986111111111109</v>
      </c>
      <c r="C1272" s="1">
        <v>1815</v>
      </c>
      <c r="D1272" s="1">
        <v>13002616</v>
      </c>
      <c r="E1272" s="1">
        <v>13</v>
      </c>
      <c r="F1272" s="1">
        <v>22589</v>
      </c>
      <c r="G1272" s="1" t="s">
        <v>21</v>
      </c>
      <c r="H1272" s="1">
        <v>18</v>
      </c>
      <c r="I1272" s="1">
        <v>30028</v>
      </c>
      <c r="J1272" s="1" t="s">
        <v>166</v>
      </c>
      <c r="K1272" s="1" t="s">
        <v>51</v>
      </c>
      <c r="L1272" s="1" t="s">
        <v>167</v>
      </c>
      <c r="M1272" s="1">
        <v>2</v>
      </c>
      <c r="N1272" s="2">
        <v>10.01</v>
      </c>
      <c r="O1272" s="3">
        <v>17</v>
      </c>
      <c r="P1272" s="1">
        <v>3</v>
      </c>
      <c r="Q1272" s="1">
        <v>9</v>
      </c>
      <c r="R1272" s="1">
        <v>200010023919</v>
      </c>
      <c r="S1272" s="1">
        <v>50</v>
      </c>
      <c r="T1272" s="1">
        <v>1</v>
      </c>
      <c r="U1272" s="1">
        <v>3</v>
      </c>
      <c r="V1272">
        <f t="shared" si="19"/>
        <v>34</v>
      </c>
    </row>
    <row r="1273" spans="1:22" ht="13" x14ac:dyDescent="0.15">
      <c r="A1273" s="4">
        <v>44778</v>
      </c>
      <c r="B1273" s="5">
        <v>0.43986111111111109</v>
      </c>
      <c r="C1273" s="1">
        <v>1815</v>
      </c>
      <c r="D1273" s="1">
        <v>13002616</v>
      </c>
      <c r="E1273" s="1">
        <v>13</v>
      </c>
      <c r="F1273" s="1">
        <v>22589</v>
      </c>
      <c r="G1273" s="1" t="s">
        <v>21</v>
      </c>
      <c r="H1273" s="1">
        <v>18</v>
      </c>
      <c r="I1273" s="1">
        <v>564766</v>
      </c>
      <c r="J1273" s="1" t="s">
        <v>834</v>
      </c>
      <c r="K1273" s="1" t="s">
        <v>64</v>
      </c>
      <c r="L1273" s="1" t="s">
        <v>509</v>
      </c>
      <c r="M1273" s="1">
        <v>1</v>
      </c>
      <c r="N1273" s="2">
        <v>6.44</v>
      </c>
      <c r="O1273" s="3">
        <v>11</v>
      </c>
      <c r="P1273" s="1">
        <v>1</v>
      </c>
      <c r="Q1273" s="1">
        <v>9</v>
      </c>
      <c r="R1273" s="1">
        <v>200010023919</v>
      </c>
      <c r="S1273" s="1">
        <v>50</v>
      </c>
      <c r="T1273" s="1">
        <v>1</v>
      </c>
      <c r="U1273" s="1">
        <v>1</v>
      </c>
      <c r="V1273">
        <f t="shared" si="19"/>
        <v>11</v>
      </c>
    </row>
    <row r="1274" spans="1:22" ht="13" x14ac:dyDescent="0.15">
      <c r="A1274" s="4">
        <v>44778</v>
      </c>
      <c r="B1274" s="5">
        <v>0.44091435185185185</v>
      </c>
      <c r="C1274" s="1">
        <v>1816</v>
      </c>
      <c r="D1274" s="1">
        <v>13002616</v>
      </c>
      <c r="E1274" s="1">
        <v>13</v>
      </c>
      <c r="F1274" s="1">
        <v>22589</v>
      </c>
      <c r="G1274" s="1" t="s">
        <v>21</v>
      </c>
      <c r="H1274" s="1">
        <v>15</v>
      </c>
      <c r="I1274" s="1">
        <v>354089</v>
      </c>
      <c r="J1274" s="1" t="s">
        <v>369</v>
      </c>
      <c r="K1274" s="1" t="s">
        <v>29</v>
      </c>
      <c r="L1274" s="1" t="s">
        <v>335</v>
      </c>
      <c r="M1274" s="1">
        <v>1</v>
      </c>
      <c r="N1274" s="2">
        <v>39.369999999999997</v>
      </c>
      <c r="O1274" s="3">
        <v>60</v>
      </c>
      <c r="P1274" s="1">
        <v>0</v>
      </c>
      <c r="Q1274" s="1" t="s">
        <v>25</v>
      </c>
      <c r="R1274" s="1" t="s">
        <v>25</v>
      </c>
      <c r="S1274" s="1">
        <v>50</v>
      </c>
      <c r="T1274" s="1">
        <v>1</v>
      </c>
      <c r="U1274" s="1">
        <v>2</v>
      </c>
      <c r="V1274">
        <f t="shared" si="19"/>
        <v>60</v>
      </c>
    </row>
    <row r="1275" spans="1:22" ht="13" x14ac:dyDescent="0.15">
      <c r="A1275" s="4">
        <v>44778</v>
      </c>
      <c r="B1275" s="5">
        <v>0.45693287037037039</v>
      </c>
      <c r="C1275" s="1">
        <v>1817</v>
      </c>
      <c r="D1275" s="1">
        <v>13002616</v>
      </c>
      <c r="E1275" s="1">
        <v>13</v>
      </c>
      <c r="F1275" s="1">
        <v>22589</v>
      </c>
      <c r="G1275" s="1" t="s">
        <v>21</v>
      </c>
      <c r="H1275" s="1">
        <v>15</v>
      </c>
      <c r="I1275" s="1">
        <v>29153</v>
      </c>
      <c r="J1275" s="1" t="s">
        <v>1110</v>
      </c>
      <c r="K1275" s="1" t="s">
        <v>29</v>
      </c>
      <c r="L1275" s="1" t="s">
        <v>269</v>
      </c>
      <c r="M1275" s="1">
        <v>1</v>
      </c>
      <c r="N1275" s="2">
        <v>9.6</v>
      </c>
      <c r="O1275" s="3">
        <v>16</v>
      </c>
      <c r="P1275" s="1">
        <v>1.34</v>
      </c>
      <c r="Q1275" s="1">
        <v>9</v>
      </c>
      <c r="R1275" s="1">
        <v>200010006062</v>
      </c>
      <c r="S1275" s="1">
        <v>50</v>
      </c>
      <c r="T1275" s="1">
        <v>1</v>
      </c>
      <c r="U1275" s="1">
        <v>1</v>
      </c>
      <c r="V1275">
        <f t="shared" si="19"/>
        <v>16</v>
      </c>
    </row>
    <row r="1276" spans="1:22" ht="13" x14ac:dyDescent="0.15">
      <c r="A1276" s="4">
        <v>44778</v>
      </c>
      <c r="B1276" s="5">
        <v>0.45693287037037039</v>
      </c>
      <c r="C1276" s="1">
        <v>1817</v>
      </c>
      <c r="D1276" s="1">
        <v>13002616</v>
      </c>
      <c r="E1276" s="1">
        <v>13</v>
      </c>
      <c r="F1276" s="1">
        <v>22589</v>
      </c>
      <c r="G1276" s="1" t="s">
        <v>21</v>
      </c>
      <c r="H1276" s="1">
        <v>15</v>
      </c>
      <c r="I1276" s="1">
        <v>29153</v>
      </c>
      <c r="J1276" s="1" t="s">
        <v>1110</v>
      </c>
      <c r="K1276" s="1" t="s">
        <v>29</v>
      </c>
      <c r="L1276" s="1" t="s">
        <v>269</v>
      </c>
      <c r="M1276" s="1">
        <v>2</v>
      </c>
      <c r="N1276" s="2">
        <v>9.6</v>
      </c>
      <c r="O1276" s="3">
        <v>16</v>
      </c>
      <c r="P1276" s="1">
        <v>2.66</v>
      </c>
      <c r="Q1276" s="1">
        <v>9</v>
      </c>
      <c r="R1276" s="1">
        <v>200010006062</v>
      </c>
      <c r="S1276" s="1">
        <v>50</v>
      </c>
      <c r="T1276" s="1">
        <v>1</v>
      </c>
      <c r="U1276" s="1">
        <v>2</v>
      </c>
      <c r="V1276">
        <f t="shared" si="19"/>
        <v>32</v>
      </c>
    </row>
    <row r="1277" spans="1:22" ht="13" x14ac:dyDescent="0.15">
      <c r="A1277" s="4">
        <v>44778</v>
      </c>
      <c r="B1277" s="5">
        <v>0.45693287037037039</v>
      </c>
      <c r="C1277" s="1">
        <v>1817</v>
      </c>
      <c r="D1277" s="1">
        <v>13002616</v>
      </c>
      <c r="E1277" s="1">
        <v>13</v>
      </c>
      <c r="F1277" s="1">
        <v>22589</v>
      </c>
      <c r="G1277" s="1" t="s">
        <v>21</v>
      </c>
      <c r="H1277" s="1">
        <v>15</v>
      </c>
      <c r="I1277" s="1">
        <v>29153</v>
      </c>
      <c r="J1277" s="1" t="s">
        <v>1110</v>
      </c>
      <c r="K1277" s="1" t="s">
        <v>34</v>
      </c>
      <c r="L1277" s="1" t="s">
        <v>212</v>
      </c>
      <c r="M1277" s="1">
        <v>2</v>
      </c>
      <c r="N1277" s="2">
        <v>9.2200000000000006</v>
      </c>
      <c r="O1277" s="3">
        <v>15</v>
      </c>
      <c r="P1277" s="1">
        <v>3</v>
      </c>
      <c r="Q1277" s="1">
        <v>9</v>
      </c>
      <c r="R1277" s="1">
        <v>200010006062</v>
      </c>
      <c r="S1277" s="1">
        <v>50</v>
      </c>
      <c r="T1277" s="1">
        <v>1</v>
      </c>
      <c r="U1277" s="1">
        <v>3</v>
      </c>
      <c r="V1277">
        <f t="shared" si="19"/>
        <v>30</v>
      </c>
    </row>
    <row r="1278" spans="1:22" ht="13" x14ac:dyDescent="0.15">
      <c r="A1278" s="4">
        <v>44778</v>
      </c>
      <c r="B1278" s="5">
        <v>0.46280092592592592</v>
      </c>
      <c r="C1278" s="1">
        <v>1819</v>
      </c>
      <c r="D1278" s="1">
        <v>13002616</v>
      </c>
      <c r="E1278" s="1">
        <v>13</v>
      </c>
      <c r="F1278" s="1">
        <v>22589</v>
      </c>
      <c r="G1278" s="1" t="s">
        <v>21</v>
      </c>
      <c r="H1278" s="1">
        <v>15</v>
      </c>
      <c r="I1278" s="1">
        <v>435558</v>
      </c>
      <c r="J1278" s="1" t="s">
        <v>1111</v>
      </c>
      <c r="K1278" s="1" t="s">
        <v>23</v>
      </c>
      <c r="L1278" s="1" t="s">
        <v>802</v>
      </c>
      <c r="M1278" s="1">
        <v>1</v>
      </c>
      <c r="N1278" s="2">
        <v>248.76</v>
      </c>
      <c r="O1278" s="3">
        <v>336</v>
      </c>
      <c r="P1278" s="1">
        <v>36</v>
      </c>
      <c r="Q1278" s="1">
        <v>925</v>
      </c>
      <c r="R1278" s="1">
        <v>200000000492</v>
      </c>
      <c r="S1278" s="1">
        <v>50</v>
      </c>
      <c r="T1278" s="1">
        <v>1</v>
      </c>
      <c r="U1278" s="1">
        <v>1</v>
      </c>
      <c r="V1278">
        <f t="shared" si="19"/>
        <v>336</v>
      </c>
    </row>
    <row r="1279" spans="1:22" ht="13" x14ac:dyDescent="0.15">
      <c r="A1279" s="4">
        <v>44778</v>
      </c>
      <c r="B1279" s="5">
        <v>0.46418981481481481</v>
      </c>
      <c r="C1279" s="1">
        <v>1820</v>
      </c>
      <c r="D1279" s="1">
        <v>13002616</v>
      </c>
      <c r="E1279" s="1">
        <v>13</v>
      </c>
      <c r="F1279" s="1">
        <v>22589</v>
      </c>
      <c r="G1279" s="1" t="s">
        <v>21</v>
      </c>
      <c r="H1279" s="1">
        <v>15</v>
      </c>
      <c r="I1279" s="1">
        <v>6456</v>
      </c>
      <c r="J1279" s="1" t="s">
        <v>1112</v>
      </c>
      <c r="K1279" s="1" t="s">
        <v>34</v>
      </c>
      <c r="L1279" s="1" t="s">
        <v>1113</v>
      </c>
      <c r="M1279" s="1">
        <v>1</v>
      </c>
      <c r="N1279" s="2">
        <v>160.91</v>
      </c>
      <c r="O1279" s="3">
        <v>221</v>
      </c>
      <c r="P1279" s="1">
        <v>15</v>
      </c>
      <c r="Q1279" s="1">
        <v>9</v>
      </c>
      <c r="R1279" s="1">
        <v>200010020256</v>
      </c>
      <c r="S1279" s="1">
        <v>50</v>
      </c>
      <c r="T1279" s="1">
        <v>1</v>
      </c>
      <c r="U1279" s="1">
        <v>1</v>
      </c>
      <c r="V1279">
        <f t="shared" si="19"/>
        <v>221</v>
      </c>
    </row>
    <row r="1280" spans="1:22" ht="13" x14ac:dyDescent="0.15">
      <c r="A1280" s="4">
        <v>44778</v>
      </c>
      <c r="B1280" s="5">
        <v>0.46418981481481481</v>
      </c>
      <c r="C1280" s="1">
        <v>1820</v>
      </c>
      <c r="D1280" s="1">
        <v>13002616</v>
      </c>
      <c r="E1280" s="1">
        <v>13</v>
      </c>
      <c r="F1280" s="1">
        <v>22589</v>
      </c>
      <c r="G1280" s="1" t="s">
        <v>21</v>
      </c>
      <c r="H1280" s="1">
        <v>15</v>
      </c>
      <c r="I1280" s="1">
        <v>9329</v>
      </c>
      <c r="J1280" s="1" t="s">
        <v>312</v>
      </c>
      <c r="K1280" s="1" t="s">
        <v>64</v>
      </c>
      <c r="L1280" s="1" t="s">
        <v>313</v>
      </c>
      <c r="M1280" s="1">
        <v>1</v>
      </c>
      <c r="N1280" s="2">
        <v>201.71</v>
      </c>
      <c r="O1280" s="3">
        <v>239</v>
      </c>
      <c r="P1280" s="1">
        <v>11</v>
      </c>
      <c r="Q1280" s="1">
        <v>9</v>
      </c>
      <c r="R1280" s="1">
        <v>200010020256</v>
      </c>
      <c r="S1280" s="1">
        <v>50</v>
      </c>
      <c r="T1280" s="1">
        <v>1</v>
      </c>
      <c r="U1280" s="1">
        <v>2</v>
      </c>
      <c r="V1280">
        <f t="shared" si="19"/>
        <v>239</v>
      </c>
    </row>
    <row r="1281" spans="1:22" ht="13" x14ac:dyDescent="0.15">
      <c r="A1281" s="4">
        <v>44778</v>
      </c>
      <c r="B1281" s="5">
        <v>0.48305555555555557</v>
      </c>
      <c r="C1281" s="1">
        <v>1821</v>
      </c>
      <c r="D1281" s="1">
        <v>13002616</v>
      </c>
      <c r="E1281" s="1">
        <v>13</v>
      </c>
      <c r="F1281" s="1">
        <v>22589</v>
      </c>
      <c r="G1281" s="1" t="s">
        <v>21</v>
      </c>
      <c r="H1281" s="1">
        <v>15</v>
      </c>
      <c r="I1281" s="1">
        <v>338798</v>
      </c>
      <c r="J1281" s="1" t="s">
        <v>919</v>
      </c>
      <c r="K1281" s="1" t="s">
        <v>29</v>
      </c>
      <c r="L1281" s="1" t="s">
        <v>123</v>
      </c>
      <c r="M1281" s="1">
        <v>1</v>
      </c>
      <c r="N1281" s="2">
        <v>46.62</v>
      </c>
      <c r="O1281" s="3">
        <v>57</v>
      </c>
      <c r="P1281" s="1">
        <v>0</v>
      </c>
      <c r="Q1281" s="1" t="s">
        <v>25</v>
      </c>
      <c r="R1281" s="1" t="s">
        <v>25</v>
      </c>
      <c r="S1281" s="1">
        <v>50</v>
      </c>
      <c r="T1281" s="1">
        <v>1</v>
      </c>
      <c r="U1281" s="1">
        <v>1</v>
      </c>
      <c r="V1281">
        <f t="shared" si="19"/>
        <v>57</v>
      </c>
    </row>
    <row r="1282" spans="1:22" ht="13" x14ac:dyDescent="0.15">
      <c r="A1282" s="4">
        <v>44778</v>
      </c>
      <c r="B1282" s="5">
        <v>0.48305555555555557</v>
      </c>
      <c r="C1282" s="1">
        <v>1821</v>
      </c>
      <c r="D1282" s="1">
        <v>13002616</v>
      </c>
      <c r="E1282" s="1">
        <v>13</v>
      </c>
      <c r="F1282" s="1">
        <v>22589</v>
      </c>
      <c r="G1282" s="1" t="s">
        <v>21</v>
      </c>
      <c r="H1282" s="1">
        <v>15</v>
      </c>
      <c r="I1282" s="1">
        <v>364627</v>
      </c>
      <c r="J1282" s="1" t="s">
        <v>1114</v>
      </c>
      <c r="K1282" s="1" t="s">
        <v>34</v>
      </c>
      <c r="L1282" s="1" t="s">
        <v>668</v>
      </c>
      <c r="M1282" s="1">
        <v>0.05</v>
      </c>
      <c r="N1282" s="2">
        <v>1288.97</v>
      </c>
      <c r="O1282" s="3">
        <v>1766</v>
      </c>
      <c r="P1282" s="1">
        <v>0</v>
      </c>
      <c r="Q1282" s="1" t="s">
        <v>25</v>
      </c>
      <c r="R1282" s="1" t="s">
        <v>25</v>
      </c>
      <c r="S1282" s="1">
        <v>50</v>
      </c>
      <c r="T1282" s="1">
        <v>1</v>
      </c>
      <c r="U1282" s="1">
        <v>2</v>
      </c>
      <c r="V1282">
        <f t="shared" si="19"/>
        <v>88.300000000000011</v>
      </c>
    </row>
    <row r="1283" spans="1:22" ht="13" x14ac:dyDescent="0.15">
      <c r="A1283" s="4">
        <v>44778</v>
      </c>
      <c r="B1283" s="5">
        <v>0.48424768518518518</v>
      </c>
      <c r="C1283" s="1">
        <v>1822</v>
      </c>
      <c r="D1283" s="1">
        <v>13002616</v>
      </c>
      <c r="E1283" s="1">
        <v>13</v>
      </c>
      <c r="F1283" s="1">
        <v>22589</v>
      </c>
      <c r="G1283" s="1" t="s">
        <v>21</v>
      </c>
      <c r="H1283" s="1">
        <v>15</v>
      </c>
      <c r="I1283" s="1">
        <v>440757</v>
      </c>
      <c r="J1283" s="1" t="s">
        <v>979</v>
      </c>
      <c r="K1283" s="1" t="s">
        <v>61</v>
      </c>
      <c r="L1283" s="1" t="s">
        <v>49</v>
      </c>
      <c r="M1283" s="1">
        <v>1</v>
      </c>
      <c r="N1283" s="2">
        <v>15.84</v>
      </c>
      <c r="O1283" s="3">
        <v>25</v>
      </c>
      <c r="P1283" s="1">
        <v>1</v>
      </c>
      <c r="Q1283" s="1">
        <v>9</v>
      </c>
      <c r="R1283" s="1">
        <v>200010023007</v>
      </c>
      <c r="S1283" s="1">
        <v>50</v>
      </c>
      <c r="T1283" s="1">
        <v>1</v>
      </c>
      <c r="U1283" s="1">
        <v>1</v>
      </c>
      <c r="V1283">
        <f t="shared" ref="V1283:V1346" si="20">O1283*M1283</f>
        <v>25</v>
      </c>
    </row>
    <row r="1284" spans="1:22" ht="13" x14ac:dyDescent="0.15">
      <c r="A1284" s="4">
        <v>44778</v>
      </c>
      <c r="B1284" s="5">
        <v>0.48424768518518518</v>
      </c>
      <c r="C1284" s="1">
        <v>1822</v>
      </c>
      <c r="D1284" s="1">
        <v>13002616</v>
      </c>
      <c r="E1284" s="1">
        <v>13</v>
      </c>
      <c r="F1284" s="1">
        <v>22589</v>
      </c>
      <c r="G1284" s="1" t="s">
        <v>21</v>
      </c>
      <c r="H1284" s="1">
        <v>15</v>
      </c>
      <c r="I1284" s="1">
        <v>440757</v>
      </c>
      <c r="J1284" s="1" t="s">
        <v>979</v>
      </c>
      <c r="K1284" s="1" t="s">
        <v>61</v>
      </c>
      <c r="L1284" s="1" t="s">
        <v>49</v>
      </c>
      <c r="M1284" s="1">
        <v>1</v>
      </c>
      <c r="N1284" s="2">
        <v>15.84</v>
      </c>
      <c r="O1284" s="3">
        <v>25</v>
      </c>
      <c r="P1284" s="1">
        <v>1</v>
      </c>
      <c r="Q1284" s="1">
        <v>9</v>
      </c>
      <c r="R1284" s="1">
        <v>200010023007</v>
      </c>
      <c r="S1284" s="1">
        <v>50</v>
      </c>
      <c r="T1284" s="1">
        <v>1</v>
      </c>
      <c r="U1284" s="1">
        <v>2</v>
      </c>
      <c r="V1284">
        <f t="shared" si="20"/>
        <v>25</v>
      </c>
    </row>
    <row r="1285" spans="1:22" ht="13" x14ac:dyDescent="0.15">
      <c r="A1285" s="4">
        <v>44778</v>
      </c>
      <c r="B1285" s="5">
        <v>0.48697916666666669</v>
      </c>
      <c r="C1285" s="1">
        <v>1823</v>
      </c>
      <c r="D1285" s="1">
        <v>13002616</v>
      </c>
      <c r="E1285" s="1">
        <v>13</v>
      </c>
      <c r="F1285" s="1">
        <v>22589</v>
      </c>
      <c r="G1285" s="1" t="s">
        <v>21</v>
      </c>
      <c r="H1285" s="1">
        <v>15</v>
      </c>
      <c r="I1285" s="1">
        <v>16027</v>
      </c>
      <c r="J1285" s="1" t="s">
        <v>1115</v>
      </c>
      <c r="K1285" s="1" t="s">
        <v>117</v>
      </c>
      <c r="L1285" s="1" t="s">
        <v>1116</v>
      </c>
      <c r="M1285" s="1">
        <v>1</v>
      </c>
      <c r="N1285" s="2">
        <v>68.069999999999993</v>
      </c>
      <c r="O1285" s="3">
        <v>107</v>
      </c>
      <c r="P1285" s="1">
        <v>10</v>
      </c>
      <c r="Q1285" s="1">
        <v>9</v>
      </c>
      <c r="R1285" s="1">
        <v>200010009407</v>
      </c>
      <c r="S1285" s="1">
        <v>50</v>
      </c>
      <c r="T1285" s="1">
        <v>1</v>
      </c>
      <c r="U1285" s="1">
        <v>2</v>
      </c>
      <c r="V1285">
        <f t="shared" si="20"/>
        <v>107</v>
      </c>
    </row>
    <row r="1286" spans="1:22" ht="13" x14ac:dyDescent="0.15">
      <c r="A1286" s="4">
        <v>44778</v>
      </c>
      <c r="B1286" s="5">
        <v>0.48697916666666669</v>
      </c>
      <c r="C1286" s="1">
        <v>1823</v>
      </c>
      <c r="D1286" s="1">
        <v>13002616</v>
      </c>
      <c r="E1286" s="1">
        <v>13</v>
      </c>
      <c r="F1286" s="1">
        <v>22589</v>
      </c>
      <c r="G1286" s="1" t="s">
        <v>21</v>
      </c>
      <c r="H1286" s="1">
        <v>15</v>
      </c>
      <c r="I1286" s="1">
        <v>724</v>
      </c>
      <c r="J1286" s="1" t="s">
        <v>529</v>
      </c>
      <c r="K1286" s="1" t="s">
        <v>23</v>
      </c>
      <c r="L1286" s="1" t="s">
        <v>214</v>
      </c>
      <c r="M1286" s="1">
        <v>1</v>
      </c>
      <c r="N1286" s="2">
        <v>66.09</v>
      </c>
      <c r="O1286" s="3">
        <v>78</v>
      </c>
      <c r="P1286" s="1">
        <v>3</v>
      </c>
      <c r="Q1286" s="1">
        <v>9</v>
      </c>
      <c r="R1286" s="1">
        <v>200010009407</v>
      </c>
      <c r="S1286" s="1">
        <v>50</v>
      </c>
      <c r="T1286" s="1">
        <v>1</v>
      </c>
      <c r="U1286" s="1">
        <v>3</v>
      </c>
      <c r="V1286">
        <f t="shared" si="20"/>
        <v>78</v>
      </c>
    </row>
    <row r="1287" spans="1:22" ht="13" x14ac:dyDescent="0.15">
      <c r="A1287" s="4">
        <v>44778</v>
      </c>
      <c r="B1287" s="5">
        <v>0.4886226851851852</v>
      </c>
      <c r="C1287" s="1">
        <v>1824</v>
      </c>
      <c r="D1287" s="1">
        <v>13002616</v>
      </c>
      <c r="E1287" s="1">
        <v>13</v>
      </c>
      <c r="F1287" s="1">
        <v>22589</v>
      </c>
      <c r="G1287" s="1" t="s">
        <v>21</v>
      </c>
      <c r="H1287" s="1">
        <v>18</v>
      </c>
      <c r="I1287" s="1">
        <v>5571</v>
      </c>
      <c r="J1287" s="1" t="s">
        <v>1117</v>
      </c>
      <c r="K1287" s="1" t="s">
        <v>23</v>
      </c>
      <c r="L1287" s="1" t="s">
        <v>1118</v>
      </c>
      <c r="M1287" s="1">
        <v>1</v>
      </c>
      <c r="N1287" s="2">
        <v>890.84</v>
      </c>
      <c r="O1287" s="3">
        <v>1150</v>
      </c>
      <c r="P1287" s="1">
        <v>80</v>
      </c>
      <c r="Q1287" s="1">
        <v>9</v>
      </c>
      <c r="R1287" s="1">
        <v>200010015871</v>
      </c>
      <c r="S1287" s="1">
        <v>50</v>
      </c>
      <c r="T1287" s="1">
        <v>1</v>
      </c>
      <c r="U1287" s="1">
        <v>1</v>
      </c>
      <c r="V1287">
        <f t="shared" si="20"/>
        <v>1150</v>
      </c>
    </row>
    <row r="1288" spans="1:22" ht="13" x14ac:dyDescent="0.15">
      <c r="A1288" s="4">
        <v>44778</v>
      </c>
      <c r="B1288" s="5">
        <v>0.4886226851851852</v>
      </c>
      <c r="C1288" s="1">
        <v>1824</v>
      </c>
      <c r="D1288" s="1">
        <v>13002616</v>
      </c>
      <c r="E1288" s="1">
        <v>13</v>
      </c>
      <c r="F1288" s="1">
        <v>22589</v>
      </c>
      <c r="G1288" s="1" t="s">
        <v>21</v>
      </c>
      <c r="H1288" s="1">
        <v>18</v>
      </c>
      <c r="I1288" s="1">
        <v>66239</v>
      </c>
      <c r="J1288" s="1" t="s">
        <v>1119</v>
      </c>
      <c r="K1288" s="1" t="s">
        <v>29</v>
      </c>
      <c r="L1288" s="1" t="s">
        <v>129</v>
      </c>
      <c r="M1288" s="1">
        <v>1</v>
      </c>
      <c r="N1288" s="2">
        <v>624.39</v>
      </c>
      <c r="O1288" s="3">
        <v>719</v>
      </c>
      <c r="P1288" s="1">
        <v>50</v>
      </c>
      <c r="Q1288" s="1">
        <v>9</v>
      </c>
      <c r="R1288" s="1">
        <v>200010015871</v>
      </c>
      <c r="S1288" s="1">
        <v>50</v>
      </c>
      <c r="T1288" s="1">
        <v>1</v>
      </c>
      <c r="U1288" s="1">
        <v>2</v>
      </c>
      <c r="V1288">
        <f t="shared" si="20"/>
        <v>719</v>
      </c>
    </row>
    <row r="1289" spans="1:22" ht="13" x14ac:dyDescent="0.15">
      <c r="A1289" s="4">
        <v>44778</v>
      </c>
      <c r="B1289" s="5">
        <v>0.49047453703703703</v>
      </c>
      <c r="C1289" s="1">
        <v>1825</v>
      </c>
      <c r="D1289" s="1">
        <v>13002616</v>
      </c>
      <c r="E1289" s="1">
        <v>13</v>
      </c>
      <c r="F1289" s="1">
        <v>22589</v>
      </c>
      <c r="G1289" s="1" t="s">
        <v>21</v>
      </c>
      <c r="H1289" s="1">
        <v>18</v>
      </c>
      <c r="I1289" s="1">
        <v>196444</v>
      </c>
      <c r="J1289" s="1" t="s">
        <v>281</v>
      </c>
      <c r="K1289" s="1" t="s">
        <v>51</v>
      </c>
      <c r="L1289" s="1" t="s">
        <v>32</v>
      </c>
      <c r="M1289" s="1">
        <v>1</v>
      </c>
      <c r="N1289" s="2">
        <v>79.930000000000007</v>
      </c>
      <c r="O1289" s="3">
        <v>100</v>
      </c>
      <c r="P1289" s="1">
        <v>5</v>
      </c>
      <c r="Q1289" s="1">
        <v>9</v>
      </c>
      <c r="R1289" s="1">
        <v>200010001143</v>
      </c>
      <c r="S1289" s="1">
        <v>50</v>
      </c>
      <c r="T1289" s="1">
        <v>1</v>
      </c>
      <c r="U1289" s="1">
        <v>1</v>
      </c>
      <c r="V1289">
        <f t="shared" si="20"/>
        <v>100</v>
      </c>
    </row>
    <row r="1290" spans="1:22" ht="13" x14ac:dyDescent="0.15">
      <c r="A1290" s="4">
        <v>44778</v>
      </c>
      <c r="B1290" s="5">
        <v>0.49435185185185188</v>
      </c>
      <c r="C1290" s="1">
        <v>1826</v>
      </c>
      <c r="D1290" s="1">
        <v>13002616</v>
      </c>
      <c r="E1290" s="1">
        <v>13</v>
      </c>
      <c r="F1290" s="1">
        <v>22589</v>
      </c>
      <c r="G1290" s="1" t="s">
        <v>21</v>
      </c>
      <c r="H1290" s="1">
        <v>15</v>
      </c>
      <c r="I1290" s="1">
        <v>36976</v>
      </c>
      <c r="J1290" s="1" t="s">
        <v>1120</v>
      </c>
      <c r="K1290" s="1" t="s">
        <v>51</v>
      </c>
      <c r="L1290" s="1" t="s">
        <v>1121</v>
      </c>
      <c r="M1290" s="1">
        <v>1</v>
      </c>
      <c r="N1290" s="2">
        <v>695.74</v>
      </c>
      <c r="O1290" s="3">
        <v>773</v>
      </c>
      <c r="P1290" s="1">
        <v>23</v>
      </c>
      <c r="Q1290" s="1">
        <v>9</v>
      </c>
      <c r="R1290" s="1">
        <v>200010006302</v>
      </c>
      <c r="S1290" s="1">
        <v>50</v>
      </c>
      <c r="T1290" s="1">
        <v>1</v>
      </c>
      <c r="U1290" s="1">
        <v>1</v>
      </c>
      <c r="V1290">
        <f t="shared" si="20"/>
        <v>773</v>
      </c>
    </row>
    <row r="1291" spans="1:22" ht="13" x14ac:dyDescent="0.15">
      <c r="A1291" s="4">
        <v>44778</v>
      </c>
      <c r="B1291" s="5">
        <v>0.49533564814814812</v>
      </c>
      <c r="C1291" s="1">
        <v>1827</v>
      </c>
      <c r="D1291" s="1">
        <v>13002616</v>
      </c>
      <c r="E1291" s="1">
        <v>13</v>
      </c>
      <c r="F1291" s="1">
        <v>22589</v>
      </c>
      <c r="G1291" s="1" t="s">
        <v>21</v>
      </c>
      <c r="H1291" s="1">
        <v>15</v>
      </c>
      <c r="I1291" s="1">
        <v>16911</v>
      </c>
      <c r="J1291" s="1" t="s">
        <v>1122</v>
      </c>
      <c r="K1291" s="1" t="s">
        <v>29</v>
      </c>
      <c r="L1291" s="1" t="s">
        <v>43</v>
      </c>
      <c r="M1291" s="1">
        <v>1</v>
      </c>
      <c r="N1291" s="2">
        <v>246.14</v>
      </c>
      <c r="O1291" s="3">
        <v>288</v>
      </c>
      <c r="P1291" s="1">
        <v>20</v>
      </c>
      <c r="Q1291" s="1">
        <v>9</v>
      </c>
      <c r="R1291" s="1">
        <v>200010008406</v>
      </c>
      <c r="S1291" s="1">
        <v>50</v>
      </c>
      <c r="T1291" s="1">
        <v>1</v>
      </c>
      <c r="U1291" s="1">
        <v>1</v>
      </c>
      <c r="V1291">
        <f t="shared" si="20"/>
        <v>288</v>
      </c>
    </row>
    <row r="1292" spans="1:22" ht="13" x14ac:dyDescent="0.15">
      <c r="A1292" s="4">
        <v>44778</v>
      </c>
      <c r="B1292" s="5">
        <v>0.49533564814814812</v>
      </c>
      <c r="C1292" s="1">
        <v>1827</v>
      </c>
      <c r="D1292" s="1">
        <v>13002616</v>
      </c>
      <c r="E1292" s="1">
        <v>13</v>
      </c>
      <c r="F1292" s="1">
        <v>22589</v>
      </c>
      <c r="G1292" s="1" t="s">
        <v>21</v>
      </c>
      <c r="H1292" s="1">
        <v>15</v>
      </c>
      <c r="I1292" s="1">
        <v>117949</v>
      </c>
      <c r="J1292" s="1" t="s">
        <v>594</v>
      </c>
      <c r="K1292" s="1" t="s">
        <v>141</v>
      </c>
      <c r="L1292" s="1" t="s">
        <v>97</v>
      </c>
      <c r="M1292" s="1">
        <v>1</v>
      </c>
      <c r="N1292" s="2">
        <v>10.02</v>
      </c>
      <c r="O1292" s="3">
        <v>17</v>
      </c>
      <c r="P1292" s="1">
        <v>1</v>
      </c>
      <c r="Q1292" s="1">
        <v>9</v>
      </c>
      <c r="R1292" s="1">
        <v>200010008406</v>
      </c>
      <c r="S1292" s="1">
        <v>50</v>
      </c>
      <c r="T1292" s="1">
        <v>1</v>
      </c>
      <c r="U1292" s="1">
        <v>2</v>
      </c>
      <c r="V1292">
        <f t="shared" si="20"/>
        <v>17</v>
      </c>
    </row>
    <row r="1293" spans="1:22" ht="13" x14ac:dyDescent="0.15">
      <c r="A1293" s="4">
        <v>44778</v>
      </c>
      <c r="B1293" s="5">
        <v>0.53322916666666664</v>
      </c>
      <c r="C1293" s="1">
        <v>1840</v>
      </c>
      <c r="D1293" s="1">
        <v>13002616</v>
      </c>
      <c r="E1293" s="1">
        <v>13</v>
      </c>
      <c r="F1293" s="1">
        <v>22589</v>
      </c>
      <c r="G1293" s="1" t="s">
        <v>21</v>
      </c>
      <c r="H1293" s="1">
        <v>15</v>
      </c>
      <c r="I1293" s="1">
        <v>117949</v>
      </c>
      <c r="J1293" s="1" t="s">
        <v>594</v>
      </c>
      <c r="K1293" s="1" t="s">
        <v>141</v>
      </c>
      <c r="L1293" s="1" t="s">
        <v>97</v>
      </c>
      <c r="M1293" s="1">
        <v>2</v>
      </c>
      <c r="N1293" s="2">
        <v>10.02</v>
      </c>
      <c r="O1293" s="3">
        <v>17</v>
      </c>
      <c r="P1293" s="1">
        <v>3.34</v>
      </c>
      <c r="Q1293" s="1">
        <v>9</v>
      </c>
      <c r="R1293" s="1">
        <v>200010009864</v>
      </c>
      <c r="S1293" s="1">
        <v>50</v>
      </c>
      <c r="T1293" s="1">
        <v>1</v>
      </c>
      <c r="U1293" s="1">
        <v>2</v>
      </c>
      <c r="V1293">
        <f t="shared" si="20"/>
        <v>34</v>
      </c>
    </row>
    <row r="1294" spans="1:22" ht="13" x14ac:dyDescent="0.15">
      <c r="A1294" s="4">
        <v>44778</v>
      </c>
      <c r="B1294" s="5">
        <v>0.53322916666666664</v>
      </c>
      <c r="C1294" s="1">
        <v>1840</v>
      </c>
      <c r="D1294" s="1">
        <v>13002616</v>
      </c>
      <c r="E1294" s="1">
        <v>13</v>
      </c>
      <c r="F1294" s="1">
        <v>22589</v>
      </c>
      <c r="G1294" s="1" t="s">
        <v>21</v>
      </c>
      <c r="H1294" s="1">
        <v>15</v>
      </c>
      <c r="I1294" s="1">
        <v>117949</v>
      </c>
      <c r="J1294" s="1" t="s">
        <v>594</v>
      </c>
      <c r="K1294" s="1" t="s">
        <v>141</v>
      </c>
      <c r="L1294" s="1" t="s">
        <v>97</v>
      </c>
      <c r="M1294" s="1">
        <v>1</v>
      </c>
      <c r="N1294" s="2">
        <v>10.02</v>
      </c>
      <c r="O1294" s="3">
        <v>17</v>
      </c>
      <c r="P1294" s="1">
        <v>1.66</v>
      </c>
      <c r="Q1294" s="1">
        <v>9</v>
      </c>
      <c r="R1294" s="1">
        <v>200010009864</v>
      </c>
      <c r="S1294" s="1">
        <v>50</v>
      </c>
      <c r="T1294" s="1">
        <v>1</v>
      </c>
      <c r="U1294" s="1">
        <v>3</v>
      </c>
      <c r="V1294">
        <f t="shared" si="20"/>
        <v>17</v>
      </c>
    </row>
    <row r="1295" spans="1:22" ht="13" x14ac:dyDescent="0.15">
      <c r="A1295" s="4">
        <v>44778</v>
      </c>
      <c r="B1295" s="5">
        <v>0.65452546296296299</v>
      </c>
      <c r="C1295" s="1">
        <v>1869</v>
      </c>
      <c r="D1295" s="1">
        <v>13002616</v>
      </c>
      <c r="E1295" s="1">
        <v>13</v>
      </c>
      <c r="F1295" s="1">
        <v>22589</v>
      </c>
      <c r="G1295" s="1" t="s">
        <v>21</v>
      </c>
      <c r="H1295" s="1">
        <v>18</v>
      </c>
      <c r="I1295" s="1">
        <v>117949</v>
      </c>
      <c r="J1295" s="1" t="s">
        <v>594</v>
      </c>
      <c r="K1295" s="1" t="s">
        <v>141</v>
      </c>
      <c r="L1295" s="1" t="s">
        <v>97</v>
      </c>
      <c r="M1295" s="1">
        <v>1</v>
      </c>
      <c r="N1295" s="2">
        <v>10.02</v>
      </c>
      <c r="O1295" s="3">
        <v>17</v>
      </c>
      <c r="P1295" s="1">
        <v>0</v>
      </c>
      <c r="Q1295" s="1" t="s">
        <v>25</v>
      </c>
      <c r="R1295" s="1" t="s">
        <v>25</v>
      </c>
      <c r="S1295" s="1">
        <v>50</v>
      </c>
      <c r="T1295" s="1">
        <v>1</v>
      </c>
      <c r="U1295" s="1">
        <v>1</v>
      </c>
      <c r="V1295">
        <f t="shared" si="20"/>
        <v>17</v>
      </c>
    </row>
    <row r="1296" spans="1:22" ht="13" x14ac:dyDescent="0.15">
      <c r="A1296" s="4">
        <v>44778</v>
      </c>
      <c r="B1296" s="5">
        <v>0.49533564814814812</v>
      </c>
      <c r="C1296" s="1">
        <v>1827</v>
      </c>
      <c r="D1296" s="1">
        <v>13002616</v>
      </c>
      <c r="E1296" s="1">
        <v>13</v>
      </c>
      <c r="F1296" s="1">
        <v>22589</v>
      </c>
      <c r="G1296" s="1" t="s">
        <v>21</v>
      </c>
      <c r="H1296" s="1">
        <v>15</v>
      </c>
      <c r="I1296" s="1">
        <v>345540</v>
      </c>
      <c r="J1296" s="1" t="s">
        <v>237</v>
      </c>
      <c r="K1296" s="1" t="s">
        <v>51</v>
      </c>
      <c r="L1296" s="1" t="s">
        <v>238</v>
      </c>
      <c r="M1296" s="1">
        <v>1</v>
      </c>
      <c r="N1296" s="2">
        <v>17.72</v>
      </c>
      <c r="O1296" s="3">
        <v>22</v>
      </c>
      <c r="P1296" s="1">
        <v>1</v>
      </c>
      <c r="Q1296" s="1">
        <v>9</v>
      </c>
      <c r="R1296" s="1">
        <v>200010008406</v>
      </c>
      <c r="S1296" s="1">
        <v>50</v>
      </c>
      <c r="T1296" s="1">
        <v>1</v>
      </c>
      <c r="U1296" s="1">
        <v>3</v>
      </c>
      <c r="V1296">
        <f t="shared" si="20"/>
        <v>22</v>
      </c>
    </row>
    <row r="1297" spans="1:22" ht="13" x14ac:dyDescent="0.15">
      <c r="A1297" s="4">
        <v>44778</v>
      </c>
      <c r="B1297" s="5">
        <v>0.49717592592592591</v>
      </c>
      <c r="C1297" s="1">
        <v>1828</v>
      </c>
      <c r="D1297" s="1">
        <v>13002616</v>
      </c>
      <c r="E1297" s="1">
        <v>13</v>
      </c>
      <c r="F1297" s="1">
        <v>22589</v>
      </c>
      <c r="G1297" s="1" t="s">
        <v>21</v>
      </c>
      <c r="H1297" s="1">
        <v>18</v>
      </c>
      <c r="I1297" s="1">
        <v>142544</v>
      </c>
      <c r="J1297" s="1" t="s">
        <v>628</v>
      </c>
      <c r="K1297" s="1" t="s">
        <v>141</v>
      </c>
      <c r="L1297" s="1" t="s">
        <v>629</v>
      </c>
      <c r="M1297" s="1">
        <v>0.2</v>
      </c>
      <c r="N1297" s="2">
        <v>545.82000000000005</v>
      </c>
      <c r="O1297" s="3">
        <v>705</v>
      </c>
      <c r="P1297" s="1">
        <v>9</v>
      </c>
      <c r="Q1297" s="1">
        <v>9</v>
      </c>
      <c r="R1297" s="1">
        <v>200010013119</v>
      </c>
      <c r="S1297" s="1">
        <v>50</v>
      </c>
      <c r="T1297" s="1">
        <v>1</v>
      </c>
      <c r="U1297" s="1">
        <v>2</v>
      </c>
      <c r="V1297">
        <f t="shared" si="20"/>
        <v>141</v>
      </c>
    </row>
    <row r="1298" spans="1:22" ht="13" x14ac:dyDescent="0.15">
      <c r="A1298" s="4">
        <v>44778</v>
      </c>
      <c r="B1298" s="5">
        <v>0.49717592592592591</v>
      </c>
      <c r="C1298" s="1">
        <v>1828</v>
      </c>
      <c r="D1298" s="1">
        <v>13002616</v>
      </c>
      <c r="E1298" s="1">
        <v>13</v>
      </c>
      <c r="F1298" s="1">
        <v>22589</v>
      </c>
      <c r="G1298" s="1" t="s">
        <v>21</v>
      </c>
      <c r="H1298" s="1">
        <v>18</v>
      </c>
      <c r="I1298" s="1">
        <v>142544</v>
      </c>
      <c r="J1298" s="1" t="s">
        <v>628</v>
      </c>
      <c r="K1298" s="1" t="s">
        <v>141</v>
      </c>
      <c r="L1298" s="1" t="s">
        <v>629</v>
      </c>
      <c r="M1298" s="1">
        <v>0.2</v>
      </c>
      <c r="N1298" s="2">
        <v>545.82000000000005</v>
      </c>
      <c r="O1298" s="3">
        <v>705</v>
      </c>
      <c r="P1298" s="1">
        <v>9</v>
      </c>
      <c r="Q1298" s="1">
        <v>9</v>
      </c>
      <c r="R1298" s="1">
        <v>200010013119</v>
      </c>
      <c r="S1298" s="1">
        <v>50</v>
      </c>
      <c r="T1298" s="1">
        <v>1</v>
      </c>
      <c r="U1298" s="1">
        <v>3</v>
      </c>
      <c r="V1298">
        <f t="shared" si="20"/>
        <v>141</v>
      </c>
    </row>
    <row r="1299" spans="1:22" ht="13" x14ac:dyDescent="0.15">
      <c r="A1299" s="4">
        <v>44778</v>
      </c>
      <c r="B1299" s="5">
        <v>0.49717592592592591</v>
      </c>
      <c r="C1299" s="1">
        <v>1828</v>
      </c>
      <c r="D1299" s="1">
        <v>13002616</v>
      </c>
      <c r="E1299" s="1">
        <v>13</v>
      </c>
      <c r="F1299" s="1">
        <v>22589</v>
      </c>
      <c r="G1299" s="1" t="s">
        <v>21</v>
      </c>
      <c r="H1299" s="1">
        <v>18</v>
      </c>
      <c r="I1299" s="1">
        <v>4240</v>
      </c>
      <c r="J1299" s="1" t="s">
        <v>1123</v>
      </c>
      <c r="K1299" s="1" t="s">
        <v>34</v>
      </c>
      <c r="L1299" s="1" t="s">
        <v>1124</v>
      </c>
      <c r="M1299" s="1">
        <v>1</v>
      </c>
      <c r="N1299" s="2">
        <v>223.32</v>
      </c>
      <c r="O1299" s="3">
        <v>302</v>
      </c>
      <c r="P1299" s="1">
        <v>21</v>
      </c>
      <c r="Q1299" s="1">
        <v>9</v>
      </c>
      <c r="R1299" s="1">
        <v>200010013119</v>
      </c>
      <c r="S1299" s="1">
        <v>50</v>
      </c>
      <c r="T1299" s="1">
        <v>1</v>
      </c>
      <c r="U1299" s="1">
        <v>1</v>
      </c>
      <c r="V1299">
        <f t="shared" si="20"/>
        <v>302</v>
      </c>
    </row>
    <row r="1300" spans="1:22" ht="13" x14ac:dyDescent="0.15">
      <c r="A1300" s="4">
        <v>44778</v>
      </c>
      <c r="B1300" s="5">
        <v>0.50062499999999999</v>
      </c>
      <c r="C1300" s="1">
        <v>1829</v>
      </c>
      <c r="D1300" s="1">
        <v>13002616</v>
      </c>
      <c r="E1300" s="1">
        <v>13</v>
      </c>
      <c r="F1300" s="1">
        <v>22589</v>
      </c>
      <c r="G1300" s="1" t="s">
        <v>21</v>
      </c>
      <c r="H1300" s="1">
        <v>18</v>
      </c>
      <c r="I1300" s="1">
        <v>21997</v>
      </c>
      <c r="J1300" s="1" t="s">
        <v>1013</v>
      </c>
      <c r="K1300" s="1" t="s">
        <v>51</v>
      </c>
      <c r="L1300" s="1" t="s">
        <v>394</v>
      </c>
      <c r="M1300" s="1">
        <v>1</v>
      </c>
      <c r="N1300" s="2">
        <v>123.64</v>
      </c>
      <c r="O1300" s="3">
        <v>148</v>
      </c>
      <c r="P1300" s="1">
        <v>7</v>
      </c>
      <c r="Q1300" s="1">
        <v>9</v>
      </c>
      <c r="R1300" s="1">
        <v>200010002734</v>
      </c>
      <c r="S1300" s="1">
        <v>50</v>
      </c>
      <c r="T1300" s="1">
        <v>1</v>
      </c>
      <c r="U1300" s="1">
        <v>1</v>
      </c>
      <c r="V1300">
        <f t="shared" si="20"/>
        <v>148</v>
      </c>
    </row>
    <row r="1301" spans="1:22" ht="13" x14ac:dyDescent="0.15">
      <c r="A1301" s="4">
        <v>44778</v>
      </c>
      <c r="B1301" s="5">
        <v>0.50062499999999999</v>
      </c>
      <c r="C1301" s="1">
        <v>1829</v>
      </c>
      <c r="D1301" s="1">
        <v>13002616</v>
      </c>
      <c r="E1301" s="1">
        <v>13</v>
      </c>
      <c r="F1301" s="1">
        <v>22589</v>
      </c>
      <c r="G1301" s="1" t="s">
        <v>21</v>
      </c>
      <c r="H1301" s="1">
        <v>18</v>
      </c>
      <c r="I1301" s="1">
        <v>21997</v>
      </c>
      <c r="J1301" s="1" t="s">
        <v>1013</v>
      </c>
      <c r="K1301" s="1" t="s">
        <v>51</v>
      </c>
      <c r="L1301" s="1" t="s">
        <v>394</v>
      </c>
      <c r="M1301" s="1">
        <v>1</v>
      </c>
      <c r="N1301" s="2">
        <v>123.64</v>
      </c>
      <c r="O1301" s="3">
        <v>148</v>
      </c>
      <c r="P1301" s="1">
        <v>7</v>
      </c>
      <c r="Q1301" s="1">
        <v>9</v>
      </c>
      <c r="R1301" s="1">
        <v>200010002734</v>
      </c>
      <c r="S1301" s="1">
        <v>50</v>
      </c>
      <c r="T1301" s="1">
        <v>1</v>
      </c>
      <c r="U1301" s="1">
        <v>2</v>
      </c>
      <c r="V1301">
        <f t="shared" si="20"/>
        <v>148</v>
      </c>
    </row>
    <row r="1302" spans="1:22" ht="13" x14ac:dyDescent="0.15">
      <c r="A1302" s="4">
        <v>44778</v>
      </c>
      <c r="B1302" s="5">
        <v>0.50062499999999999</v>
      </c>
      <c r="C1302" s="1">
        <v>1829</v>
      </c>
      <c r="D1302" s="1">
        <v>13002616</v>
      </c>
      <c r="E1302" s="1">
        <v>13</v>
      </c>
      <c r="F1302" s="1">
        <v>22589</v>
      </c>
      <c r="G1302" s="1" t="s">
        <v>21</v>
      </c>
      <c r="H1302" s="1">
        <v>18</v>
      </c>
      <c r="I1302" s="1">
        <v>303829</v>
      </c>
      <c r="J1302" s="1" t="s">
        <v>806</v>
      </c>
      <c r="K1302" s="1" t="s">
        <v>23</v>
      </c>
      <c r="L1302" s="1" t="s">
        <v>37</v>
      </c>
      <c r="M1302" s="1">
        <v>1</v>
      </c>
      <c r="N1302" s="2">
        <v>226.01</v>
      </c>
      <c r="O1302" s="3">
        <v>281</v>
      </c>
      <c r="P1302" s="1">
        <v>14</v>
      </c>
      <c r="Q1302" s="1">
        <v>9</v>
      </c>
      <c r="R1302" s="1">
        <v>200010002734</v>
      </c>
      <c r="S1302" s="1">
        <v>50</v>
      </c>
      <c r="T1302" s="1">
        <v>1</v>
      </c>
      <c r="U1302" s="1">
        <v>3</v>
      </c>
      <c r="V1302">
        <f t="shared" si="20"/>
        <v>281</v>
      </c>
    </row>
    <row r="1303" spans="1:22" ht="13" x14ac:dyDescent="0.15">
      <c r="A1303" s="4">
        <v>44778</v>
      </c>
      <c r="B1303" s="5">
        <v>0.50062499999999999</v>
      </c>
      <c r="C1303" s="1">
        <v>1829</v>
      </c>
      <c r="D1303" s="1">
        <v>13002616</v>
      </c>
      <c r="E1303" s="1">
        <v>13</v>
      </c>
      <c r="F1303" s="1">
        <v>22589</v>
      </c>
      <c r="G1303" s="1" t="s">
        <v>21</v>
      </c>
      <c r="H1303" s="1">
        <v>18</v>
      </c>
      <c r="I1303" s="1">
        <v>319265</v>
      </c>
      <c r="J1303" s="1" t="s">
        <v>1125</v>
      </c>
      <c r="K1303" s="1" t="s">
        <v>34</v>
      </c>
      <c r="L1303" s="1" t="s">
        <v>731</v>
      </c>
      <c r="M1303" s="1">
        <v>1</v>
      </c>
      <c r="N1303" s="2">
        <v>605.54</v>
      </c>
      <c r="O1303" s="3">
        <v>782</v>
      </c>
      <c r="P1303" s="1">
        <v>54</v>
      </c>
      <c r="Q1303" s="1">
        <v>9</v>
      </c>
      <c r="R1303" s="1">
        <v>200010002734</v>
      </c>
      <c r="S1303" s="1">
        <v>50</v>
      </c>
      <c r="T1303" s="1">
        <v>1</v>
      </c>
      <c r="U1303" s="1">
        <v>4</v>
      </c>
      <c r="V1303">
        <f t="shared" si="20"/>
        <v>782</v>
      </c>
    </row>
    <row r="1304" spans="1:22" ht="13" x14ac:dyDescent="0.15">
      <c r="A1304" s="4">
        <v>44778</v>
      </c>
      <c r="B1304" s="5">
        <v>0.50503472222222223</v>
      </c>
      <c r="C1304" s="1">
        <v>1830</v>
      </c>
      <c r="D1304" s="1">
        <v>13002616</v>
      </c>
      <c r="E1304" s="1">
        <v>13</v>
      </c>
      <c r="F1304" s="1">
        <v>22589</v>
      </c>
      <c r="G1304" s="1" t="s">
        <v>21</v>
      </c>
      <c r="H1304" s="1">
        <v>15</v>
      </c>
      <c r="I1304" s="1">
        <v>156809</v>
      </c>
      <c r="J1304" s="1" t="s">
        <v>1126</v>
      </c>
      <c r="K1304" s="1" t="s">
        <v>51</v>
      </c>
      <c r="L1304" s="1" t="s">
        <v>35</v>
      </c>
      <c r="M1304" s="1">
        <v>1</v>
      </c>
      <c r="N1304" s="2">
        <v>304.42</v>
      </c>
      <c r="O1304" s="3">
        <v>402</v>
      </c>
      <c r="P1304" s="1">
        <v>28</v>
      </c>
      <c r="Q1304" s="1">
        <v>9</v>
      </c>
      <c r="R1304" s="1">
        <v>200010004073</v>
      </c>
      <c r="S1304" s="1">
        <v>50</v>
      </c>
      <c r="T1304" s="1">
        <v>1</v>
      </c>
      <c r="U1304" s="1">
        <v>1</v>
      </c>
      <c r="V1304">
        <f t="shared" si="20"/>
        <v>402</v>
      </c>
    </row>
    <row r="1305" spans="1:22" ht="13" x14ac:dyDescent="0.15">
      <c r="A1305" s="4">
        <v>44778</v>
      </c>
      <c r="B1305" s="5">
        <v>0.50699074074074069</v>
      </c>
      <c r="C1305" s="1">
        <v>1831</v>
      </c>
      <c r="D1305" s="1">
        <v>13002616</v>
      </c>
      <c r="E1305" s="1">
        <v>13</v>
      </c>
      <c r="F1305" s="1">
        <v>22589</v>
      </c>
      <c r="G1305" s="1" t="s">
        <v>21</v>
      </c>
      <c r="H1305" s="1">
        <v>18</v>
      </c>
      <c r="I1305" s="1">
        <v>298348</v>
      </c>
      <c r="J1305" s="1" t="s">
        <v>1127</v>
      </c>
      <c r="K1305" s="1" t="s">
        <v>45</v>
      </c>
      <c r="L1305" s="1" t="s">
        <v>97</v>
      </c>
      <c r="M1305" s="1">
        <v>1</v>
      </c>
      <c r="N1305" s="2">
        <v>56.25</v>
      </c>
      <c r="O1305" s="3">
        <v>89</v>
      </c>
      <c r="P1305" s="1">
        <v>8</v>
      </c>
      <c r="Q1305" s="1">
        <v>941</v>
      </c>
      <c r="R1305" s="1">
        <v>200000000044</v>
      </c>
      <c r="S1305" s="1">
        <v>50</v>
      </c>
      <c r="T1305" s="1">
        <v>1</v>
      </c>
      <c r="U1305" s="1">
        <v>1</v>
      </c>
      <c r="V1305">
        <f t="shared" si="20"/>
        <v>89</v>
      </c>
    </row>
    <row r="1306" spans="1:22" ht="13" x14ac:dyDescent="0.15">
      <c r="A1306" s="4">
        <v>44778</v>
      </c>
      <c r="B1306" s="5">
        <v>0.51026620370370368</v>
      </c>
      <c r="C1306" s="1">
        <v>1832</v>
      </c>
      <c r="D1306" s="1">
        <v>13002616</v>
      </c>
      <c r="E1306" s="1">
        <v>13</v>
      </c>
      <c r="F1306" s="1">
        <v>22589</v>
      </c>
      <c r="G1306" s="1" t="s">
        <v>21</v>
      </c>
      <c r="H1306" s="1">
        <v>15</v>
      </c>
      <c r="I1306" s="1">
        <v>282116</v>
      </c>
      <c r="J1306" s="1" t="s">
        <v>1128</v>
      </c>
      <c r="K1306" s="1" t="s">
        <v>23</v>
      </c>
      <c r="L1306" s="1" t="s">
        <v>39</v>
      </c>
      <c r="M1306" s="1">
        <v>1</v>
      </c>
      <c r="N1306" s="2">
        <v>320.02999999999997</v>
      </c>
      <c r="O1306" s="3">
        <v>423</v>
      </c>
      <c r="P1306" s="1">
        <v>29</v>
      </c>
      <c r="Q1306" s="1">
        <v>9</v>
      </c>
      <c r="R1306" s="1">
        <v>200010017048</v>
      </c>
      <c r="S1306" s="1">
        <v>50</v>
      </c>
      <c r="T1306" s="1">
        <v>1</v>
      </c>
      <c r="U1306" s="1">
        <v>1</v>
      </c>
      <c r="V1306">
        <f t="shared" si="20"/>
        <v>423</v>
      </c>
    </row>
    <row r="1307" spans="1:22" ht="13" x14ac:dyDescent="0.15">
      <c r="A1307" s="4">
        <v>44778</v>
      </c>
      <c r="B1307" s="5">
        <v>0.51466435185185189</v>
      </c>
      <c r="C1307" s="1">
        <v>1833</v>
      </c>
      <c r="D1307" s="1">
        <v>13002616</v>
      </c>
      <c r="E1307" s="1">
        <v>13</v>
      </c>
      <c r="F1307" s="1">
        <v>22589</v>
      </c>
      <c r="G1307" s="1" t="s">
        <v>21</v>
      </c>
      <c r="H1307" s="1">
        <v>18</v>
      </c>
      <c r="I1307" s="1">
        <v>504585</v>
      </c>
      <c r="J1307" s="1" t="s">
        <v>464</v>
      </c>
      <c r="K1307" s="1" t="s">
        <v>51</v>
      </c>
      <c r="L1307" s="1" t="s">
        <v>248</v>
      </c>
      <c r="M1307" s="1">
        <v>1</v>
      </c>
      <c r="N1307" s="2">
        <v>240.27</v>
      </c>
      <c r="O1307" s="3">
        <v>292</v>
      </c>
      <c r="P1307" s="1">
        <v>14</v>
      </c>
      <c r="Q1307" s="1">
        <v>9</v>
      </c>
      <c r="R1307" s="1">
        <v>200010026860</v>
      </c>
      <c r="S1307" s="1">
        <v>50</v>
      </c>
      <c r="T1307" s="1">
        <v>1</v>
      </c>
      <c r="U1307" s="1">
        <v>1</v>
      </c>
      <c r="V1307">
        <f t="shared" si="20"/>
        <v>292</v>
      </c>
    </row>
    <row r="1308" spans="1:22" ht="13" x14ac:dyDescent="0.15">
      <c r="A1308" s="4">
        <v>44778</v>
      </c>
      <c r="B1308" s="5">
        <v>0.51748842592592592</v>
      </c>
      <c r="C1308" s="1">
        <v>1834</v>
      </c>
      <c r="D1308" s="1">
        <v>13002616</v>
      </c>
      <c r="E1308" s="1">
        <v>13</v>
      </c>
      <c r="F1308" s="1">
        <v>22589</v>
      </c>
      <c r="G1308" s="1" t="s">
        <v>21</v>
      </c>
      <c r="H1308" s="1">
        <v>18</v>
      </c>
      <c r="I1308" s="1">
        <v>7145</v>
      </c>
      <c r="J1308" s="1" t="s">
        <v>1129</v>
      </c>
      <c r="K1308" s="1" t="s">
        <v>45</v>
      </c>
      <c r="L1308" s="1" t="s">
        <v>1130</v>
      </c>
      <c r="M1308" s="1">
        <v>1</v>
      </c>
      <c r="N1308" s="2">
        <v>522.09</v>
      </c>
      <c r="O1308" s="3">
        <v>653</v>
      </c>
      <c r="P1308" s="1">
        <v>45</v>
      </c>
      <c r="Q1308" s="1">
        <v>9</v>
      </c>
      <c r="R1308" s="1">
        <v>200010001071</v>
      </c>
      <c r="S1308" s="1">
        <v>50</v>
      </c>
      <c r="T1308" s="1">
        <v>1</v>
      </c>
      <c r="U1308" s="1">
        <v>1</v>
      </c>
      <c r="V1308">
        <f t="shared" si="20"/>
        <v>653</v>
      </c>
    </row>
    <row r="1309" spans="1:22" ht="13" x14ac:dyDescent="0.15">
      <c r="A1309" s="4">
        <v>44778</v>
      </c>
      <c r="B1309" s="5">
        <v>0.52067129629629627</v>
      </c>
      <c r="C1309" s="1">
        <v>1835</v>
      </c>
      <c r="D1309" s="1">
        <v>13002616</v>
      </c>
      <c r="E1309" s="1">
        <v>13</v>
      </c>
      <c r="F1309" s="1">
        <v>22589</v>
      </c>
      <c r="G1309" s="1" t="s">
        <v>21</v>
      </c>
      <c r="H1309" s="1">
        <v>18</v>
      </c>
      <c r="I1309" s="1">
        <v>83109</v>
      </c>
      <c r="J1309" s="1" t="s">
        <v>1131</v>
      </c>
      <c r="K1309" s="1" t="s">
        <v>51</v>
      </c>
      <c r="L1309" s="1" t="s">
        <v>350</v>
      </c>
      <c r="M1309" s="1">
        <v>1</v>
      </c>
      <c r="N1309" s="2">
        <v>16.79</v>
      </c>
      <c r="O1309" s="3">
        <v>28</v>
      </c>
      <c r="P1309" s="1">
        <v>0</v>
      </c>
      <c r="Q1309" s="1" t="s">
        <v>25</v>
      </c>
      <c r="R1309" s="1" t="s">
        <v>25</v>
      </c>
      <c r="S1309" s="1">
        <v>50</v>
      </c>
      <c r="T1309" s="1">
        <v>1</v>
      </c>
      <c r="U1309" s="1">
        <v>1</v>
      </c>
      <c r="V1309">
        <f t="shared" si="20"/>
        <v>28</v>
      </c>
    </row>
    <row r="1310" spans="1:22" ht="13" x14ac:dyDescent="0.15">
      <c r="A1310" s="4">
        <v>44778</v>
      </c>
      <c r="B1310" s="5">
        <v>0.52201388888888889</v>
      </c>
      <c r="C1310" s="1">
        <v>1836</v>
      </c>
      <c r="D1310" s="1">
        <v>13002616</v>
      </c>
      <c r="E1310" s="1">
        <v>13</v>
      </c>
      <c r="F1310" s="1">
        <v>22589</v>
      </c>
      <c r="G1310" s="1" t="s">
        <v>21</v>
      </c>
      <c r="H1310" s="1">
        <v>15</v>
      </c>
      <c r="I1310" s="1">
        <v>945</v>
      </c>
      <c r="J1310" s="1" t="s">
        <v>288</v>
      </c>
      <c r="K1310" s="1" t="s">
        <v>51</v>
      </c>
      <c r="L1310" s="1" t="s">
        <v>197</v>
      </c>
      <c r="M1310" s="1">
        <v>1</v>
      </c>
      <c r="N1310" s="2">
        <v>88.23</v>
      </c>
      <c r="O1310" s="3">
        <v>126</v>
      </c>
      <c r="P1310" s="1">
        <v>8</v>
      </c>
      <c r="Q1310" s="1">
        <v>9</v>
      </c>
      <c r="R1310" s="1">
        <v>200010001180</v>
      </c>
      <c r="S1310" s="1">
        <v>50</v>
      </c>
      <c r="T1310" s="1">
        <v>1</v>
      </c>
      <c r="U1310" s="1">
        <v>1</v>
      </c>
      <c r="V1310">
        <f t="shared" si="20"/>
        <v>126</v>
      </c>
    </row>
    <row r="1311" spans="1:22" ht="13" x14ac:dyDescent="0.15">
      <c r="A1311" s="4">
        <v>44778</v>
      </c>
      <c r="B1311" s="5">
        <v>0.5245023148148148</v>
      </c>
      <c r="C1311" s="1">
        <v>1837</v>
      </c>
      <c r="D1311" s="1">
        <v>13002616</v>
      </c>
      <c r="E1311" s="1">
        <v>13</v>
      </c>
      <c r="F1311" s="1">
        <v>22589</v>
      </c>
      <c r="G1311" s="1" t="s">
        <v>21</v>
      </c>
      <c r="H1311" s="1">
        <v>18</v>
      </c>
      <c r="I1311" s="1">
        <v>290510</v>
      </c>
      <c r="J1311" s="1" t="s">
        <v>1132</v>
      </c>
      <c r="K1311" s="1" t="s">
        <v>23</v>
      </c>
      <c r="L1311" s="1" t="s">
        <v>487</v>
      </c>
      <c r="M1311" s="1">
        <v>1</v>
      </c>
      <c r="N1311" s="2">
        <v>203.95</v>
      </c>
      <c r="O1311" s="3">
        <v>276</v>
      </c>
      <c r="P1311" s="1">
        <v>19</v>
      </c>
      <c r="Q1311" s="1">
        <v>9</v>
      </c>
      <c r="R1311" s="1">
        <v>200010015470</v>
      </c>
      <c r="S1311" s="1">
        <v>50</v>
      </c>
      <c r="T1311" s="1">
        <v>1</v>
      </c>
      <c r="U1311" s="1">
        <v>3</v>
      </c>
      <c r="V1311">
        <f t="shared" si="20"/>
        <v>276</v>
      </c>
    </row>
    <row r="1312" spans="1:22" ht="13" x14ac:dyDescent="0.15">
      <c r="A1312" s="4">
        <v>44778</v>
      </c>
      <c r="B1312" s="5">
        <v>0.5245023148148148</v>
      </c>
      <c r="C1312" s="1">
        <v>1837</v>
      </c>
      <c r="D1312" s="1">
        <v>13002616</v>
      </c>
      <c r="E1312" s="1">
        <v>13</v>
      </c>
      <c r="F1312" s="1">
        <v>22589</v>
      </c>
      <c r="G1312" s="1" t="s">
        <v>21</v>
      </c>
      <c r="H1312" s="1">
        <v>18</v>
      </c>
      <c r="I1312" s="1">
        <v>3108</v>
      </c>
      <c r="J1312" s="1" t="s">
        <v>1133</v>
      </c>
      <c r="K1312" s="1" t="s">
        <v>29</v>
      </c>
      <c r="L1312" s="1" t="s">
        <v>1134</v>
      </c>
      <c r="M1312" s="1">
        <v>1</v>
      </c>
      <c r="N1312" s="2">
        <v>214.01</v>
      </c>
      <c r="O1312" s="3">
        <v>255</v>
      </c>
      <c r="P1312" s="1">
        <v>12</v>
      </c>
      <c r="Q1312" s="1">
        <v>9</v>
      </c>
      <c r="R1312" s="1">
        <v>200010015470</v>
      </c>
      <c r="S1312" s="1">
        <v>50</v>
      </c>
      <c r="T1312" s="1">
        <v>1</v>
      </c>
      <c r="U1312" s="1">
        <v>2</v>
      </c>
      <c r="V1312">
        <f t="shared" si="20"/>
        <v>255</v>
      </c>
    </row>
    <row r="1313" spans="1:22" ht="13" x14ac:dyDescent="0.15">
      <c r="A1313" s="4">
        <v>44778</v>
      </c>
      <c r="B1313" s="5">
        <v>0.5245023148148148</v>
      </c>
      <c r="C1313" s="1">
        <v>1837</v>
      </c>
      <c r="D1313" s="1">
        <v>13002616</v>
      </c>
      <c r="E1313" s="1">
        <v>13</v>
      </c>
      <c r="F1313" s="1">
        <v>22589</v>
      </c>
      <c r="G1313" s="1" t="s">
        <v>21</v>
      </c>
      <c r="H1313" s="1">
        <v>18</v>
      </c>
      <c r="I1313" s="1">
        <v>322</v>
      </c>
      <c r="J1313" s="1" t="s">
        <v>902</v>
      </c>
      <c r="K1313" s="1" t="s">
        <v>117</v>
      </c>
      <c r="L1313" s="1" t="s">
        <v>1135</v>
      </c>
      <c r="M1313" s="1">
        <v>1</v>
      </c>
      <c r="N1313" s="2">
        <v>322.52999999999997</v>
      </c>
      <c r="O1313" s="3">
        <v>426</v>
      </c>
      <c r="P1313" s="1">
        <v>29</v>
      </c>
      <c r="Q1313" s="1">
        <v>9</v>
      </c>
      <c r="R1313" s="1">
        <v>200010015470</v>
      </c>
      <c r="S1313" s="1">
        <v>50</v>
      </c>
      <c r="T1313" s="1">
        <v>1</v>
      </c>
      <c r="U1313" s="1">
        <v>1</v>
      </c>
      <c r="V1313">
        <f t="shared" si="20"/>
        <v>426</v>
      </c>
    </row>
    <row r="1314" spans="1:22" ht="13" x14ac:dyDescent="0.15">
      <c r="A1314" s="4">
        <v>44778</v>
      </c>
      <c r="B1314" s="5">
        <v>0.52940972222222227</v>
      </c>
      <c r="C1314" s="1">
        <v>1838</v>
      </c>
      <c r="D1314" s="1">
        <v>13002616</v>
      </c>
      <c r="E1314" s="1">
        <v>13</v>
      </c>
      <c r="F1314" s="1">
        <v>22589</v>
      </c>
      <c r="G1314" s="1" t="s">
        <v>21</v>
      </c>
      <c r="H1314" s="1">
        <v>18</v>
      </c>
      <c r="I1314" s="1">
        <v>348186</v>
      </c>
      <c r="J1314" s="1" t="s">
        <v>419</v>
      </c>
      <c r="K1314" s="1" t="s">
        <v>141</v>
      </c>
      <c r="L1314" s="1" t="s">
        <v>173</v>
      </c>
      <c r="M1314" s="1">
        <v>2</v>
      </c>
      <c r="N1314" s="2">
        <v>5.83</v>
      </c>
      <c r="O1314" s="3">
        <v>8</v>
      </c>
      <c r="P1314" s="1">
        <v>0</v>
      </c>
      <c r="Q1314" s="1" t="s">
        <v>25</v>
      </c>
      <c r="R1314" s="1" t="s">
        <v>25</v>
      </c>
      <c r="S1314" s="1">
        <v>50</v>
      </c>
      <c r="T1314" s="1">
        <v>1</v>
      </c>
      <c r="U1314" s="1">
        <v>1</v>
      </c>
      <c r="V1314">
        <f t="shared" si="20"/>
        <v>16</v>
      </c>
    </row>
    <row r="1315" spans="1:22" ht="13" x14ac:dyDescent="0.15">
      <c r="A1315" s="4">
        <v>44778</v>
      </c>
      <c r="B1315" s="5">
        <v>0.61406249999999996</v>
      </c>
      <c r="C1315" s="1">
        <v>1859</v>
      </c>
      <c r="D1315" s="1">
        <v>13002616</v>
      </c>
      <c r="E1315" s="1">
        <v>13</v>
      </c>
      <c r="F1315" s="1">
        <v>22589</v>
      </c>
      <c r="G1315" s="1" t="s">
        <v>21</v>
      </c>
      <c r="H1315" s="1">
        <v>15</v>
      </c>
      <c r="I1315" s="1">
        <v>348186</v>
      </c>
      <c r="J1315" s="1" t="s">
        <v>419</v>
      </c>
      <c r="K1315" s="1" t="s">
        <v>141</v>
      </c>
      <c r="L1315" s="1" t="s">
        <v>173</v>
      </c>
      <c r="M1315" s="1">
        <v>12</v>
      </c>
      <c r="N1315" s="2">
        <v>5.83</v>
      </c>
      <c r="O1315" s="3">
        <v>8</v>
      </c>
      <c r="P1315" s="1">
        <v>0</v>
      </c>
      <c r="Q1315" s="1" t="s">
        <v>25</v>
      </c>
      <c r="R1315" s="1" t="s">
        <v>25</v>
      </c>
      <c r="S1315" s="1">
        <v>50</v>
      </c>
      <c r="T1315" s="1">
        <v>1</v>
      </c>
      <c r="U1315" s="1">
        <v>1</v>
      </c>
      <c r="V1315">
        <f t="shared" si="20"/>
        <v>96</v>
      </c>
    </row>
    <row r="1316" spans="1:22" ht="13" x14ac:dyDescent="0.15">
      <c r="A1316" s="4">
        <v>44778</v>
      </c>
      <c r="B1316" s="5">
        <v>0.53001157407407407</v>
      </c>
      <c r="C1316" s="1">
        <v>1839</v>
      </c>
      <c r="D1316" s="1">
        <v>13002616</v>
      </c>
      <c r="E1316" s="1">
        <v>13</v>
      </c>
      <c r="F1316" s="1">
        <v>22589</v>
      </c>
      <c r="G1316" s="1" t="s">
        <v>21</v>
      </c>
      <c r="H1316" s="1">
        <v>18</v>
      </c>
      <c r="I1316" s="1">
        <v>55807</v>
      </c>
      <c r="J1316" s="1" t="s">
        <v>1136</v>
      </c>
      <c r="K1316" s="1" t="s">
        <v>23</v>
      </c>
      <c r="L1316" s="1" t="s">
        <v>825</v>
      </c>
      <c r="M1316" s="1">
        <v>1</v>
      </c>
      <c r="N1316" s="2">
        <v>259.39999999999998</v>
      </c>
      <c r="O1316" s="3">
        <v>351</v>
      </c>
      <c r="P1316" s="1">
        <v>0</v>
      </c>
      <c r="Q1316" s="1" t="s">
        <v>25</v>
      </c>
      <c r="R1316" s="1" t="s">
        <v>25</v>
      </c>
      <c r="S1316" s="1">
        <v>50</v>
      </c>
      <c r="T1316" s="1">
        <v>1</v>
      </c>
      <c r="U1316" s="1">
        <v>1</v>
      </c>
      <c r="V1316">
        <f t="shared" si="20"/>
        <v>351</v>
      </c>
    </row>
    <row r="1317" spans="1:22" ht="13" x14ac:dyDescent="0.15">
      <c r="A1317" s="4">
        <v>44778</v>
      </c>
      <c r="B1317" s="5">
        <v>0.53322916666666664</v>
      </c>
      <c r="C1317" s="1">
        <v>1840</v>
      </c>
      <c r="D1317" s="1">
        <v>13002616</v>
      </c>
      <c r="E1317" s="1">
        <v>13</v>
      </c>
      <c r="F1317" s="1">
        <v>22589</v>
      </c>
      <c r="G1317" s="1" t="s">
        <v>21</v>
      </c>
      <c r="H1317" s="1">
        <v>15</v>
      </c>
      <c r="I1317" s="1">
        <v>401611</v>
      </c>
      <c r="J1317" s="1" t="s">
        <v>1137</v>
      </c>
      <c r="K1317" s="1" t="s">
        <v>23</v>
      </c>
      <c r="L1317" s="1" t="s">
        <v>1138</v>
      </c>
      <c r="M1317" s="1">
        <v>1</v>
      </c>
      <c r="N1317" s="2">
        <v>199.14</v>
      </c>
      <c r="O1317" s="3">
        <v>240</v>
      </c>
      <c r="P1317" s="1">
        <v>12</v>
      </c>
      <c r="Q1317" s="1">
        <v>9</v>
      </c>
      <c r="R1317" s="1">
        <v>200010009864</v>
      </c>
      <c r="S1317" s="1">
        <v>50</v>
      </c>
      <c r="T1317" s="1">
        <v>1</v>
      </c>
      <c r="U1317" s="1">
        <v>1</v>
      </c>
      <c r="V1317">
        <f t="shared" si="20"/>
        <v>240</v>
      </c>
    </row>
    <row r="1318" spans="1:22" ht="13" x14ac:dyDescent="0.15">
      <c r="A1318" s="4">
        <v>44778</v>
      </c>
      <c r="B1318" s="5">
        <v>0.53781250000000003</v>
      </c>
      <c r="C1318" s="1">
        <v>1841</v>
      </c>
      <c r="D1318" s="1">
        <v>13002616</v>
      </c>
      <c r="E1318" s="1">
        <v>13</v>
      </c>
      <c r="F1318" s="1">
        <v>22589</v>
      </c>
      <c r="G1318" s="1" t="s">
        <v>21</v>
      </c>
      <c r="H1318" s="1">
        <v>18</v>
      </c>
      <c r="I1318" s="1">
        <v>435523</v>
      </c>
      <c r="J1318" s="1" t="s">
        <v>172</v>
      </c>
      <c r="K1318" s="1" t="s">
        <v>141</v>
      </c>
      <c r="L1318" s="1" t="s">
        <v>173</v>
      </c>
      <c r="M1318" s="1">
        <v>1</v>
      </c>
      <c r="N1318" s="2">
        <v>27.94</v>
      </c>
      <c r="O1318" s="3">
        <v>43</v>
      </c>
      <c r="P1318" s="1">
        <v>0</v>
      </c>
      <c r="Q1318" s="1" t="s">
        <v>25</v>
      </c>
      <c r="R1318" s="1" t="s">
        <v>25</v>
      </c>
      <c r="S1318" s="1">
        <v>50</v>
      </c>
      <c r="T1318" s="1">
        <v>1</v>
      </c>
      <c r="U1318" s="1">
        <v>3</v>
      </c>
      <c r="V1318">
        <f t="shared" si="20"/>
        <v>43</v>
      </c>
    </row>
    <row r="1319" spans="1:22" ht="13" x14ac:dyDescent="0.15">
      <c r="A1319" s="4">
        <v>44778</v>
      </c>
      <c r="B1319" s="5">
        <v>0.65141203703703698</v>
      </c>
      <c r="C1319" s="1">
        <v>1867</v>
      </c>
      <c r="D1319" s="1">
        <v>13002616</v>
      </c>
      <c r="E1319" s="1">
        <v>13</v>
      </c>
      <c r="F1319" s="1">
        <v>22589</v>
      </c>
      <c r="G1319" s="1" t="s">
        <v>21</v>
      </c>
      <c r="H1319" s="1">
        <v>15</v>
      </c>
      <c r="I1319" s="1">
        <v>435523</v>
      </c>
      <c r="J1319" s="1" t="s">
        <v>172</v>
      </c>
      <c r="K1319" s="1" t="s">
        <v>141</v>
      </c>
      <c r="L1319" s="1" t="s">
        <v>173</v>
      </c>
      <c r="M1319" s="1">
        <v>1</v>
      </c>
      <c r="N1319" s="2">
        <v>27.94</v>
      </c>
      <c r="O1319" s="3">
        <v>43</v>
      </c>
      <c r="P1319" s="1">
        <v>3</v>
      </c>
      <c r="Q1319" s="1">
        <v>9</v>
      </c>
      <c r="R1319" s="1">
        <v>200010014429</v>
      </c>
      <c r="S1319" s="1">
        <v>50</v>
      </c>
      <c r="T1319" s="1">
        <v>1</v>
      </c>
      <c r="U1319" s="1">
        <v>2</v>
      </c>
      <c r="V1319">
        <f t="shared" si="20"/>
        <v>43</v>
      </c>
    </row>
    <row r="1320" spans="1:22" ht="13" x14ac:dyDescent="0.15">
      <c r="A1320" s="4">
        <v>44778</v>
      </c>
      <c r="B1320" s="5">
        <v>0.65141203703703698</v>
      </c>
      <c r="C1320" s="1">
        <v>1867</v>
      </c>
      <c r="D1320" s="1">
        <v>13002616</v>
      </c>
      <c r="E1320" s="1">
        <v>13</v>
      </c>
      <c r="F1320" s="1">
        <v>22589</v>
      </c>
      <c r="G1320" s="1" t="s">
        <v>21</v>
      </c>
      <c r="H1320" s="1">
        <v>15</v>
      </c>
      <c r="I1320" s="1">
        <v>435523</v>
      </c>
      <c r="J1320" s="1" t="s">
        <v>172</v>
      </c>
      <c r="K1320" s="1" t="s">
        <v>141</v>
      </c>
      <c r="L1320" s="1" t="s">
        <v>173</v>
      </c>
      <c r="M1320" s="1">
        <v>1</v>
      </c>
      <c r="N1320" s="2">
        <v>27.94</v>
      </c>
      <c r="O1320" s="3">
        <v>43</v>
      </c>
      <c r="P1320" s="1">
        <v>3</v>
      </c>
      <c r="Q1320" s="1">
        <v>9</v>
      </c>
      <c r="R1320" s="1">
        <v>200010014429</v>
      </c>
      <c r="S1320" s="1">
        <v>50</v>
      </c>
      <c r="T1320" s="1">
        <v>1</v>
      </c>
      <c r="U1320" s="1">
        <v>3</v>
      </c>
      <c r="V1320">
        <f t="shared" si="20"/>
        <v>43</v>
      </c>
    </row>
    <row r="1321" spans="1:22" ht="13" x14ac:dyDescent="0.15">
      <c r="A1321" s="4">
        <v>44778</v>
      </c>
      <c r="B1321" s="5">
        <v>0.53781250000000003</v>
      </c>
      <c r="C1321" s="1">
        <v>1841</v>
      </c>
      <c r="D1321" s="1">
        <v>13002616</v>
      </c>
      <c r="E1321" s="1">
        <v>13</v>
      </c>
      <c r="F1321" s="1">
        <v>22589</v>
      </c>
      <c r="G1321" s="1" t="s">
        <v>21</v>
      </c>
      <c r="H1321" s="1">
        <v>18</v>
      </c>
      <c r="I1321" s="1">
        <v>389093</v>
      </c>
      <c r="J1321" s="1" t="s">
        <v>1139</v>
      </c>
      <c r="K1321" s="1" t="s">
        <v>51</v>
      </c>
      <c r="L1321" s="1" t="s">
        <v>453</v>
      </c>
      <c r="M1321" s="1">
        <v>1</v>
      </c>
      <c r="N1321" s="2">
        <v>31.84</v>
      </c>
      <c r="O1321" s="3">
        <v>49</v>
      </c>
      <c r="P1321" s="1">
        <v>0</v>
      </c>
      <c r="Q1321" s="1" t="s">
        <v>25</v>
      </c>
      <c r="R1321" s="1" t="s">
        <v>25</v>
      </c>
      <c r="S1321" s="1">
        <v>50</v>
      </c>
      <c r="T1321" s="1">
        <v>1</v>
      </c>
      <c r="U1321" s="1">
        <v>2</v>
      </c>
      <c r="V1321">
        <f t="shared" si="20"/>
        <v>49</v>
      </c>
    </row>
    <row r="1322" spans="1:22" ht="13" x14ac:dyDescent="0.15">
      <c r="A1322" s="4">
        <v>44778</v>
      </c>
      <c r="B1322" s="5">
        <v>0.53781250000000003</v>
      </c>
      <c r="C1322" s="1">
        <v>1841</v>
      </c>
      <c r="D1322" s="1">
        <v>13002616</v>
      </c>
      <c r="E1322" s="1">
        <v>13</v>
      </c>
      <c r="F1322" s="1">
        <v>22589</v>
      </c>
      <c r="G1322" s="1" t="s">
        <v>21</v>
      </c>
      <c r="H1322" s="1">
        <v>18</v>
      </c>
      <c r="I1322" s="1">
        <v>15084</v>
      </c>
      <c r="J1322" s="1" t="s">
        <v>1140</v>
      </c>
      <c r="K1322" s="1" t="s">
        <v>23</v>
      </c>
      <c r="L1322" s="1" t="s">
        <v>303</v>
      </c>
      <c r="M1322" s="1">
        <v>1</v>
      </c>
      <c r="N1322" s="2">
        <v>113</v>
      </c>
      <c r="O1322" s="3">
        <v>155</v>
      </c>
      <c r="P1322" s="1">
        <v>0</v>
      </c>
      <c r="Q1322" s="1" t="s">
        <v>25</v>
      </c>
      <c r="R1322" s="1" t="s">
        <v>25</v>
      </c>
      <c r="S1322" s="1">
        <v>50</v>
      </c>
      <c r="T1322" s="1">
        <v>1</v>
      </c>
      <c r="U1322" s="1">
        <v>4</v>
      </c>
      <c r="V1322">
        <f t="shared" si="20"/>
        <v>155</v>
      </c>
    </row>
    <row r="1323" spans="1:22" ht="13" x14ac:dyDescent="0.15">
      <c r="A1323" s="4">
        <v>44778</v>
      </c>
      <c r="B1323" s="5">
        <v>0.53781250000000003</v>
      </c>
      <c r="C1323" s="1">
        <v>1841</v>
      </c>
      <c r="D1323" s="1">
        <v>13002616</v>
      </c>
      <c r="E1323" s="1">
        <v>13</v>
      </c>
      <c r="F1323" s="1">
        <v>22589</v>
      </c>
      <c r="G1323" s="1" t="s">
        <v>21</v>
      </c>
      <c r="H1323" s="1">
        <v>18</v>
      </c>
      <c r="I1323" s="1">
        <v>606425</v>
      </c>
      <c r="J1323" s="1" t="s">
        <v>1141</v>
      </c>
      <c r="K1323" s="1" t="s">
        <v>64</v>
      </c>
      <c r="L1323" s="1" t="s">
        <v>97</v>
      </c>
      <c r="M1323" s="1">
        <v>1</v>
      </c>
      <c r="N1323" s="2">
        <v>31.92</v>
      </c>
      <c r="O1323" s="3">
        <v>52</v>
      </c>
      <c r="P1323" s="1">
        <v>0</v>
      </c>
      <c r="Q1323" s="1" t="s">
        <v>25</v>
      </c>
      <c r="R1323" s="1" t="s">
        <v>25</v>
      </c>
      <c r="S1323" s="1">
        <v>50</v>
      </c>
      <c r="T1323" s="1">
        <v>1</v>
      </c>
      <c r="U1323" s="1">
        <v>1</v>
      </c>
      <c r="V1323">
        <f t="shared" si="20"/>
        <v>52</v>
      </c>
    </row>
    <row r="1324" spans="1:22" ht="13" x14ac:dyDescent="0.15">
      <c r="A1324" s="4">
        <v>44778</v>
      </c>
      <c r="B1324" s="5">
        <v>0.53781250000000003</v>
      </c>
      <c r="C1324" s="1">
        <v>1841</v>
      </c>
      <c r="D1324" s="1">
        <v>13002616</v>
      </c>
      <c r="E1324" s="1">
        <v>13</v>
      </c>
      <c r="F1324" s="1">
        <v>22589</v>
      </c>
      <c r="G1324" s="1" t="s">
        <v>21</v>
      </c>
      <c r="H1324" s="1">
        <v>18</v>
      </c>
      <c r="I1324" s="1">
        <v>190687</v>
      </c>
      <c r="J1324" s="1" t="s">
        <v>1142</v>
      </c>
      <c r="K1324" s="1" t="s">
        <v>51</v>
      </c>
      <c r="L1324" s="1" t="s">
        <v>248</v>
      </c>
      <c r="M1324" s="1">
        <v>1</v>
      </c>
      <c r="N1324" s="2">
        <v>82.51</v>
      </c>
      <c r="O1324" s="3">
        <v>103</v>
      </c>
      <c r="P1324" s="1">
        <v>0</v>
      </c>
      <c r="Q1324" s="1" t="s">
        <v>25</v>
      </c>
      <c r="R1324" s="1" t="s">
        <v>25</v>
      </c>
      <c r="S1324" s="1">
        <v>50</v>
      </c>
      <c r="T1324" s="1">
        <v>1</v>
      </c>
      <c r="U1324" s="1">
        <v>5</v>
      </c>
      <c r="V1324">
        <f t="shared" si="20"/>
        <v>103</v>
      </c>
    </row>
    <row r="1325" spans="1:22" ht="13" x14ac:dyDescent="0.15">
      <c r="A1325" s="4">
        <v>44778</v>
      </c>
      <c r="B1325" s="5">
        <v>0.53781250000000003</v>
      </c>
      <c r="C1325" s="1">
        <v>1841</v>
      </c>
      <c r="D1325" s="1">
        <v>13002616</v>
      </c>
      <c r="E1325" s="1">
        <v>13</v>
      </c>
      <c r="F1325" s="1">
        <v>22589</v>
      </c>
      <c r="G1325" s="1" t="s">
        <v>21</v>
      </c>
      <c r="H1325" s="1">
        <v>18</v>
      </c>
      <c r="I1325" s="1">
        <v>339843</v>
      </c>
      <c r="J1325" s="1" t="s">
        <v>251</v>
      </c>
      <c r="K1325" s="1" t="s">
        <v>252</v>
      </c>
      <c r="L1325" s="1" t="s">
        <v>253</v>
      </c>
      <c r="M1325" s="1">
        <v>1</v>
      </c>
      <c r="N1325" s="2">
        <v>140.97</v>
      </c>
      <c r="O1325" s="3">
        <v>219</v>
      </c>
      <c r="P1325" s="1">
        <v>21</v>
      </c>
      <c r="Q1325" s="1">
        <v>30</v>
      </c>
      <c r="R1325" s="1">
        <v>200000000024</v>
      </c>
      <c r="S1325" s="1">
        <v>50</v>
      </c>
      <c r="T1325" s="1">
        <v>1</v>
      </c>
      <c r="U1325" s="1">
        <v>6</v>
      </c>
      <c r="V1325">
        <f t="shared" si="20"/>
        <v>219</v>
      </c>
    </row>
    <row r="1326" spans="1:22" ht="13" x14ac:dyDescent="0.15">
      <c r="A1326" s="4">
        <v>44778</v>
      </c>
      <c r="B1326" s="5">
        <v>0.54952546296296301</v>
      </c>
      <c r="C1326" s="1">
        <v>1842</v>
      </c>
      <c r="D1326" s="1">
        <v>13002616</v>
      </c>
      <c r="E1326" s="1">
        <v>13</v>
      </c>
      <c r="F1326" s="1">
        <v>22589</v>
      </c>
      <c r="G1326" s="1" t="s">
        <v>21</v>
      </c>
      <c r="H1326" s="1">
        <v>15</v>
      </c>
      <c r="I1326" s="1">
        <v>434796</v>
      </c>
      <c r="J1326" s="1" t="s">
        <v>1143</v>
      </c>
      <c r="K1326" s="1" t="s">
        <v>141</v>
      </c>
      <c r="L1326" s="1" t="s">
        <v>1144</v>
      </c>
      <c r="M1326" s="1">
        <v>1</v>
      </c>
      <c r="N1326" s="2">
        <v>85.03</v>
      </c>
      <c r="O1326" s="3">
        <v>121</v>
      </c>
      <c r="P1326" s="1">
        <v>8.34</v>
      </c>
      <c r="Q1326" s="1">
        <v>9</v>
      </c>
      <c r="R1326" s="1">
        <v>200010006086</v>
      </c>
      <c r="S1326" s="1">
        <v>50</v>
      </c>
      <c r="T1326" s="1">
        <v>1</v>
      </c>
      <c r="U1326" s="1">
        <v>2</v>
      </c>
      <c r="V1326">
        <f t="shared" si="20"/>
        <v>121</v>
      </c>
    </row>
    <row r="1327" spans="1:22" ht="13" x14ac:dyDescent="0.15">
      <c r="A1327" s="4">
        <v>44778</v>
      </c>
      <c r="B1327" s="5">
        <v>0.54952546296296301</v>
      </c>
      <c r="C1327" s="1">
        <v>1842</v>
      </c>
      <c r="D1327" s="1">
        <v>13002616</v>
      </c>
      <c r="E1327" s="1">
        <v>13</v>
      </c>
      <c r="F1327" s="1">
        <v>22589</v>
      </c>
      <c r="G1327" s="1" t="s">
        <v>21</v>
      </c>
      <c r="H1327" s="1">
        <v>15</v>
      </c>
      <c r="I1327" s="1">
        <v>434796</v>
      </c>
      <c r="J1327" s="1" t="s">
        <v>1143</v>
      </c>
      <c r="K1327" s="1" t="s">
        <v>141</v>
      </c>
      <c r="L1327" s="1" t="s">
        <v>1144</v>
      </c>
      <c r="M1327" s="1">
        <v>2</v>
      </c>
      <c r="N1327" s="2">
        <v>85.03</v>
      </c>
      <c r="O1327" s="3">
        <v>121</v>
      </c>
      <c r="P1327" s="1">
        <v>16.66</v>
      </c>
      <c r="Q1327" s="1">
        <v>9</v>
      </c>
      <c r="R1327" s="1">
        <v>200010006086</v>
      </c>
      <c r="S1327" s="1">
        <v>50</v>
      </c>
      <c r="T1327" s="1">
        <v>1</v>
      </c>
      <c r="U1327" s="1">
        <v>3</v>
      </c>
      <c r="V1327">
        <f t="shared" si="20"/>
        <v>242</v>
      </c>
    </row>
    <row r="1328" spans="1:22" ht="13" x14ac:dyDescent="0.15">
      <c r="A1328" s="4">
        <v>44778</v>
      </c>
      <c r="B1328" s="5">
        <v>0.54952546296296301</v>
      </c>
      <c r="C1328" s="1">
        <v>1842</v>
      </c>
      <c r="D1328" s="1">
        <v>13002616</v>
      </c>
      <c r="E1328" s="1">
        <v>13</v>
      </c>
      <c r="F1328" s="1">
        <v>22589</v>
      </c>
      <c r="G1328" s="1" t="s">
        <v>21</v>
      </c>
      <c r="H1328" s="1">
        <v>15</v>
      </c>
      <c r="I1328" s="1">
        <v>434796</v>
      </c>
      <c r="J1328" s="1" t="s">
        <v>1143</v>
      </c>
      <c r="K1328" s="1" t="s">
        <v>64</v>
      </c>
      <c r="L1328" s="1" t="s">
        <v>1145</v>
      </c>
      <c r="M1328" s="1">
        <v>10</v>
      </c>
      <c r="N1328" s="2">
        <v>91.63</v>
      </c>
      <c r="O1328" s="3">
        <v>131</v>
      </c>
      <c r="P1328" s="1">
        <v>91</v>
      </c>
      <c r="Q1328" s="1">
        <v>9</v>
      </c>
      <c r="R1328" s="1">
        <v>200010006086</v>
      </c>
      <c r="S1328" s="1">
        <v>50</v>
      </c>
      <c r="T1328" s="1">
        <v>1</v>
      </c>
      <c r="U1328" s="1">
        <v>4</v>
      </c>
      <c r="V1328">
        <f t="shared" si="20"/>
        <v>1310</v>
      </c>
    </row>
    <row r="1329" spans="1:22" ht="13" x14ac:dyDescent="0.15">
      <c r="A1329" s="4">
        <v>44778</v>
      </c>
      <c r="B1329" s="5">
        <v>0.54952546296296301</v>
      </c>
      <c r="C1329" s="1">
        <v>1842</v>
      </c>
      <c r="D1329" s="1">
        <v>13002616</v>
      </c>
      <c r="E1329" s="1">
        <v>13</v>
      </c>
      <c r="F1329" s="1">
        <v>22589</v>
      </c>
      <c r="G1329" s="1" t="s">
        <v>21</v>
      </c>
      <c r="H1329" s="1">
        <v>15</v>
      </c>
      <c r="I1329" s="1">
        <v>364619</v>
      </c>
      <c r="J1329" s="1" t="s">
        <v>803</v>
      </c>
      <c r="K1329" s="1" t="s">
        <v>51</v>
      </c>
      <c r="L1329" s="1" t="s">
        <v>668</v>
      </c>
      <c r="M1329" s="1">
        <v>0.01</v>
      </c>
      <c r="N1329" s="2">
        <v>645.79</v>
      </c>
      <c r="O1329" s="3">
        <v>918</v>
      </c>
      <c r="P1329" s="1">
        <v>0.18</v>
      </c>
      <c r="Q1329" s="1">
        <v>9</v>
      </c>
      <c r="R1329" s="1">
        <v>200010006086</v>
      </c>
      <c r="S1329" s="1">
        <v>50</v>
      </c>
      <c r="T1329" s="1">
        <v>1</v>
      </c>
      <c r="U1329" s="1">
        <v>5</v>
      </c>
      <c r="V1329">
        <f t="shared" si="20"/>
        <v>9.18</v>
      </c>
    </row>
    <row r="1330" spans="1:22" ht="13" x14ac:dyDescent="0.15">
      <c r="A1330" s="4">
        <v>44778</v>
      </c>
      <c r="B1330" s="5">
        <v>0.54952546296296301</v>
      </c>
      <c r="C1330" s="1">
        <v>1842</v>
      </c>
      <c r="D1330" s="1">
        <v>13002616</v>
      </c>
      <c r="E1330" s="1">
        <v>13</v>
      </c>
      <c r="F1330" s="1">
        <v>22589</v>
      </c>
      <c r="G1330" s="1" t="s">
        <v>21</v>
      </c>
      <c r="H1330" s="1">
        <v>15</v>
      </c>
      <c r="I1330" s="1">
        <v>82886</v>
      </c>
      <c r="J1330" s="1" t="s">
        <v>1146</v>
      </c>
      <c r="K1330" s="1" t="s">
        <v>29</v>
      </c>
      <c r="L1330" s="1" t="s">
        <v>118</v>
      </c>
      <c r="M1330" s="1">
        <v>1</v>
      </c>
      <c r="N1330" s="2">
        <v>95.76</v>
      </c>
      <c r="O1330" s="3">
        <v>136</v>
      </c>
      <c r="P1330" s="1">
        <v>9</v>
      </c>
      <c r="Q1330" s="1">
        <v>9</v>
      </c>
      <c r="R1330" s="1">
        <v>200010006086</v>
      </c>
      <c r="S1330" s="1">
        <v>50</v>
      </c>
      <c r="T1330" s="1">
        <v>1</v>
      </c>
      <c r="U1330" s="1">
        <v>1</v>
      </c>
      <c r="V1330">
        <f t="shared" si="20"/>
        <v>136</v>
      </c>
    </row>
    <row r="1331" spans="1:22" ht="13" x14ac:dyDescent="0.15">
      <c r="A1331" s="4">
        <v>44778</v>
      </c>
      <c r="B1331" s="5">
        <v>0.55024305555555553</v>
      </c>
      <c r="C1331" s="1">
        <v>1843</v>
      </c>
      <c r="D1331" s="1">
        <v>13002616</v>
      </c>
      <c r="E1331" s="1">
        <v>13</v>
      </c>
      <c r="F1331" s="1">
        <v>22589</v>
      </c>
      <c r="G1331" s="1" t="s">
        <v>21</v>
      </c>
      <c r="H1331" s="1">
        <v>15</v>
      </c>
      <c r="I1331" s="1">
        <v>261581</v>
      </c>
      <c r="J1331" s="1" t="s">
        <v>1147</v>
      </c>
      <c r="K1331" s="1" t="s">
        <v>29</v>
      </c>
      <c r="L1331" s="1" t="s">
        <v>750</v>
      </c>
      <c r="M1331" s="1">
        <v>1</v>
      </c>
      <c r="N1331" s="2">
        <v>337.07</v>
      </c>
      <c r="O1331" s="3">
        <v>445</v>
      </c>
      <c r="P1331" s="1">
        <v>0</v>
      </c>
      <c r="Q1331" s="1" t="s">
        <v>25</v>
      </c>
      <c r="R1331" s="1" t="s">
        <v>25</v>
      </c>
      <c r="S1331" s="1">
        <v>50</v>
      </c>
      <c r="T1331" s="1">
        <v>1</v>
      </c>
      <c r="U1331" s="1">
        <v>1</v>
      </c>
      <c r="V1331">
        <f t="shared" si="20"/>
        <v>445</v>
      </c>
    </row>
    <row r="1332" spans="1:22" ht="13" x14ac:dyDescent="0.15">
      <c r="A1332" s="4">
        <v>44778</v>
      </c>
      <c r="B1332" s="5">
        <v>0.5577199074074074</v>
      </c>
      <c r="C1332" s="1">
        <v>1844</v>
      </c>
      <c r="D1332" s="1">
        <v>13002616</v>
      </c>
      <c r="E1332" s="1">
        <v>13</v>
      </c>
      <c r="F1332" s="1">
        <v>22589</v>
      </c>
      <c r="G1332" s="1" t="s">
        <v>21</v>
      </c>
      <c r="H1332" s="1">
        <v>18</v>
      </c>
      <c r="I1332" s="1">
        <v>318375</v>
      </c>
      <c r="J1332" s="1" t="s">
        <v>1148</v>
      </c>
      <c r="K1332" s="1" t="s">
        <v>51</v>
      </c>
      <c r="L1332" s="1" t="s">
        <v>112</v>
      </c>
      <c r="M1332" s="1">
        <v>1</v>
      </c>
      <c r="N1332" s="2">
        <v>326.39</v>
      </c>
      <c r="O1332" s="3">
        <v>431</v>
      </c>
      <c r="P1332" s="1">
        <v>0</v>
      </c>
      <c r="Q1332" s="1" t="s">
        <v>25</v>
      </c>
      <c r="R1332" s="1" t="s">
        <v>25</v>
      </c>
      <c r="S1332" s="1">
        <v>50</v>
      </c>
      <c r="T1332" s="1">
        <v>1</v>
      </c>
      <c r="U1332" s="1">
        <v>5</v>
      </c>
      <c r="V1332">
        <f t="shared" si="20"/>
        <v>431</v>
      </c>
    </row>
    <row r="1333" spans="1:22" ht="13" x14ac:dyDescent="0.15">
      <c r="A1333" s="4">
        <v>44778</v>
      </c>
      <c r="B1333" s="5">
        <v>0.5577199074074074</v>
      </c>
      <c r="C1333" s="1">
        <v>1844</v>
      </c>
      <c r="D1333" s="1">
        <v>13002616</v>
      </c>
      <c r="E1333" s="1">
        <v>13</v>
      </c>
      <c r="F1333" s="1">
        <v>22589</v>
      </c>
      <c r="G1333" s="1" t="s">
        <v>21</v>
      </c>
      <c r="H1333" s="1">
        <v>18</v>
      </c>
      <c r="I1333" s="1">
        <v>20840</v>
      </c>
      <c r="J1333" s="1" t="s">
        <v>232</v>
      </c>
      <c r="K1333" s="1" t="s">
        <v>23</v>
      </c>
      <c r="L1333" s="1" t="s">
        <v>233</v>
      </c>
      <c r="M1333" s="1">
        <v>1</v>
      </c>
      <c r="N1333" s="2">
        <v>126.92</v>
      </c>
      <c r="O1333" s="3">
        <v>153</v>
      </c>
      <c r="P1333" s="1">
        <v>0</v>
      </c>
      <c r="Q1333" s="1" t="s">
        <v>25</v>
      </c>
      <c r="R1333" s="1" t="s">
        <v>25</v>
      </c>
      <c r="S1333" s="1">
        <v>50</v>
      </c>
      <c r="T1333" s="1">
        <v>1</v>
      </c>
      <c r="U1333" s="1">
        <v>8</v>
      </c>
      <c r="V1333">
        <f t="shared" si="20"/>
        <v>153</v>
      </c>
    </row>
    <row r="1334" spans="1:22" ht="13" x14ac:dyDescent="0.15">
      <c r="A1334" s="4">
        <v>44778</v>
      </c>
      <c r="B1334" s="5">
        <v>0.5577199074074074</v>
      </c>
      <c r="C1334" s="1">
        <v>1844</v>
      </c>
      <c r="D1334" s="1">
        <v>13002616</v>
      </c>
      <c r="E1334" s="1">
        <v>13</v>
      </c>
      <c r="F1334" s="1">
        <v>22589</v>
      </c>
      <c r="G1334" s="1" t="s">
        <v>21</v>
      </c>
      <c r="H1334" s="1">
        <v>18</v>
      </c>
      <c r="I1334" s="1">
        <v>172615</v>
      </c>
      <c r="J1334" s="1" t="s">
        <v>1149</v>
      </c>
      <c r="K1334" s="1" t="s">
        <v>51</v>
      </c>
      <c r="L1334" s="1" t="s">
        <v>76</v>
      </c>
      <c r="M1334" s="1">
        <v>1</v>
      </c>
      <c r="N1334" s="2">
        <v>174.59</v>
      </c>
      <c r="O1334" s="3">
        <v>240</v>
      </c>
      <c r="P1334" s="1">
        <v>0</v>
      </c>
      <c r="Q1334" s="1" t="s">
        <v>25</v>
      </c>
      <c r="R1334" s="1" t="s">
        <v>25</v>
      </c>
      <c r="S1334" s="1">
        <v>50</v>
      </c>
      <c r="T1334" s="1">
        <v>1</v>
      </c>
      <c r="U1334" s="1">
        <v>4</v>
      </c>
      <c r="V1334">
        <f t="shared" si="20"/>
        <v>240</v>
      </c>
    </row>
    <row r="1335" spans="1:22" ht="13" x14ac:dyDescent="0.15">
      <c r="A1335" s="4">
        <v>44778</v>
      </c>
      <c r="B1335" s="5">
        <v>0.5577199074074074</v>
      </c>
      <c r="C1335" s="1">
        <v>1844</v>
      </c>
      <c r="D1335" s="1">
        <v>13002616</v>
      </c>
      <c r="E1335" s="1">
        <v>13</v>
      </c>
      <c r="F1335" s="1">
        <v>22589</v>
      </c>
      <c r="G1335" s="1" t="s">
        <v>21</v>
      </c>
      <c r="H1335" s="1">
        <v>18</v>
      </c>
      <c r="I1335" s="1">
        <v>167293</v>
      </c>
      <c r="J1335" s="1" t="s">
        <v>130</v>
      </c>
      <c r="K1335" s="1" t="s">
        <v>23</v>
      </c>
      <c r="L1335" s="1" t="s">
        <v>131</v>
      </c>
      <c r="M1335" s="1">
        <v>1</v>
      </c>
      <c r="N1335" s="2">
        <v>360.47</v>
      </c>
      <c r="O1335" s="3">
        <v>476</v>
      </c>
      <c r="P1335" s="1">
        <v>0</v>
      </c>
      <c r="Q1335" s="1" t="s">
        <v>25</v>
      </c>
      <c r="R1335" s="1" t="s">
        <v>25</v>
      </c>
      <c r="S1335" s="1">
        <v>50</v>
      </c>
      <c r="T1335" s="1">
        <v>1</v>
      </c>
      <c r="U1335" s="1">
        <v>3</v>
      </c>
      <c r="V1335">
        <f t="shared" si="20"/>
        <v>476</v>
      </c>
    </row>
    <row r="1336" spans="1:22" ht="13" x14ac:dyDescent="0.15">
      <c r="A1336" s="4">
        <v>44778</v>
      </c>
      <c r="B1336" s="5">
        <v>0.5577199074074074</v>
      </c>
      <c r="C1336" s="1">
        <v>1844</v>
      </c>
      <c r="D1336" s="1">
        <v>13002616</v>
      </c>
      <c r="E1336" s="1">
        <v>13</v>
      </c>
      <c r="F1336" s="1">
        <v>22589</v>
      </c>
      <c r="G1336" s="1" t="s">
        <v>21</v>
      </c>
      <c r="H1336" s="1">
        <v>18</v>
      </c>
      <c r="I1336" s="1">
        <v>298762</v>
      </c>
      <c r="J1336" s="1" t="s">
        <v>235</v>
      </c>
      <c r="K1336" s="1" t="s">
        <v>45</v>
      </c>
      <c r="L1336" s="1" t="s">
        <v>236</v>
      </c>
      <c r="M1336" s="1">
        <v>1</v>
      </c>
      <c r="N1336" s="2">
        <v>105.68</v>
      </c>
      <c r="O1336" s="3">
        <v>145</v>
      </c>
      <c r="P1336" s="1">
        <v>0</v>
      </c>
      <c r="Q1336" s="1" t="s">
        <v>25</v>
      </c>
      <c r="R1336" s="1" t="s">
        <v>25</v>
      </c>
      <c r="S1336" s="1">
        <v>50</v>
      </c>
      <c r="T1336" s="1">
        <v>1</v>
      </c>
      <c r="U1336" s="1">
        <v>9</v>
      </c>
      <c r="V1336">
        <f t="shared" si="20"/>
        <v>145</v>
      </c>
    </row>
    <row r="1337" spans="1:22" ht="13" x14ac:dyDescent="0.15">
      <c r="A1337" s="4">
        <v>44778</v>
      </c>
      <c r="B1337" s="5">
        <v>0.5577199074074074</v>
      </c>
      <c r="C1337" s="1">
        <v>1844</v>
      </c>
      <c r="D1337" s="1">
        <v>13002616</v>
      </c>
      <c r="E1337" s="1">
        <v>13</v>
      </c>
      <c r="F1337" s="1">
        <v>22589</v>
      </c>
      <c r="G1337" s="1" t="s">
        <v>21</v>
      </c>
      <c r="H1337" s="1">
        <v>18</v>
      </c>
      <c r="I1337" s="1">
        <v>349657</v>
      </c>
      <c r="J1337" s="1" t="s">
        <v>1150</v>
      </c>
      <c r="K1337" s="1" t="s">
        <v>34</v>
      </c>
      <c r="L1337" s="1" t="s">
        <v>591</v>
      </c>
      <c r="M1337" s="1">
        <v>1</v>
      </c>
      <c r="N1337" s="2">
        <v>58.37</v>
      </c>
      <c r="O1337" s="3">
        <v>101</v>
      </c>
      <c r="P1337" s="1">
        <v>0</v>
      </c>
      <c r="Q1337" s="1" t="s">
        <v>25</v>
      </c>
      <c r="R1337" s="1" t="s">
        <v>25</v>
      </c>
      <c r="S1337" s="1">
        <v>50</v>
      </c>
      <c r="T1337" s="1">
        <v>1</v>
      </c>
      <c r="U1337" s="1">
        <v>1</v>
      </c>
      <c r="V1337">
        <f t="shared" si="20"/>
        <v>101</v>
      </c>
    </row>
    <row r="1338" spans="1:22" ht="13" x14ac:dyDescent="0.15">
      <c r="A1338" s="4">
        <v>44778</v>
      </c>
      <c r="B1338" s="5">
        <v>0.5577199074074074</v>
      </c>
      <c r="C1338" s="1">
        <v>1844</v>
      </c>
      <c r="D1338" s="1">
        <v>13002616</v>
      </c>
      <c r="E1338" s="1">
        <v>13</v>
      </c>
      <c r="F1338" s="1">
        <v>22589</v>
      </c>
      <c r="G1338" s="1" t="s">
        <v>21</v>
      </c>
      <c r="H1338" s="1">
        <v>18</v>
      </c>
      <c r="I1338" s="1">
        <v>186354</v>
      </c>
      <c r="J1338" s="1" t="s">
        <v>1151</v>
      </c>
      <c r="K1338" s="1" t="s">
        <v>51</v>
      </c>
      <c r="L1338" s="1" t="s">
        <v>1152</v>
      </c>
      <c r="M1338" s="1">
        <v>1</v>
      </c>
      <c r="N1338" s="2">
        <v>140.66999999999999</v>
      </c>
      <c r="O1338" s="3">
        <v>219</v>
      </c>
      <c r="P1338" s="1">
        <v>0</v>
      </c>
      <c r="Q1338" s="1" t="s">
        <v>25</v>
      </c>
      <c r="R1338" s="1" t="s">
        <v>25</v>
      </c>
      <c r="S1338" s="1">
        <v>50</v>
      </c>
      <c r="T1338" s="1">
        <v>1</v>
      </c>
      <c r="U1338" s="1">
        <v>10</v>
      </c>
      <c r="V1338">
        <f t="shared" si="20"/>
        <v>219</v>
      </c>
    </row>
    <row r="1339" spans="1:22" ht="13" x14ac:dyDescent="0.15">
      <c r="A1339" s="4">
        <v>44778</v>
      </c>
      <c r="B1339" s="5">
        <v>0.5577199074074074</v>
      </c>
      <c r="C1339" s="1">
        <v>1844</v>
      </c>
      <c r="D1339" s="1">
        <v>13002616</v>
      </c>
      <c r="E1339" s="1">
        <v>13</v>
      </c>
      <c r="F1339" s="1">
        <v>22589</v>
      </c>
      <c r="G1339" s="1" t="s">
        <v>21</v>
      </c>
      <c r="H1339" s="1">
        <v>18</v>
      </c>
      <c r="I1339" s="1">
        <v>189320</v>
      </c>
      <c r="J1339" s="1" t="s">
        <v>1153</v>
      </c>
      <c r="K1339" s="1" t="s">
        <v>51</v>
      </c>
      <c r="L1339" s="1" t="s">
        <v>1154</v>
      </c>
      <c r="M1339" s="1">
        <v>1</v>
      </c>
      <c r="N1339" s="2">
        <v>439.12</v>
      </c>
      <c r="O1339" s="3">
        <v>580</v>
      </c>
      <c r="P1339" s="1">
        <v>0</v>
      </c>
      <c r="Q1339" s="1" t="s">
        <v>25</v>
      </c>
      <c r="R1339" s="1" t="s">
        <v>25</v>
      </c>
      <c r="S1339" s="1">
        <v>50</v>
      </c>
      <c r="T1339" s="1">
        <v>1</v>
      </c>
      <c r="U1339" s="1">
        <v>2</v>
      </c>
      <c r="V1339">
        <f t="shared" si="20"/>
        <v>580</v>
      </c>
    </row>
    <row r="1340" spans="1:22" ht="13" x14ac:dyDescent="0.15">
      <c r="A1340" s="4">
        <v>44778</v>
      </c>
      <c r="B1340" s="5">
        <v>0.74305555555555558</v>
      </c>
      <c r="C1340" s="1">
        <v>1885</v>
      </c>
      <c r="D1340" s="1">
        <v>13002616</v>
      </c>
      <c r="E1340" s="1">
        <v>13</v>
      </c>
      <c r="F1340" s="1">
        <v>22589</v>
      </c>
      <c r="G1340" s="1" t="s">
        <v>21</v>
      </c>
      <c r="H1340" s="1">
        <v>15</v>
      </c>
      <c r="I1340" s="1">
        <v>189320</v>
      </c>
      <c r="J1340" s="1" t="s">
        <v>1153</v>
      </c>
      <c r="K1340" s="1" t="s">
        <v>51</v>
      </c>
      <c r="L1340" s="1" t="s">
        <v>1154</v>
      </c>
      <c r="M1340" s="1">
        <v>1</v>
      </c>
      <c r="N1340" s="2">
        <v>439.12</v>
      </c>
      <c r="O1340" s="3">
        <v>580</v>
      </c>
      <c r="P1340" s="1">
        <v>40</v>
      </c>
      <c r="Q1340" s="1">
        <v>9</v>
      </c>
      <c r="R1340" s="1">
        <v>200010000727</v>
      </c>
      <c r="S1340" s="1">
        <v>50</v>
      </c>
      <c r="T1340" s="1">
        <v>1</v>
      </c>
      <c r="U1340" s="1">
        <v>1</v>
      </c>
      <c r="V1340">
        <f t="shared" si="20"/>
        <v>580</v>
      </c>
    </row>
    <row r="1341" spans="1:22" ht="13" x14ac:dyDescent="0.15">
      <c r="A1341" s="4">
        <v>44778</v>
      </c>
      <c r="B1341" s="5">
        <v>0.5577199074074074</v>
      </c>
      <c r="C1341" s="1">
        <v>1844</v>
      </c>
      <c r="D1341" s="1">
        <v>13002616</v>
      </c>
      <c r="E1341" s="1">
        <v>13</v>
      </c>
      <c r="F1341" s="1">
        <v>22589</v>
      </c>
      <c r="G1341" s="1" t="s">
        <v>21</v>
      </c>
      <c r="H1341" s="1">
        <v>18</v>
      </c>
      <c r="I1341" s="1">
        <v>102068</v>
      </c>
      <c r="J1341" s="1" t="s">
        <v>285</v>
      </c>
      <c r="K1341" s="1" t="s">
        <v>51</v>
      </c>
      <c r="L1341" s="1" t="s">
        <v>286</v>
      </c>
      <c r="M1341" s="1">
        <v>1</v>
      </c>
      <c r="N1341" s="2">
        <v>149.6</v>
      </c>
      <c r="O1341" s="3">
        <v>232</v>
      </c>
      <c r="P1341" s="1">
        <v>0</v>
      </c>
      <c r="Q1341" s="1" t="s">
        <v>25</v>
      </c>
      <c r="R1341" s="1" t="s">
        <v>25</v>
      </c>
      <c r="S1341" s="1">
        <v>50</v>
      </c>
      <c r="T1341" s="1">
        <v>1</v>
      </c>
      <c r="U1341" s="1">
        <v>6</v>
      </c>
      <c r="V1341">
        <f t="shared" si="20"/>
        <v>232</v>
      </c>
    </row>
    <row r="1342" spans="1:22" ht="13" x14ac:dyDescent="0.15">
      <c r="A1342" s="4">
        <v>44778</v>
      </c>
      <c r="B1342" s="5">
        <v>0.55925925925925923</v>
      </c>
      <c r="C1342" s="1">
        <v>1845</v>
      </c>
      <c r="D1342" s="1">
        <v>13002616</v>
      </c>
      <c r="E1342" s="1">
        <v>13</v>
      </c>
      <c r="F1342" s="1">
        <v>22589</v>
      </c>
      <c r="G1342" s="1" t="s">
        <v>21</v>
      </c>
      <c r="H1342" s="1">
        <v>18</v>
      </c>
      <c r="I1342" s="1">
        <v>497053</v>
      </c>
      <c r="J1342" s="1" t="s">
        <v>1155</v>
      </c>
      <c r="K1342" s="1" t="s">
        <v>51</v>
      </c>
      <c r="L1342" s="1" t="s">
        <v>322</v>
      </c>
      <c r="M1342" s="1">
        <v>1</v>
      </c>
      <c r="N1342" s="2">
        <v>49.66</v>
      </c>
      <c r="O1342" s="3">
        <v>76</v>
      </c>
      <c r="P1342" s="1">
        <v>0</v>
      </c>
      <c r="Q1342" s="1" t="s">
        <v>25</v>
      </c>
      <c r="R1342" s="1" t="s">
        <v>25</v>
      </c>
      <c r="S1342" s="1">
        <v>50</v>
      </c>
      <c r="T1342" s="1">
        <v>1</v>
      </c>
      <c r="U1342" s="1">
        <v>2</v>
      </c>
      <c r="V1342">
        <f t="shared" si="20"/>
        <v>76</v>
      </c>
    </row>
    <row r="1343" spans="1:22" ht="13" x14ac:dyDescent="0.15">
      <c r="A1343" s="4">
        <v>44778</v>
      </c>
      <c r="B1343" s="5">
        <v>0.55925925925925923</v>
      </c>
      <c r="C1343" s="1">
        <v>1845</v>
      </c>
      <c r="D1343" s="1">
        <v>13002616</v>
      </c>
      <c r="E1343" s="1">
        <v>13</v>
      </c>
      <c r="F1343" s="1">
        <v>22589</v>
      </c>
      <c r="G1343" s="1" t="s">
        <v>21</v>
      </c>
      <c r="H1343" s="1">
        <v>18</v>
      </c>
      <c r="I1343" s="1">
        <v>345542</v>
      </c>
      <c r="J1343" s="1" t="s">
        <v>384</v>
      </c>
      <c r="K1343" s="1" t="s">
        <v>51</v>
      </c>
      <c r="L1343" s="1" t="s">
        <v>76</v>
      </c>
      <c r="M1343" s="1">
        <v>1</v>
      </c>
      <c r="N1343" s="2">
        <v>15.18</v>
      </c>
      <c r="O1343" s="3">
        <v>19</v>
      </c>
      <c r="P1343" s="1">
        <v>0</v>
      </c>
      <c r="Q1343" s="1" t="s">
        <v>25</v>
      </c>
      <c r="R1343" s="1" t="s">
        <v>25</v>
      </c>
      <c r="S1343" s="1">
        <v>50</v>
      </c>
      <c r="T1343" s="1">
        <v>1</v>
      </c>
      <c r="U1343" s="1">
        <v>1</v>
      </c>
      <c r="V1343">
        <f t="shared" si="20"/>
        <v>19</v>
      </c>
    </row>
    <row r="1344" spans="1:22" ht="13" x14ac:dyDescent="0.15">
      <c r="A1344" s="4">
        <v>44778</v>
      </c>
      <c r="B1344" s="5">
        <v>0.56238425925925928</v>
      </c>
      <c r="C1344" s="1">
        <v>1846</v>
      </c>
      <c r="D1344" s="1">
        <v>13002616</v>
      </c>
      <c r="E1344" s="1">
        <v>13</v>
      </c>
      <c r="F1344" s="1">
        <v>22589</v>
      </c>
      <c r="G1344" s="1" t="s">
        <v>21</v>
      </c>
      <c r="H1344" s="1">
        <v>15</v>
      </c>
      <c r="I1344" s="1">
        <v>7485</v>
      </c>
      <c r="J1344" s="1" t="s">
        <v>1156</v>
      </c>
      <c r="K1344" s="1" t="s">
        <v>34</v>
      </c>
      <c r="L1344" s="1" t="s">
        <v>157</v>
      </c>
      <c r="M1344" s="1">
        <v>1</v>
      </c>
      <c r="N1344" s="2">
        <v>250.91</v>
      </c>
      <c r="O1344" s="3">
        <v>310.5</v>
      </c>
      <c r="P1344" s="1">
        <v>0</v>
      </c>
      <c r="Q1344" s="1" t="s">
        <v>25</v>
      </c>
      <c r="R1344" s="1" t="s">
        <v>25</v>
      </c>
      <c r="S1344" s="1">
        <v>50</v>
      </c>
      <c r="T1344" s="1">
        <v>1</v>
      </c>
      <c r="U1344" s="1">
        <v>1</v>
      </c>
      <c r="V1344">
        <f t="shared" si="20"/>
        <v>310.5</v>
      </c>
    </row>
    <row r="1345" spans="1:22" ht="13" x14ac:dyDescent="0.15">
      <c r="A1345" s="4">
        <v>44778</v>
      </c>
      <c r="B1345" s="5">
        <v>0.57835648148148144</v>
      </c>
      <c r="C1345" s="1">
        <v>1847</v>
      </c>
      <c r="D1345" s="1">
        <v>13002616</v>
      </c>
      <c r="E1345" s="1">
        <v>13</v>
      </c>
      <c r="F1345" s="1">
        <v>22589</v>
      </c>
      <c r="G1345" s="1" t="s">
        <v>21</v>
      </c>
      <c r="H1345" s="1">
        <v>15</v>
      </c>
      <c r="I1345" s="1">
        <v>74749</v>
      </c>
      <c r="J1345" s="1" t="s">
        <v>807</v>
      </c>
      <c r="K1345" s="1" t="s">
        <v>29</v>
      </c>
      <c r="L1345" s="1" t="s">
        <v>261</v>
      </c>
      <c r="M1345" s="1">
        <v>1</v>
      </c>
      <c r="N1345" s="2">
        <v>29.78</v>
      </c>
      <c r="O1345" s="3">
        <v>34</v>
      </c>
      <c r="P1345" s="1">
        <v>0</v>
      </c>
      <c r="Q1345" s="1" t="s">
        <v>25</v>
      </c>
      <c r="R1345" s="1" t="s">
        <v>25</v>
      </c>
      <c r="S1345" s="1">
        <v>50</v>
      </c>
      <c r="T1345" s="1">
        <v>1</v>
      </c>
      <c r="U1345" s="1">
        <v>1</v>
      </c>
      <c r="V1345">
        <f t="shared" si="20"/>
        <v>34</v>
      </c>
    </row>
    <row r="1346" spans="1:22" ht="13" x14ac:dyDescent="0.15">
      <c r="A1346" s="4">
        <v>44778</v>
      </c>
      <c r="B1346" s="5">
        <v>0.57835648148148144</v>
      </c>
      <c r="C1346" s="1">
        <v>1847</v>
      </c>
      <c r="D1346" s="1">
        <v>13002616</v>
      </c>
      <c r="E1346" s="1">
        <v>13</v>
      </c>
      <c r="F1346" s="1">
        <v>22589</v>
      </c>
      <c r="G1346" s="1" t="s">
        <v>21</v>
      </c>
      <c r="H1346" s="1">
        <v>15</v>
      </c>
      <c r="I1346" s="1">
        <v>497202</v>
      </c>
      <c r="J1346" s="1" t="s">
        <v>1157</v>
      </c>
      <c r="K1346" s="1" t="s">
        <v>51</v>
      </c>
      <c r="L1346" s="1" t="s">
        <v>65</v>
      </c>
      <c r="M1346" s="1">
        <v>1</v>
      </c>
      <c r="N1346" s="2">
        <v>59.91</v>
      </c>
      <c r="O1346" s="3">
        <v>74</v>
      </c>
      <c r="P1346" s="1">
        <v>0</v>
      </c>
      <c r="Q1346" s="1" t="s">
        <v>25</v>
      </c>
      <c r="R1346" s="1" t="s">
        <v>25</v>
      </c>
      <c r="S1346" s="1">
        <v>50</v>
      </c>
      <c r="T1346" s="1">
        <v>1</v>
      </c>
      <c r="U1346" s="1">
        <v>5</v>
      </c>
      <c r="V1346">
        <f t="shared" si="20"/>
        <v>74</v>
      </c>
    </row>
    <row r="1347" spans="1:22" ht="13" x14ac:dyDescent="0.15">
      <c r="A1347" s="4">
        <v>44778</v>
      </c>
      <c r="B1347" s="5">
        <v>0.57835648148148144</v>
      </c>
      <c r="C1347" s="1">
        <v>1847</v>
      </c>
      <c r="D1347" s="1">
        <v>13002616</v>
      </c>
      <c r="E1347" s="1">
        <v>13</v>
      </c>
      <c r="F1347" s="1">
        <v>22589</v>
      </c>
      <c r="G1347" s="1" t="s">
        <v>21</v>
      </c>
      <c r="H1347" s="1">
        <v>15</v>
      </c>
      <c r="I1347" s="1">
        <v>497948</v>
      </c>
      <c r="J1347" s="1" t="s">
        <v>1158</v>
      </c>
      <c r="K1347" s="1" t="s">
        <v>51</v>
      </c>
      <c r="L1347" s="1" t="s">
        <v>65</v>
      </c>
      <c r="M1347" s="1">
        <v>1</v>
      </c>
      <c r="N1347" s="2">
        <v>31.6</v>
      </c>
      <c r="O1347" s="3">
        <v>39</v>
      </c>
      <c r="P1347" s="1">
        <v>0</v>
      </c>
      <c r="Q1347" s="1" t="s">
        <v>25</v>
      </c>
      <c r="R1347" s="1" t="s">
        <v>25</v>
      </c>
      <c r="S1347" s="1">
        <v>50</v>
      </c>
      <c r="T1347" s="1">
        <v>1</v>
      </c>
      <c r="U1347" s="1">
        <v>4</v>
      </c>
      <c r="V1347">
        <f t="shared" ref="V1347:V1410" si="21">O1347*M1347</f>
        <v>39</v>
      </c>
    </row>
    <row r="1348" spans="1:22" ht="13" x14ac:dyDescent="0.15">
      <c r="A1348" s="4">
        <v>44778</v>
      </c>
      <c r="B1348" s="5">
        <v>0.57835648148148144</v>
      </c>
      <c r="C1348" s="1">
        <v>1847</v>
      </c>
      <c r="D1348" s="1">
        <v>13002616</v>
      </c>
      <c r="E1348" s="1">
        <v>13</v>
      </c>
      <c r="F1348" s="1">
        <v>22589</v>
      </c>
      <c r="G1348" s="1" t="s">
        <v>21</v>
      </c>
      <c r="H1348" s="1">
        <v>15</v>
      </c>
      <c r="I1348" s="1">
        <v>463100</v>
      </c>
      <c r="J1348" s="1" t="s">
        <v>411</v>
      </c>
      <c r="K1348" s="1" t="s">
        <v>51</v>
      </c>
      <c r="L1348" s="1" t="s">
        <v>35</v>
      </c>
      <c r="M1348" s="1">
        <v>1</v>
      </c>
      <c r="N1348" s="2">
        <v>47.5</v>
      </c>
      <c r="O1348" s="3">
        <v>73</v>
      </c>
      <c r="P1348" s="1">
        <v>0</v>
      </c>
      <c r="Q1348" s="1" t="s">
        <v>25</v>
      </c>
      <c r="R1348" s="1" t="s">
        <v>25</v>
      </c>
      <c r="S1348" s="1">
        <v>50</v>
      </c>
      <c r="T1348" s="1">
        <v>1</v>
      </c>
      <c r="U1348" s="1">
        <v>2</v>
      </c>
      <c r="V1348">
        <f t="shared" si="21"/>
        <v>73</v>
      </c>
    </row>
    <row r="1349" spans="1:22" ht="13" x14ac:dyDescent="0.15">
      <c r="A1349" s="4">
        <v>44778</v>
      </c>
      <c r="B1349" s="5">
        <v>0.57835648148148144</v>
      </c>
      <c r="C1349" s="1">
        <v>1847</v>
      </c>
      <c r="D1349" s="1">
        <v>13002616</v>
      </c>
      <c r="E1349" s="1">
        <v>13</v>
      </c>
      <c r="F1349" s="1">
        <v>22589</v>
      </c>
      <c r="G1349" s="1" t="s">
        <v>21</v>
      </c>
      <c r="H1349" s="1">
        <v>15</v>
      </c>
      <c r="I1349" s="1">
        <v>463100</v>
      </c>
      <c r="J1349" s="1" t="s">
        <v>411</v>
      </c>
      <c r="K1349" s="1" t="s">
        <v>51</v>
      </c>
      <c r="L1349" s="1" t="s">
        <v>35</v>
      </c>
      <c r="M1349" s="1">
        <v>1</v>
      </c>
      <c r="N1349" s="2">
        <v>47.5</v>
      </c>
      <c r="O1349" s="3">
        <v>73</v>
      </c>
      <c r="P1349" s="1">
        <v>0</v>
      </c>
      <c r="Q1349" s="1" t="s">
        <v>25</v>
      </c>
      <c r="R1349" s="1" t="s">
        <v>25</v>
      </c>
      <c r="S1349" s="1">
        <v>50</v>
      </c>
      <c r="T1349" s="1">
        <v>1</v>
      </c>
      <c r="U1349" s="1">
        <v>3</v>
      </c>
      <c r="V1349">
        <f t="shared" si="21"/>
        <v>73</v>
      </c>
    </row>
    <row r="1350" spans="1:22" ht="13" x14ac:dyDescent="0.15">
      <c r="A1350" s="4">
        <v>44778</v>
      </c>
      <c r="B1350" s="5">
        <v>0.58143518518518522</v>
      </c>
      <c r="C1350" s="1">
        <v>1848</v>
      </c>
      <c r="D1350" s="1">
        <v>13002616</v>
      </c>
      <c r="E1350" s="1">
        <v>13</v>
      </c>
      <c r="F1350" s="1">
        <v>22589</v>
      </c>
      <c r="G1350" s="1" t="s">
        <v>21</v>
      </c>
      <c r="H1350" s="1">
        <v>18</v>
      </c>
      <c r="I1350" s="1">
        <v>272</v>
      </c>
      <c r="J1350" s="1" t="s">
        <v>1159</v>
      </c>
      <c r="K1350" s="1" t="s">
        <v>117</v>
      </c>
      <c r="L1350" s="1" t="s">
        <v>1160</v>
      </c>
      <c r="M1350" s="1">
        <v>1</v>
      </c>
      <c r="N1350" s="2">
        <v>127.23</v>
      </c>
      <c r="O1350" s="3">
        <v>153</v>
      </c>
      <c r="P1350" s="1">
        <v>7</v>
      </c>
      <c r="Q1350" s="1">
        <v>9</v>
      </c>
      <c r="R1350" s="1">
        <v>200010022547</v>
      </c>
      <c r="S1350" s="1">
        <v>50</v>
      </c>
      <c r="T1350" s="1">
        <v>1</v>
      </c>
      <c r="U1350" s="1">
        <v>1</v>
      </c>
      <c r="V1350">
        <f t="shared" si="21"/>
        <v>153</v>
      </c>
    </row>
    <row r="1351" spans="1:22" ht="13" x14ac:dyDescent="0.15">
      <c r="A1351" s="4">
        <v>44778</v>
      </c>
      <c r="B1351" s="5">
        <v>0.58143518518518522</v>
      </c>
      <c r="C1351" s="1">
        <v>1848</v>
      </c>
      <c r="D1351" s="1">
        <v>13002616</v>
      </c>
      <c r="E1351" s="1">
        <v>13</v>
      </c>
      <c r="F1351" s="1">
        <v>22589</v>
      </c>
      <c r="G1351" s="1" t="s">
        <v>21</v>
      </c>
      <c r="H1351" s="1">
        <v>18</v>
      </c>
      <c r="I1351" s="1">
        <v>276810</v>
      </c>
      <c r="J1351" s="1" t="s">
        <v>231</v>
      </c>
      <c r="K1351" s="1" t="s">
        <v>23</v>
      </c>
      <c r="L1351" s="1" t="s">
        <v>192</v>
      </c>
      <c r="M1351" s="1">
        <v>1</v>
      </c>
      <c r="N1351" s="2">
        <v>322.89</v>
      </c>
      <c r="O1351" s="3">
        <v>388</v>
      </c>
      <c r="P1351" s="1">
        <v>38</v>
      </c>
      <c r="Q1351" s="1">
        <v>9</v>
      </c>
      <c r="R1351" s="1">
        <v>200010022547</v>
      </c>
      <c r="S1351" s="1">
        <v>50</v>
      </c>
      <c r="T1351" s="1">
        <v>1</v>
      </c>
      <c r="U1351" s="1">
        <v>2</v>
      </c>
      <c r="V1351">
        <f t="shared" si="21"/>
        <v>388</v>
      </c>
    </row>
    <row r="1352" spans="1:22" ht="13" x14ac:dyDescent="0.15">
      <c r="A1352" s="4">
        <v>44778</v>
      </c>
      <c r="B1352" s="5">
        <v>0.58281249999999996</v>
      </c>
      <c r="C1352" s="1">
        <v>1849</v>
      </c>
      <c r="D1352" s="1">
        <v>13002616</v>
      </c>
      <c r="E1352" s="1">
        <v>13</v>
      </c>
      <c r="F1352" s="1">
        <v>22589</v>
      </c>
      <c r="G1352" s="1" t="s">
        <v>21</v>
      </c>
      <c r="H1352" s="1">
        <v>18</v>
      </c>
      <c r="I1352" s="1">
        <v>100378</v>
      </c>
      <c r="J1352" s="1" t="s">
        <v>722</v>
      </c>
      <c r="K1352" s="1" t="s">
        <v>23</v>
      </c>
      <c r="L1352" s="1" t="s">
        <v>723</v>
      </c>
      <c r="M1352" s="1">
        <v>1</v>
      </c>
      <c r="N1352" s="2">
        <v>61.38</v>
      </c>
      <c r="O1352" s="3">
        <v>75</v>
      </c>
      <c r="P1352" s="1">
        <v>3</v>
      </c>
      <c r="Q1352" s="1">
        <v>9</v>
      </c>
      <c r="R1352" s="1">
        <v>200010019633</v>
      </c>
      <c r="S1352" s="1">
        <v>50</v>
      </c>
      <c r="T1352" s="1">
        <v>1</v>
      </c>
      <c r="U1352" s="1">
        <v>1</v>
      </c>
      <c r="V1352">
        <f t="shared" si="21"/>
        <v>75</v>
      </c>
    </row>
    <row r="1353" spans="1:22" ht="13" x14ac:dyDescent="0.15">
      <c r="A1353" s="4">
        <v>44778</v>
      </c>
      <c r="B1353" s="5">
        <v>0.58281249999999996</v>
      </c>
      <c r="C1353" s="1">
        <v>1849</v>
      </c>
      <c r="D1353" s="1">
        <v>13002616</v>
      </c>
      <c r="E1353" s="1">
        <v>13</v>
      </c>
      <c r="F1353" s="1">
        <v>22589</v>
      </c>
      <c r="G1353" s="1" t="s">
        <v>21</v>
      </c>
      <c r="H1353" s="1">
        <v>18</v>
      </c>
      <c r="I1353" s="1">
        <v>483452</v>
      </c>
      <c r="J1353" s="1" t="s">
        <v>1161</v>
      </c>
      <c r="K1353" s="1" t="s">
        <v>110</v>
      </c>
      <c r="L1353" s="1" t="s">
        <v>383</v>
      </c>
      <c r="M1353" s="1">
        <v>1</v>
      </c>
      <c r="N1353" s="2">
        <v>26.18</v>
      </c>
      <c r="O1353" s="3">
        <v>40</v>
      </c>
      <c r="P1353" s="1">
        <v>2</v>
      </c>
      <c r="Q1353" s="1">
        <v>9</v>
      </c>
      <c r="R1353" s="1">
        <v>200010019633</v>
      </c>
      <c r="S1353" s="1">
        <v>50</v>
      </c>
      <c r="T1353" s="1">
        <v>1</v>
      </c>
      <c r="U1353" s="1">
        <v>3</v>
      </c>
      <c r="V1353">
        <f t="shared" si="21"/>
        <v>40</v>
      </c>
    </row>
    <row r="1354" spans="1:22" ht="13" x14ac:dyDescent="0.15">
      <c r="A1354" s="4">
        <v>44778</v>
      </c>
      <c r="B1354" s="5">
        <v>0.58281249999999996</v>
      </c>
      <c r="C1354" s="1">
        <v>1849</v>
      </c>
      <c r="D1354" s="1">
        <v>13002616</v>
      </c>
      <c r="E1354" s="1">
        <v>13</v>
      </c>
      <c r="F1354" s="1">
        <v>22589</v>
      </c>
      <c r="G1354" s="1" t="s">
        <v>21</v>
      </c>
      <c r="H1354" s="1">
        <v>18</v>
      </c>
      <c r="I1354" s="1">
        <v>301848</v>
      </c>
      <c r="J1354" s="1" t="s">
        <v>1162</v>
      </c>
      <c r="K1354" s="1" t="s">
        <v>141</v>
      </c>
      <c r="L1354" s="1" t="s">
        <v>1163</v>
      </c>
      <c r="M1354" s="1">
        <v>1</v>
      </c>
      <c r="N1354" s="2">
        <v>35.82</v>
      </c>
      <c r="O1354" s="3">
        <v>59</v>
      </c>
      <c r="P1354" s="1">
        <v>5</v>
      </c>
      <c r="Q1354" s="1">
        <v>9</v>
      </c>
      <c r="R1354" s="1">
        <v>200010019633</v>
      </c>
      <c r="S1354" s="1">
        <v>50</v>
      </c>
      <c r="T1354" s="1">
        <v>1</v>
      </c>
      <c r="U1354" s="1">
        <v>2</v>
      </c>
      <c r="V1354">
        <f t="shared" si="21"/>
        <v>59</v>
      </c>
    </row>
    <row r="1355" spans="1:22" ht="13" x14ac:dyDescent="0.15">
      <c r="A1355" s="4">
        <v>44778</v>
      </c>
      <c r="B1355" s="5">
        <v>0.58674768518518516</v>
      </c>
      <c r="C1355" s="1">
        <v>1850</v>
      </c>
      <c r="D1355" s="1">
        <v>13002616</v>
      </c>
      <c r="E1355" s="1">
        <v>13</v>
      </c>
      <c r="F1355" s="1">
        <v>22589</v>
      </c>
      <c r="G1355" s="1" t="s">
        <v>21</v>
      </c>
      <c r="H1355" s="1">
        <v>15</v>
      </c>
      <c r="I1355" s="1">
        <v>512333</v>
      </c>
      <c r="J1355" s="1" t="s">
        <v>138</v>
      </c>
      <c r="K1355" s="1" t="s">
        <v>61</v>
      </c>
      <c r="L1355" s="1" t="s">
        <v>139</v>
      </c>
      <c r="M1355" s="1">
        <v>1</v>
      </c>
      <c r="N1355" s="2">
        <v>115.28</v>
      </c>
      <c r="O1355" s="3">
        <v>158</v>
      </c>
      <c r="P1355" s="1">
        <v>0</v>
      </c>
      <c r="Q1355" s="1" t="s">
        <v>25</v>
      </c>
      <c r="R1355" s="1" t="s">
        <v>25</v>
      </c>
      <c r="S1355" s="1">
        <v>50</v>
      </c>
      <c r="T1355" s="1">
        <v>1</v>
      </c>
      <c r="U1355" s="1">
        <v>1</v>
      </c>
      <c r="V1355">
        <f t="shared" si="21"/>
        <v>158</v>
      </c>
    </row>
    <row r="1356" spans="1:22" ht="13" x14ac:dyDescent="0.15">
      <c r="A1356" s="4">
        <v>44778</v>
      </c>
      <c r="B1356" s="5">
        <v>0.58674768518518516</v>
      </c>
      <c r="C1356" s="1">
        <v>1850</v>
      </c>
      <c r="D1356" s="1">
        <v>13002616</v>
      </c>
      <c r="E1356" s="1">
        <v>13</v>
      </c>
      <c r="F1356" s="1">
        <v>22589</v>
      </c>
      <c r="G1356" s="1" t="s">
        <v>21</v>
      </c>
      <c r="H1356" s="1">
        <v>15</v>
      </c>
      <c r="I1356" s="1">
        <v>336869</v>
      </c>
      <c r="J1356" s="1" t="s">
        <v>1164</v>
      </c>
      <c r="K1356" s="1" t="s">
        <v>51</v>
      </c>
      <c r="L1356" s="1" t="s">
        <v>1165</v>
      </c>
      <c r="M1356" s="1">
        <v>1</v>
      </c>
      <c r="N1356" s="2">
        <v>323.60000000000002</v>
      </c>
      <c r="O1356" s="3">
        <v>428</v>
      </c>
      <c r="P1356" s="1">
        <v>0</v>
      </c>
      <c r="Q1356" s="1" t="s">
        <v>25</v>
      </c>
      <c r="R1356" s="1" t="s">
        <v>25</v>
      </c>
      <c r="S1356" s="1">
        <v>50</v>
      </c>
      <c r="T1356" s="1">
        <v>1</v>
      </c>
      <c r="U1356" s="1">
        <v>2</v>
      </c>
      <c r="V1356">
        <f t="shared" si="21"/>
        <v>428</v>
      </c>
    </row>
    <row r="1357" spans="1:22" ht="13" x14ac:dyDescent="0.15">
      <c r="A1357" s="4">
        <v>44778</v>
      </c>
      <c r="B1357" s="5">
        <v>0.58674768518518516</v>
      </c>
      <c r="C1357" s="1">
        <v>1850</v>
      </c>
      <c r="D1357" s="1">
        <v>13002616</v>
      </c>
      <c r="E1357" s="1">
        <v>13</v>
      </c>
      <c r="F1357" s="1">
        <v>22589</v>
      </c>
      <c r="G1357" s="1" t="s">
        <v>21</v>
      </c>
      <c r="H1357" s="1">
        <v>15</v>
      </c>
      <c r="I1357" s="1">
        <v>897</v>
      </c>
      <c r="J1357" s="1" t="s">
        <v>1012</v>
      </c>
      <c r="K1357" s="1" t="s">
        <v>51</v>
      </c>
      <c r="L1357" s="1" t="s">
        <v>195</v>
      </c>
      <c r="M1357" s="1">
        <v>1</v>
      </c>
      <c r="N1357" s="2">
        <v>137.91999999999999</v>
      </c>
      <c r="O1357" s="3">
        <v>167</v>
      </c>
      <c r="P1357" s="1">
        <v>0</v>
      </c>
      <c r="Q1357" s="1" t="s">
        <v>25</v>
      </c>
      <c r="R1357" s="1" t="s">
        <v>25</v>
      </c>
      <c r="S1357" s="1">
        <v>50</v>
      </c>
      <c r="T1357" s="1">
        <v>1</v>
      </c>
      <c r="U1357" s="1">
        <v>3</v>
      </c>
      <c r="V1357">
        <f t="shared" si="21"/>
        <v>167</v>
      </c>
    </row>
    <row r="1358" spans="1:22" ht="13" x14ac:dyDescent="0.15">
      <c r="A1358" s="4">
        <v>44778</v>
      </c>
      <c r="B1358" s="5">
        <v>0.58947916666666667</v>
      </c>
      <c r="C1358" s="1">
        <v>1851</v>
      </c>
      <c r="D1358" s="1">
        <v>13002616</v>
      </c>
      <c r="E1358" s="1">
        <v>13</v>
      </c>
      <c r="F1358" s="1">
        <v>22589</v>
      </c>
      <c r="G1358" s="1" t="s">
        <v>21</v>
      </c>
      <c r="H1358" s="1">
        <v>18</v>
      </c>
      <c r="I1358" s="1">
        <v>442497</v>
      </c>
      <c r="J1358" s="1" t="s">
        <v>1166</v>
      </c>
      <c r="K1358" s="1" t="s">
        <v>117</v>
      </c>
      <c r="L1358" s="1" t="s">
        <v>383</v>
      </c>
      <c r="M1358" s="1">
        <v>1</v>
      </c>
      <c r="N1358" s="2">
        <v>26.63</v>
      </c>
      <c r="O1358" s="3">
        <v>41</v>
      </c>
      <c r="P1358" s="1">
        <v>0</v>
      </c>
      <c r="Q1358" s="1" t="s">
        <v>25</v>
      </c>
      <c r="R1358" s="1" t="s">
        <v>25</v>
      </c>
      <c r="S1358" s="1">
        <v>50</v>
      </c>
      <c r="T1358" s="1">
        <v>1</v>
      </c>
      <c r="U1358" s="1">
        <v>2</v>
      </c>
      <c r="V1358">
        <f t="shared" si="21"/>
        <v>41</v>
      </c>
    </row>
    <row r="1359" spans="1:22" ht="13" x14ac:dyDescent="0.15">
      <c r="A1359" s="4">
        <v>44778</v>
      </c>
      <c r="B1359" s="5">
        <v>0.58947916666666667</v>
      </c>
      <c r="C1359" s="1">
        <v>1851</v>
      </c>
      <c r="D1359" s="1">
        <v>13002616</v>
      </c>
      <c r="E1359" s="1">
        <v>13</v>
      </c>
      <c r="F1359" s="1">
        <v>22589</v>
      </c>
      <c r="G1359" s="1" t="s">
        <v>21</v>
      </c>
      <c r="H1359" s="1">
        <v>18</v>
      </c>
      <c r="I1359" s="1">
        <v>442497</v>
      </c>
      <c r="J1359" s="1" t="s">
        <v>1166</v>
      </c>
      <c r="K1359" s="1" t="s">
        <v>117</v>
      </c>
      <c r="L1359" s="1" t="s">
        <v>383</v>
      </c>
      <c r="M1359" s="1">
        <v>1</v>
      </c>
      <c r="N1359" s="2">
        <v>26.63</v>
      </c>
      <c r="O1359" s="3">
        <v>41</v>
      </c>
      <c r="P1359" s="1">
        <v>0</v>
      </c>
      <c r="Q1359" s="1" t="s">
        <v>25</v>
      </c>
      <c r="R1359" s="1" t="s">
        <v>25</v>
      </c>
      <c r="S1359" s="1">
        <v>50</v>
      </c>
      <c r="T1359" s="1">
        <v>1</v>
      </c>
      <c r="U1359" s="1">
        <v>3</v>
      </c>
      <c r="V1359">
        <f t="shared" si="21"/>
        <v>41</v>
      </c>
    </row>
    <row r="1360" spans="1:22" ht="13" x14ac:dyDescent="0.15">
      <c r="A1360" s="4">
        <v>44778</v>
      </c>
      <c r="B1360" s="5">
        <v>0.58947916666666667</v>
      </c>
      <c r="C1360" s="1">
        <v>1851</v>
      </c>
      <c r="D1360" s="1">
        <v>13002616</v>
      </c>
      <c r="E1360" s="1">
        <v>13</v>
      </c>
      <c r="F1360" s="1">
        <v>22589</v>
      </c>
      <c r="G1360" s="1" t="s">
        <v>21</v>
      </c>
      <c r="H1360" s="1">
        <v>18</v>
      </c>
      <c r="I1360" s="1">
        <v>8654</v>
      </c>
      <c r="J1360" s="1" t="s">
        <v>1167</v>
      </c>
      <c r="K1360" s="1" t="s">
        <v>45</v>
      </c>
      <c r="L1360" s="1" t="s">
        <v>1168</v>
      </c>
      <c r="M1360" s="1">
        <v>1</v>
      </c>
      <c r="N1360" s="2">
        <v>268.43</v>
      </c>
      <c r="O1360" s="3">
        <v>363</v>
      </c>
      <c r="P1360" s="1">
        <v>0</v>
      </c>
      <c r="Q1360" s="1" t="s">
        <v>25</v>
      </c>
      <c r="R1360" s="1" t="s">
        <v>25</v>
      </c>
      <c r="S1360" s="1">
        <v>50</v>
      </c>
      <c r="T1360" s="1">
        <v>1</v>
      </c>
      <c r="U1360" s="1">
        <v>5</v>
      </c>
      <c r="V1360">
        <f t="shared" si="21"/>
        <v>363</v>
      </c>
    </row>
    <row r="1361" spans="1:22" ht="13" x14ac:dyDescent="0.15">
      <c r="A1361" s="4">
        <v>44778</v>
      </c>
      <c r="B1361" s="5">
        <v>0.58947916666666667</v>
      </c>
      <c r="C1361" s="1">
        <v>1851</v>
      </c>
      <c r="D1361" s="1">
        <v>13002616</v>
      </c>
      <c r="E1361" s="1">
        <v>13</v>
      </c>
      <c r="F1361" s="1">
        <v>22589</v>
      </c>
      <c r="G1361" s="1" t="s">
        <v>21</v>
      </c>
      <c r="H1361" s="1">
        <v>18</v>
      </c>
      <c r="I1361" s="1">
        <v>193617</v>
      </c>
      <c r="J1361" s="1" t="s">
        <v>1169</v>
      </c>
      <c r="K1361" s="1" t="s">
        <v>61</v>
      </c>
      <c r="L1361" s="1" t="s">
        <v>1065</v>
      </c>
      <c r="M1361" s="1">
        <v>1</v>
      </c>
      <c r="N1361" s="2">
        <v>251.35</v>
      </c>
      <c r="O1361" s="3">
        <v>315</v>
      </c>
      <c r="P1361" s="1">
        <v>0</v>
      </c>
      <c r="Q1361" s="1" t="s">
        <v>25</v>
      </c>
      <c r="R1361" s="1" t="s">
        <v>25</v>
      </c>
      <c r="S1361" s="1">
        <v>50</v>
      </c>
      <c r="T1361" s="1">
        <v>1</v>
      </c>
      <c r="U1361" s="1">
        <v>1</v>
      </c>
      <c r="V1361">
        <f t="shared" si="21"/>
        <v>315</v>
      </c>
    </row>
    <row r="1362" spans="1:22" ht="13" x14ac:dyDescent="0.15">
      <c r="A1362" s="4">
        <v>44778</v>
      </c>
      <c r="B1362" s="5">
        <v>0.59013888888888888</v>
      </c>
      <c r="C1362" s="1">
        <v>1852</v>
      </c>
      <c r="D1362" s="1">
        <v>13002616</v>
      </c>
      <c r="E1362" s="1">
        <v>13</v>
      </c>
      <c r="F1362" s="1">
        <v>22589</v>
      </c>
      <c r="G1362" s="1" t="s">
        <v>21</v>
      </c>
      <c r="H1362" s="1">
        <v>18</v>
      </c>
      <c r="I1362" s="1">
        <v>149587</v>
      </c>
      <c r="J1362" s="1" t="s">
        <v>1170</v>
      </c>
      <c r="K1362" s="1" t="s">
        <v>23</v>
      </c>
      <c r="L1362" s="1" t="s">
        <v>159</v>
      </c>
      <c r="M1362" s="1">
        <v>1</v>
      </c>
      <c r="N1362" s="2">
        <v>96.8</v>
      </c>
      <c r="O1362" s="3">
        <v>119</v>
      </c>
      <c r="P1362" s="1">
        <v>0</v>
      </c>
      <c r="Q1362" s="1" t="s">
        <v>25</v>
      </c>
      <c r="R1362" s="1" t="s">
        <v>25</v>
      </c>
      <c r="S1362" s="1">
        <v>50</v>
      </c>
      <c r="T1362" s="1">
        <v>1</v>
      </c>
      <c r="U1362" s="1">
        <v>1</v>
      </c>
      <c r="V1362">
        <f t="shared" si="21"/>
        <v>119</v>
      </c>
    </row>
    <row r="1363" spans="1:22" ht="13" x14ac:dyDescent="0.15">
      <c r="A1363" s="4">
        <v>44778</v>
      </c>
      <c r="B1363" s="5">
        <v>0.59703703703703703</v>
      </c>
      <c r="C1363" s="1">
        <v>1853</v>
      </c>
      <c r="D1363" s="1">
        <v>13002616</v>
      </c>
      <c r="E1363" s="1">
        <v>13</v>
      </c>
      <c r="F1363" s="1">
        <v>22589</v>
      </c>
      <c r="G1363" s="1" t="s">
        <v>21</v>
      </c>
      <c r="H1363" s="1">
        <v>18</v>
      </c>
      <c r="I1363" s="1">
        <v>325948</v>
      </c>
      <c r="J1363" s="1" t="s">
        <v>1171</v>
      </c>
      <c r="K1363" s="1" t="s">
        <v>23</v>
      </c>
      <c r="L1363" s="1" t="s">
        <v>1172</v>
      </c>
      <c r="M1363" s="1">
        <v>1</v>
      </c>
      <c r="N1363" s="2">
        <v>502.76</v>
      </c>
      <c r="O1363" s="3">
        <v>714</v>
      </c>
      <c r="P1363" s="1">
        <v>71</v>
      </c>
      <c r="Q1363" s="1">
        <v>9</v>
      </c>
      <c r="R1363" s="1">
        <v>200010023020</v>
      </c>
      <c r="S1363" s="1">
        <v>50</v>
      </c>
      <c r="T1363" s="1">
        <v>1</v>
      </c>
      <c r="U1363" s="1">
        <v>3</v>
      </c>
      <c r="V1363">
        <f t="shared" si="21"/>
        <v>714</v>
      </c>
    </row>
    <row r="1364" spans="1:22" ht="13" x14ac:dyDescent="0.15">
      <c r="A1364" s="4">
        <v>44778</v>
      </c>
      <c r="B1364" s="5">
        <v>0.59703703703703703</v>
      </c>
      <c r="C1364" s="1">
        <v>1853</v>
      </c>
      <c r="D1364" s="1">
        <v>13002616</v>
      </c>
      <c r="E1364" s="1">
        <v>13</v>
      </c>
      <c r="F1364" s="1">
        <v>22589</v>
      </c>
      <c r="G1364" s="1" t="s">
        <v>21</v>
      </c>
      <c r="H1364" s="1">
        <v>18</v>
      </c>
      <c r="I1364" s="1">
        <v>51103</v>
      </c>
      <c r="J1364" s="1" t="s">
        <v>1173</v>
      </c>
      <c r="K1364" s="1" t="s">
        <v>29</v>
      </c>
      <c r="L1364" s="1" t="s">
        <v>1174</v>
      </c>
      <c r="M1364" s="1">
        <v>1</v>
      </c>
      <c r="N1364" s="2">
        <v>443.52</v>
      </c>
      <c r="O1364" s="3">
        <v>497</v>
      </c>
      <c r="P1364" s="1">
        <v>34</v>
      </c>
      <c r="Q1364" s="1">
        <v>9</v>
      </c>
      <c r="R1364" s="1">
        <v>200010023020</v>
      </c>
      <c r="S1364" s="1">
        <v>50</v>
      </c>
      <c r="T1364" s="1">
        <v>1</v>
      </c>
      <c r="U1364" s="1">
        <v>2</v>
      </c>
      <c r="V1364">
        <f t="shared" si="21"/>
        <v>497</v>
      </c>
    </row>
    <row r="1365" spans="1:22" ht="13" x14ac:dyDescent="0.15">
      <c r="A1365" s="4">
        <v>44778</v>
      </c>
      <c r="B1365" s="5">
        <v>0.59873842592592597</v>
      </c>
      <c r="C1365" s="1">
        <v>1854</v>
      </c>
      <c r="D1365" s="1">
        <v>13002616</v>
      </c>
      <c r="E1365" s="1">
        <v>13</v>
      </c>
      <c r="F1365" s="1">
        <v>22589</v>
      </c>
      <c r="G1365" s="1" t="s">
        <v>21</v>
      </c>
      <c r="H1365" s="1">
        <v>18</v>
      </c>
      <c r="I1365" s="1">
        <v>586516</v>
      </c>
      <c r="J1365" s="1" t="s">
        <v>1175</v>
      </c>
      <c r="K1365" s="1" t="s">
        <v>23</v>
      </c>
      <c r="L1365" s="1" t="s">
        <v>1176</v>
      </c>
      <c r="M1365" s="1">
        <v>1</v>
      </c>
      <c r="N1365" s="2">
        <v>683.72</v>
      </c>
      <c r="O1365" s="3">
        <v>882</v>
      </c>
      <c r="P1365" s="1">
        <v>0</v>
      </c>
      <c r="Q1365" s="1" t="s">
        <v>25</v>
      </c>
      <c r="R1365" s="1" t="s">
        <v>25</v>
      </c>
      <c r="S1365" s="1">
        <v>50</v>
      </c>
      <c r="T1365" s="1">
        <v>1</v>
      </c>
      <c r="U1365" s="1">
        <v>2</v>
      </c>
      <c r="V1365">
        <f t="shared" si="21"/>
        <v>882</v>
      </c>
    </row>
    <row r="1366" spans="1:22" ht="13" x14ac:dyDescent="0.15">
      <c r="A1366" s="4">
        <v>44778</v>
      </c>
      <c r="B1366" s="5">
        <v>0.70296296296296301</v>
      </c>
      <c r="C1366" s="1">
        <v>1877</v>
      </c>
      <c r="D1366" s="1">
        <v>13002616</v>
      </c>
      <c r="E1366" s="1">
        <v>13</v>
      </c>
      <c r="F1366" s="1">
        <v>22589</v>
      </c>
      <c r="G1366" s="1" t="s">
        <v>21</v>
      </c>
      <c r="H1366" s="1">
        <v>18</v>
      </c>
      <c r="I1366" s="1">
        <v>586516</v>
      </c>
      <c r="J1366" s="1" t="s">
        <v>1175</v>
      </c>
      <c r="K1366" s="1" t="s">
        <v>23</v>
      </c>
      <c r="L1366" s="1" t="s">
        <v>1176</v>
      </c>
      <c r="M1366" s="1">
        <v>1</v>
      </c>
      <c r="N1366" s="2">
        <v>683.72</v>
      </c>
      <c r="O1366" s="3">
        <v>882</v>
      </c>
      <c r="P1366" s="1">
        <v>0</v>
      </c>
      <c r="Q1366" s="1" t="s">
        <v>25</v>
      </c>
      <c r="R1366" s="1" t="s">
        <v>25</v>
      </c>
      <c r="S1366" s="1">
        <v>50</v>
      </c>
      <c r="T1366" s="1">
        <v>1</v>
      </c>
      <c r="U1366" s="1">
        <v>1</v>
      </c>
      <c r="V1366">
        <f t="shared" si="21"/>
        <v>882</v>
      </c>
    </row>
    <row r="1367" spans="1:22" ht="13" x14ac:dyDescent="0.15">
      <c r="A1367" s="4">
        <v>44778</v>
      </c>
      <c r="B1367" s="5">
        <v>0.59873842592592597</v>
      </c>
      <c r="C1367" s="1">
        <v>1854</v>
      </c>
      <c r="D1367" s="1">
        <v>13002616</v>
      </c>
      <c r="E1367" s="1">
        <v>13</v>
      </c>
      <c r="F1367" s="1">
        <v>22589</v>
      </c>
      <c r="G1367" s="1" t="s">
        <v>21</v>
      </c>
      <c r="H1367" s="1">
        <v>18</v>
      </c>
      <c r="I1367" s="1">
        <v>9522</v>
      </c>
      <c r="J1367" s="1" t="s">
        <v>1177</v>
      </c>
      <c r="K1367" s="1" t="s">
        <v>51</v>
      </c>
      <c r="L1367" s="1" t="s">
        <v>552</v>
      </c>
      <c r="M1367" s="1">
        <v>1</v>
      </c>
      <c r="N1367" s="2">
        <v>281.31</v>
      </c>
      <c r="O1367" s="3">
        <v>339</v>
      </c>
      <c r="P1367" s="1">
        <v>0</v>
      </c>
      <c r="Q1367" s="1" t="s">
        <v>25</v>
      </c>
      <c r="R1367" s="1" t="s">
        <v>25</v>
      </c>
      <c r="S1367" s="1">
        <v>50</v>
      </c>
      <c r="T1367" s="1">
        <v>1</v>
      </c>
      <c r="U1367" s="1">
        <v>1</v>
      </c>
      <c r="V1367">
        <f t="shared" si="21"/>
        <v>339</v>
      </c>
    </row>
    <row r="1368" spans="1:22" ht="13" x14ac:dyDescent="0.15">
      <c r="A1368" s="4">
        <v>44778</v>
      </c>
      <c r="B1368" s="5">
        <v>0.60245370370370366</v>
      </c>
      <c r="C1368" s="1">
        <v>1855</v>
      </c>
      <c r="D1368" s="1">
        <v>13002616</v>
      </c>
      <c r="E1368" s="1">
        <v>13</v>
      </c>
      <c r="F1368" s="1">
        <v>22589</v>
      </c>
      <c r="G1368" s="1" t="s">
        <v>21</v>
      </c>
      <c r="H1368" s="1">
        <v>18</v>
      </c>
      <c r="I1368" s="1">
        <v>435123</v>
      </c>
      <c r="J1368" s="1" t="s">
        <v>966</v>
      </c>
      <c r="K1368" s="1" t="s">
        <v>51</v>
      </c>
      <c r="L1368" s="1" t="s">
        <v>228</v>
      </c>
      <c r="M1368" s="1">
        <v>1</v>
      </c>
      <c r="N1368" s="2">
        <v>24.04</v>
      </c>
      <c r="O1368" s="3">
        <v>37</v>
      </c>
      <c r="P1368" s="1">
        <v>0</v>
      </c>
      <c r="Q1368" s="1" t="s">
        <v>25</v>
      </c>
      <c r="R1368" s="1" t="s">
        <v>25</v>
      </c>
      <c r="S1368" s="1">
        <v>50</v>
      </c>
      <c r="T1368" s="1">
        <v>1</v>
      </c>
      <c r="U1368" s="1">
        <v>1</v>
      </c>
      <c r="V1368">
        <f t="shared" si="21"/>
        <v>37</v>
      </c>
    </row>
    <row r="1369" spans="1:22" ht="13" x14ac:dyDescent="0.15">
      <c r="A1369" s="4">
        <v>44778</v>
      </c>
      <c r="B1369" s="5">
        <v>0.60245370370370366</v>
      </c>
      <c r="C1369" s="1">
        <v>1855</v>
      </c>
      <c r="D1369" s="1">
        <v>13002616</v>
      </c>
      <c r="E1369" s="1">
        <v>13</v>
      </c>
      <c r="F1369" s="1">
        <v>22589</v>
      </c>
      <c r="G1369" s="1" t="s">
        <v>21</v>
      </c>
      <c r="H1369" s="1">
        <v>18</v>
      </c>
      <c r="I1369" s="1">
        <v>459</v>
      </c>
      <c r="J1369" s="1" t="s">
        <v>553</v>
      </c>
      <c r="K1369" s="1" t="s">
        <v>34</v>
      </c>
      <c r="L1369" s="1" t="s">
        <v>554</v>
      </c>
      <c r="M1369" s="1">
        <v>1</v>
      </c>
      <c r="N1369" s="2">
        <v>316.54000000000002</v>
      </c>
      <c r="O1369" s="3">
        <v>418</v>
      </c>
      <c r="P1369" s="1">
        <v>0</v>
      </c>
      <c r="Q1369" s="1" t="s">
        <v>25</v>
      </c>
      <c r="R1369" s="1" t="s">
        <v>25</v>
      </c>
      <c r="S1369" s="1">
        <v>50</v>
      </c>
      <c r="T1369" s="1">
        <v>1</v>
      </c>
      <c r="U1369" s="1">
        <v>2</v>
      </c>
      <c r="V1369">
        <f t="shared" si="21"/>
        <v>418</v>
      </c>
    </row>
    <row r="1370" spans="1:22" ht="13" x14ac:dyDescent="0.15">
      <c r="A1370" s="4">
        <v>44778</v>
      </c>
      <c r="B1370" s="5">
        <v>0.60637731481481483</v>
      </c>
      <c r="C1370" s="1">
        <v>1856</v>
      </c>
      <c r="D1370" s="1">
        <v>13002616</v>
      </c>
      <c r="E1370" s="1">
        <v>13</v>
      </c>
      <c r="F1370" s="1">
        <v>22589</v>
      </c>
      <c r="G1370" s="1" t="s">
        <v>21</v>
      </c>
      <c r="H1370" s="1">
        <v>18</v>
      </c>
      <c r="I1370" s="1">
        <v>354089</v>
      </c>
      <c r="J1370" s="1" t="s">
        <v>369</v>
      </c>
      <c r="K1370" s="1" t="s">
        <v>29</v>
      </c>
      <c r="L1370" s="1" t="s">
        <v>335</v>
      </c>
      <c r="M1370" s="1">
        <v>1</v>
      </c>
      <c r="N1370" s="2">
        <v>39.369999999999997</v>
      </c>
      <c r="O1370" s="3">
        <v>60</v>
      </c>
      <c r="P1370" s="1">
        <v>0</v>
      </c>
      <c r="Q1370" s="1" t="s">
        <v>25</v>
      </c>
      <c r="R1370" s="1" t="s">
        <v>25</v>
      </c>
      <c r="S1370" s="1">
        <v>50</v>
      </c>
      <c r="T1370" s="1">
        <v>1</v>
      </c>
      <c r="U1370" s="1">
        <v>1</v>
      </c>
      <c r="V1370">
        <f t="shared" si="21"/>
        <v>60</v>
      </c>
    </row>
    <row r="1371" spans="1:22" ht="13" x14ac:dyDescent="0.15">
      <c r="A1371" s="4">
        <v>44778</v>
      </c>
      <c r="B1371" s="5">
        <v>0.61123842592592592</v>
      </c>
      <c r="C1371" s="1">
        <v>1857</v>
      </c>
      <c r="D1371" s="1">
        <v>13002616</v>
      </c>
      <c r="E1371" s="1">
        <v>13</v>
      </c>
      <c r="F1371" s="1">
        <v>22589</v>
      </c>
      <c r="G1371" s="1" t="s">
        <v>21</v>
      </c>
      <c r="H1371" s="1">
        <v>15</v>
      </c>
      <c r="I1371" s="1">
        <v>350543</v>
      </c>
      <c r="J1371" s="1" t="s">
        <v>1178</v>
      </c>
      <c r="K1371" s="1" t="s">
        <v>29</v>
      </c>
      <c r="L1371" s="1" t="s">
        <v>1179</v>
      </c>
      <c r="M1371" s="1">
        <v>1</v>
      </c>
      <c r="N1371" s="2">
        <v>158.9</v>
      </c>
      <c r="O1371" s="3">
        <v>218</v>
      </c>
      <c r="P1371" s="1">
        <v>15</v>
      </c>
      <c r="Q1371" s="1">
        <v>9</v>
      </c>
      <c r="R1371" s="1">
        <v>200010009724</v>
      </c>
      <c r="S1371" s="1">
        <v>50</v>
      </c>
      <c r="T1371" s="1">
        <v>1</v>
      </c>
      <c r="U1371" s="1">
        <v>1</v>
      </c>
      <c r="V1371">
        <f t="shared" si="21"/>
        <v>218</v>
      </c>
    </row>
    <row r="1372" spans="1:22" ht="13" x14ac:dyDescent="0.15">
      <c r="A1372" s="4">
        <v>44778</v>
      </c>
      <c r="B1372" s="5">
        <v>0.61123842592592592</v>
      </c>
      <c r="C1372" s="1">
        <v>1857</v>
      </c>
      <c r="D1372" s="1">
        <v>13002616</v>
      </c>
      <c r="E1372" s="1">
        <v>13</v>
      </c>
      <c r="F1372" s="1">
        <v>22589</v>
      </c>
      <c r="G1372" s="1" t="s">
        <v>21</v>
      </c>
      <c r="H1372" s="1">
        <v>15</v>
      </c>
      <c r="I1372" s="1">
        <v>393397</v>
      </c>
      <c r="J1372" s="1" t="s">
        <v>334</v>
      </c>
      <c r="K1372" s="1" t="s">
        <v>29</v>
      </c>
      <c r="L1372" s="1" t="s">
        <v>335</v>
      </c>
      <c r="M1372" s="1">
        <v>1</v>
      </c>
      <c r="N1372" s="2">
        <v>20.079999999999998</v>
      </c>
      <c r="O1372" s="3">
        <v>26</v>
      </c>
      <c r="P1372" s="1">
        <v>1</v>
      </c>
      <c r="Q1372" s="1">
        <v>9</v>
      </c>
      <c r="R1372" s="1">
        <v>200010009724</v>
      </c>
      <c r="S1372" s="1">
        <v>50</v>
      </c>
      <c r="T1372" s="1">
        <v>1</v>
      </c>
      <c r="U1372" s="1">
        <v>3</v>
      </c>
      <c r="V1372">
        <f t="shared" si="21"/>
        <v>26</v>
      </c>
    </row>
    <row r="1373" spans="1:22" ht="13" x14ac:dyDescent="0.15">
      <c r="A1373" s="4">
        <v>44778</v>
      </c>
      <c r="B1373" s="5">
        <v>0.61123842592592592</v>
      </c>
      <c r="C1373" s="1">
        <v>1857</v>
      </c>
      <c r="D1373" s="1">
        <v>13002616</v>
      </c>
      <c r="E1373" s="1">
        <v>13</v>
      </c>
      <c r="F1373" s="1">
        <v>22589</v>
      </c>
      <c r="G1373" s="1" t="s">
        <v>21</v>
      </c>
      <c r="H1373" s="1">
        <v>15</v>
      </c>
      <c r="I1373" s="1">
        <v>496536</v>
      </c>
      <c r="J1373" s="1" t="s">
        <v>382</v>
      </c>
      <c r="K1373" s="1" t="s">
        <v>58</v>
      </c>
      <c r="L1373" s="1" t="s">
        <v>383</v>
      </c>
      <c r="M1373" s="1">
        <v>1</v>
      </c>
      <c r="N1373" s="2">
        <v>49.4</v>
      </c>
      <c r="O1373" s="3">
        <v>76</v>
      </c>
      <c r="P1373" s="1">
        <v>5</v>
      </c>
      <c r="Q1373" s="1">
        <v>9</v>
      </c>
      <c r="R1373" s="1">
        <v>200010009724</v>
      </c>
      <c r="S1373" s="1">
        <v>50</v>
      </c>
      <c r="T1373" s="1">
        <v>1</v>
      </c>
      <c r="U1373" s="1">
        <v>2</v>
      </c>
      <c r="V1373">
        <f t="shared" si="21"/>
        <v>76</v>
      </c>
    </row>
    <row r="1374" spans="1:22" ht="13" x14ac:dyDescent="0.15">
      <c r="A1374" s="4">
        <v>44778</v>
      </c>
      <c r="B1374" s="5">
        <v>0.61282407407407402</v>
      </c>
      <c r="C1374" s="1">
        <v>1858</v>
      </c>
      <c r="D1374" s="1">
        <v>13002616</v>
      </c>
      <c r="E1374" s="1">
        <v>13</v>
      </c>
      <c r="F1374" s="1">
        <v>22589</v>
      </c>
      <c r="G1374" s="1" t="s">
        <v>21</v>
      </c>
      <c r="H1374" s="1">
        <v>15</v>
      </c>
      <c r="I1374" s="1">
        <v>296788</v>
      </c>
      <c r="J1374" s="1" t="s">
        <v>1180</v>
      </c>
      <c r="K1374" s="1" t="s">
        <v>29</v>
      </c>
      <c r="L1374" s="1" t="s">
        <v>547</v>
      </c>
      <c r="M1374" s="1">
        <v>1</v>
      </c>
      <c r="N1374" s="2">
        <v>379.73</v>
      </c>
      <c r="O1374" s="3">
        <v>502</v>
      </c>
      <c r="P1374" s="1">
        <v>35</v>
      </c>
      <c r="Q1374" s="1">
        <v>9</v>
      </c>
      <c r="R1374" s="1">
        <v>200010009724</v>
      </c>
      <c r="S1374" s="1">
        <v>50</v>
      </c>
      <c r="T1374" s="1">
        <v>1</v>
      </c>
      <c r="U1374" s="1">
        <v>1</v>
      </c>
      <c r="V1374">
        <f t="shared" si="21"/>
        <v>502</v>
      </c>
    </row>
    <row r="1375" spans="1:22" ht="13" x14ac:dyDescent="0.15">
      <c r="A1375" s="4">
        <v>44778</v>
      </c>
      <c r="B1375" s="5">
        <v>0.61927083333333333</v>
      </c>
      <c r="C1375" s="1">
        <v>1860</v>
      </c>
      <c r="D1375" s="1">
        <v>13002616</v>
      </c>
      <c r="E1375" s="1">
        <v>13</v>
      </c>
      <c r="F1375" s="1">
        <v>22589</v>
      </c>
      <c r="G1375" s="1" t="s">
        <v>21</v>
      </c>
      <c r="H1375" s="1">
        <v>15</v>
      </c>
      <c r="I1375" s="1">
        <v>435842</v>
      </c>
      <c r="J1375" s="1" t="s">
        <v>819</v>
      </c>
      <c r="K1375" s="1" t="s">
        <v>51</v>
      </c>
      <c r="L1375" s="1" t="s">
        <v>383</v>
      </c>
      <c r="M1375" s="1">
        <v>1</v>
      </c>
      <c r="N1375" s="2">
        <v>27.03</v>
      </c>
      <c r="O1375" s="3">
        <v>42</v>
      </c>
      <c r="P1375" s="1">
        <v>2</v>
      </c>
      <c r="Q1375" s="1">
        <v>9</v>
      </c>
      <c r="R1375" s="1">
        <v>200010016190</v>
      </c>
      <c r="S1375" s="1">
        <v>50</v>
      </c>
      <c r="T1375" s="1">
        <v>1</v>
      </c>
      <c r="U1375" s="1">
        <v>1</v>
      </c>
      <c r="V1375">
        <f t="shared" si="21"/>
        <v>42</v>
      </c>
    </row>
    <row r="1376" spans="1:22" ht="13" x14ac:dyDescent="0.15">
      <c r="A1376" s="4">
        <v>44778</v>
      </c>
      <c r="B1376" s="5">
        <v>0.63329861111111108</v>
      </c>
      <c r="C1376" s="1">
        <v>1863</v>
      </c>
      <c r="D1376" s="1">
        <v>13002616</v>
      </c>
      <c r="E1376" s="1">
        <v>13</v>
      </c>
      <c r="F1376" s="1">
        <v>22589</v>
      </c>
      <c r="G1376" s="1" t="s">
        <v>21</v>
      </c>
      <c r="H1376" s="1">
        <v>18</v>
      </c>
      <c r="I1376" s="1">
        <v>435842</v>
      </c>
      <c r="J1376" s="1" t="s">
        <v>819</v>
      </c>
      <c r="K1376" s="1" t="s">
        <v>51</v>
      </c>
      <c r="L1376" s="1" t="s">
        <v>383</v>
      </c>
      <c r="M1376" s="1">
        <v>1</v>
      </c>
      <c r="N1376" s="2">
        <v>27.03</v>
      </c>
      <c r="O1376" s="3">
        <v>42</v>
      </c>
      <c r="P1376" s="1">
        <v>0</v>
      </c>
      <c r="Q1376" s="1" t="s">
        <v>25</v>
      </c>
      <c r="R1376" s="1" t="s">
        <v>25</v>
      </c>
      <c r="S1376" s="1">
        <v>50</v>
      </c>
      <c r="T1376" s="1">
        <v>1</v>
      </c>
      <c r="U1376" s="1">
        <v>1</v>
      </c>
      <c r="V1376">
        <f t="shared" si="21"/>
        <v>42</v>
      </c>
    </row>
    <row r="1377" spans="1:22" ht="13" x14ac:dyDescent="0.15">
      <c r="A1377" s="4">
        <v>44778</v>
      </c>
      <c r="B1377" s="5">
        <v>0.62300925925925921</v>
      </c>
      <c r="C1377" s="1">
        <v>1861</v>
      </c>
      <c r="D1377" s="1">
        <v>13002616</v>
      </c>
      <c r="E1377" s="1">
        <v>13</v>
      </c>
      <c r="F1377" s="1">
        <v>22589</v>
      </c>
      <c r="G1377" s="1" t="s">
        <v>21</v>
      </c>
      <c r="H1377" s="1">
        <v>18</v>
      </c>
      <c r="I1377" s="1">
        <v>193385</v>
      </c>
      <c r="J1377" s="1" t="s">
        <v>1181</v>
      </c>
      <c r="K1377" s="1" t="s">
        <v>51</v>
      </c>
      <c r="L1377" s="1" t="s">
        <v>80</v>
      </c>
      <c r="M1377" s="1">
        <v>1</v>
      </c>
      <c r="N1377" s="2">
        <v>64.77</v>
      </c>
      <c r="O1377" s="3">
        <v>102</v>
      </c>
      <c r="P1377" s="1">
        <v>10</v>
      </c>
      <c r="Q1377" s="1">
        <v>9</v>
      </c>
      <c r="R1377" s="1">
        <v>200010023583</v>
      </c>
      <c r="S1377" s="1">
        <v>50</v>
      </c>
      <c r="T1377" s="1">
        <v>1</v>
      </c>
      <c r="U1377" s="1">
        <v>2</v>
      </c>
      <c r="V1377">
        <f t="shared" si="21"/>
        <v>102</v>
      </c>
    </row>
    <row r="1378" spans="1:22" ht="13" x14ac:dyDescent="0.15">
      <c r="A1378" s="4">
        <v>44778</v>
      </c>
      <c r="B1378" s="5">
        <v>0.62300925925925921</v>
      </c>
      <c r="C1378" s="1">
        <v>1861</v>
      </c>
      <c r="D1378" s="1">
        <v>13002616</v>
      </c>
      <c r="E1378" s="1">
        <v>13</v>
      </c>
      <c r="F1378" s="1">
        <v>22589</v>
      </c>
      <c r="G1378" s="1" t="s">
        <v>21</v>
      </c>
      <c r="H1378" s="1">
        <v>18</v>
      </c>
      <c r="I1378" s="1">
        <v>72603</v>
      </c>
      <c r="J1378" s="1" t="s">
        <v>268</v>
      </c>
      <c r="K1378" s="1" t="s">
        <v>51</v>
      </c>
      <c r="L1378" s="1" t="s">
        <v>269</v>
      </c>
      <c r="M1378" s="1">
        <v>1</v>
      </c>
      <c r="N1378" s="2">
        <v>29.11</v>
      </c>
      <c r="O1378" s="3">
        <v>48</v>
      </c>
      <c r="P1378" s="1">
        <v>4</v>
      </c>
      <c r="Q1378" s="1">
        <v>9</v>
      </c>
      <c r="R1378" s="1">
        <v>200010023583</v>
      </c>
      <c r="S1378" s="1">
        <v>50</v>
      </c>
      <c r="T1378" s="1">
        <v>1</v>
      </c>
      <c r="U1378" s="1">
        <v>1</v>
      </c>
      <c r="V1378">
        <f t="shared" si="21"/>
        <v>48</v>
      </c>
    </row>
    <row r="1379" spans="1:22" ht="13" x14ac:dyDescent="0.15">
      <c r="A1379" s="4">
        <v>44778</v>
      </c>
      <c r="B1379" s="5">
        <v>0.63206018518518514</v>
      </c>
      <c r="C1379" s="1">
        <v>1862</v>
      </c>
      <c r="D1379" s="1">
        <v>13002616</v>
      </c>
      <c r="E1379" s="1">
        <v>13</v>
      </c>
      <c r="F1379" s="1">
        <v>22589</v>
      </c>
      <c r="G1379" s="1" t="s">
        <v>21</v>
      </c>
      <c r="H1379" s="1">
        <v>18</v>
      </c>
      <c r="I1379" s="1">
        <v>84612</v>
      </c>
      <c r="J1379" s="1" t="s">
        <v>1182</v>
      </c>
      <c r="K1379" s="1" t="s">
        <v>45</v>
      </c>
      <c r="L1379" s="1" t="s">
        <v>1183</v>
      </c>
      <c r="M1379" s="1">
        <v>0.2</v>
      </c>
      <c r="N1379" s="2">
        <v>1470.75</v>
      </c>
      <c r="O1379" s="3">
        <v>1839</v>
      </c>
      <c r="P1379" s="1">
        <v>54.8</v>
      </c>
      <c r="Q1379" s="1">
        <v>27</v>
      </c>
      <c r="R1379" s="1">
        <v>200010000015</v>
      </c>
      <c r="S1379" s="1">
        <v>50</v>
      </c>
      <c r="T1379" s="1">
        <v>1</v>
      </c>
      <c r="U1379" s="1">
        <v>1</v>
      </c>
      <c r="V1379">
        <f t="shared" si="21"/>
        <v>367.8</v>
      </c>
    </row>
    <row r="1380" spans="1:22" ht="13" x14ac:dyDescent="0.15">
      <c r="A1380" s="4">
        <v>44778</v>
      </c>
      <c r="B1380" s="5">
        <v>0.63206018518518514</v>
      </c>
      <c r="C1380" s="1">
        <v>1862</v>
      </c>
      <c r="D1380" s="1">
        <v>13002616</v>
      </c>
      <c r="E1380" s="1">
        <v>13</v>
      </c>
      <c r="F1380" s="1">
        <v>22589</v>
      </c>
      <c r="G1380" s="1" t="s">
        <v>21</v>
      </c>
      <c r="H1380" s="1">
        <v>18</v>
      </c>
      <c r="I1380" s="1">
        <v>8327</v>
      </c>
      <c r="J1380" s="1" t="s">
        <v>1184</v>
      </c>
      <c r="K1380" s="1" t="s">
        <v>48</v>
      </c>
      <c r="L1380" s="1" t="s">
        <v>214</v>
      </c>
      <c r="M1380" s="1">
        <v>1</v>
      </c>
      <c r="N1380" s="2">
        <v>618.6</v>
      </c>
      <c r="O1380" s="3">
        <v>798</v>
      </c>
      <c r="P1380" s="1">
        <v>119</v>
      </c>
      <c r="Q1380" s="1">
        <v>27</v>
      </c>
      <c r="R1380" s="1">
        <v>200010000015</v>
      </c>
      <c r="S1380" s="1">
        <v>50</v>
      </c>
      <c r="T1380" s="1">
        <v>1</v>
      </c>
      <c r="U1380" s="1">
        <v>3</v>
      </c>
      <c r="V1380">
        <f t="shared" si="21"/>
        <v>798</v>
      </c>
    </row>
    <row r="1381" spans="1:22" ht="13" x14ac:dyDescent="0.15">
      <c r="A1381" s="4">
        <v>44778</v>
      </c>
      <c r="B1381" s="5">
        <v>0.63206018518518514</v>
      </c>
      <c r="C1381" s="1">
        <v>1862</v>
      </c>
      <c r="D1381" s="1">
        <v>13002616</v>
      </c>
      <c r="E1381" s="1">
        <v>13</v>
      </c>
      <c r="F1381" s="1">
        <v>22589</v>
      </c>
      <c r="G1381" s="1" t="s">
        <v>21</v>
      </c>
      <c r="H1381" s="1">
        <v>18</v>
      </c>
      <c r="I1381" s="1">
        <v>11519</v>
      </c>
      <c r="J1381" s="1" t="s">
        <v>1185</v>
      </c>
      <c r="K1381" s="1" t="s">
        <v>23</v>
      </c>
      <c r="L1381" s="1" t="s">
        <v>363</v>
      </c>
      <c r="M1381" s="1">
        <v>1</v>
      </c>
      <c r="N1381" s="2">
        <v>157.26</v>
      </c>
      <c r="O1381" s="3">
        <v>188</v>
      </c>
      <c r="P1381" s="1">
        <v>18</v>
      </c>
      <c r="Q1381" s="1">
        <v>27</v>
      </c>
      <c r="R1381" s="1">
        <v>200010000015</v>
      </c>
      <c r="S1381" s="1">
        <v>50</v>
      </c>
      <c r="T1381" s="1">
        <v>1</v>
      </c>
      <c r="U1381" s="1">
        <v>2</v>
      </c>
      <c r="V1381">
        <f t="shared" si="21"/>
        <v>188</v>
      </c>
    </row>
    <row r="1382" spans="1:22" ht="13" x14ac:dyDescent="0.15">
      <c r="A1382" s="4">
        <v>44778</v>
      </c>
      <c r="B1382" s="5">
        <v>0.64531249999999996</v>
      </c>
      <c r="C1382" s="1">
        <v>1864</v>
      </c>
      <c r="D1382" s="1">
        <v>13002616</v>
      </c>
      <c r="E1382" s="1">
        <v>13</v>
      </c>
      <c r="F1382" s="1">
        <v>22589</v>
      </c>
      <c r="G1382" s="1" t="s">
        <v>21</v>
      </c>
      <c r="H1382" s="1">
        <v>18</v>
      </c>
      <c r="I1382" s="1">
        <v>18199</v>
      </c>
      <c r="J1382" s="1" t="s">
        <v>1101</v>
      </c>
      <c r="K1382" s="1" t="s">
        <v>34</v>
      </c>
      <c r="L1382" s="1" t="s">
        <v>1102</v>
      </c>
      <c r="M1382" s="1">
        <v>1</v>
      </c>
      <c r="N1382" s="2">
        <v>118.7</v>
      </c>
      <c r="O1382" s="3">
        <v>163</v>
      </c>
      <c r="P1382" s="1">
        <v>0</v>
      </c>
      <c r="Q1382" s="1" t="s">
        <v>25</v>
      </c>
      <c r="R1382" s="1" t="s">
        <v>25</v>
      </c>
      <c r="S1382" s="1">
        <v>50</v>
      </c>
      <c r="T1382" s="1">
        <v>1</v>
      </c>
      <c r="U1382" s="1">
        <v>3</v>
      </c>
      <c r="V1382">
        <f t="shared" si="21"/>
        <v>163</v>
      </c>
    </row>
    <row r="1383" spans="1:22" ht="13" x14ac:dyDescent="0.15">
      <c r="A1383" s="4">
        <v>44778</v>
      </c>
      <c r="B1383" s="5">
        <v>0.64842592592592596</v>
      </c>
      <c r="C1383" s="1">
        <v>1865</v>
      </c>
      <c r="D1383" s="1">
        <v>13002616</v>
      </c>
      <c r="E1383" s="1">
        <v>13</v>
      </c>
      <c r="F1383" s="1">
        <v>22589</v>
      </c>
      <c r="G1383" s="1" t="s">
        <v>21</v>
      </c>
      <c r="H1383" s="1">
        <v>18</v>
      </c>
      <c r="I1383" s="1">
        <v>304</v>
      </c>
      <c r="J1383" s="1" t="s">
        <v>113</v>
      </c>
      <c r="K1383" s="1" t="s">
        <v>23</v>
      </c>
      <c r="L1383" s="1" t="s">
        <v>600</v>
      </c>
      <c r="M1383" s="1">
        <v>1</v>
      </c>
      <c r="N1383" s="2">
        <v>102.6</v>
      </c>
      <c r="O1383" s="3">
        <v>124</v>
      </c>
      <c r="P1383" s="1">
        <v>0</v>
      </c>
      <c r="Q1383" s="1" t="s">
        <v>25</v>
      </c>
      <c r="R1383" s="1" t="s">
        <v>25</v>
      </c>
      <c r="S1383" s="1">
        <v>50</v>
      </c>
      <c r="T1383" s="1">
        <v>1</v>
      </c>
      <c r="U1383" s="1">
        <v>1</v>
      </c>
      <c r="V1383">
        <f t="shared" si="21"/>
        <v>124</v>
      </c>
    </row>
    <row r="1384" spans="1:22" ht="13" x14ac:dyDescent="0.15">
      <c r="A1384" s="4">
        <v>44778</v>
      </c>
      <c r="B1384" s="5">
        <v>0.64842592592592596</v>
      </c>
      <c r="C1384" s="1">
        <v>1865</v>
      </c>
      <c r="D1384" s="1">
        <v>13002616</v>
      </c>
      <c r="E1384" s="1">
        <v>13</v>
      </c>
      <c r="F1384" s="1">
        <v>22589</v>
      </c>
      <c r="G1384" s="1" t="s">
        <v>21</v>
      </c>
      <c r="H1384" s="1">
        <v>18</v>
      </c>
      <c r="I1384" s="1">
        <v>141732</v>
      </c>
      <c r="J1384" s="1" t="s">
        <v>1186</v>
      </c>
      <c r="K1384" s="1" t="s">
        <v>34</v>
      </c>
      <c r="L1384" s="1" t="s">
        <v>769</v>
      </c>
      <c r="M1384" s="1">
        <v>0.2</v>
      </c>
      <c r="N1384" s="2">
        <v>1581.29</v>
      </c>
      <c r="O1384" s="3">
        <v>1945</v>
      </c>
      <c r="P1384" s="1">
        <v>0</v>
      </c>
      <c r="Q1384" s="1" t="s">
        <v>25</v>
      </c>
      <c r="R1384" s="1" t="s">
        <v>25</v>
      </c>
      <c r="S1384" s="1">
        <v>50</v>
      </c>
      <c r="T1384" s="1">
        <v>1</v>
      </c>
      <c r="U1384" s="1">
        <v>3</v>
      </c>
      <c r="V1384">
        <f t="shared" si="21"/>
        <v>389</v>
      </c>
    </row>
    <row r="1385" spans="1:22" ht="13" x14ac:dyDescent="0.15">
      <c r="A1385" s="4">
        <v>44778</v>
      </c>
      <c r="B1385" s="5">
        <v>0.64842592592592596</v>
      </c>
      <c r="C1385" s="1">
        <v>1865</v>
      </c>
      <c r="D1385" s="1">
        <v>13002616</v>
      </c>
      <c r="E1385" s="1">
        <v>13</v>
      </c>
      <c r="F1385" s="1">
        <v>22589</v>
      </c>
      <c r="G1385" s="1" t="s">
        <v>21</v>
      </c>
      <c r="H1385" s="1">
        <v>18</v>
      </c>
      <c r="I1385" s="1">
        <v>488355</v>
      </c>
      <c r="J1385" s="1" t="s">
        <v>1187</v>
      </c>
      <c r="K1385" s="1" t="s">
        <v>51</v>
      </c>
      <c r="L1385" s="1" t="s">
        <v>272</v>
      </c>
      <c r="M1385" s="1">
        <v>1</v>
      </c>
      <c r="N1385" s="2">
        <v>355.63</v>
      </c>
      <c r="O1385" s="3">
        <v>470</v>
      </c>
      <c r="P1385" s="1">
        <v>0</v>
      </c>
      <c r="Q1385" s="1" t="s">
        <v>25</v>
      </c>
      <c r="R1385" s="1" t="s">
        <v>25</v>
      </c>
      <c r="S1385" s="1">
        <v>50</v>
      </c>
      <c r="T1385" s="1">
        <v>1</v>
      </c>
      <c r="U1385" s="1">
        <v>5</v>
      </c>
      <c r="V1385">
        <f t="shared" si="21"/>
        <v>470</v>
      </c>
    </row>
    <row r="1386" spans="1:22" ht="13" x14ac:dyDescent="0.15">
      <c r="A1386" s="4">
        <v>44778</v>
      </c>
      <c r="B1386" s="5">
        <v>0.64842592592592596</v>
      </c>
      <c r="C1386" s="1">
        <v>1865</v>
      </c>
      <c r="D1386" s="1">
        <v>13002616</v>
      </c>
      <c r="E1386" s="1">
        <v>13</v>
      </c>
      <c r="F1386" s="1">
        <v>22589</v>
      </c>
      <c r="G1386" s="1" t="s">
        <v>21</v>
      </c>
      <c r="H1386" s="1">
        <v>18</v>
      </c>
      <c r="I1386" s="1">
        <v>6678</v>
      </c>
      <c r="J1386" s="1" t="s">
        <v>427</v>
      </c>
      <c r="K1386" s="1" t="s">
        <v>23</v>
      </c>
      <c r="L1386" s="1" t="s">
        <v>895</v>
      </c>
      <c r="M1386" s="1">
        <v>1</v>
      </c>
      <c r="N1386" s="2">
        <v>458.22</v>
      </c>
      <c r="O1386" s="3">
        <v>587</v>
      </c>
      <c r="P1386" s="1">
        <v>0</v>
      </c>
      <c r="Q1386" s="1" t="s">
        <v>25</v>
      </c>
      <c r="R1386" s="1" t="s">
        <v>25</v>
      </c>
      <c r="S1386" s="1">
        <v>50</v>
      </c>
      <c r="T1386" s="1">
        <v>1</v>
      </c>
      <c r="U1386" s="1">
        <v>2</v>
      </c>
      <c r="V1386">
        <f t="shared" si="21"/>
        <v>587</v>
      </c>
    </row>
    <row r="1387" spans="1:22" ht="13" x14ac:dyDescent="0.15">
      <c r="A1387" s="4">
        <v>44778</v>
      </c>
      <c r="B1387" s="5">
        <v>0.64842592592592596</v>
      </c>
      <c r="C1387" s="1">
        <v>1865</v>
      </c>
      <c r="D1387" s="1">
        <v>13002616</v>
      </c>
      <c r="E1387" s="1">
        <v>13</v>
      </c>
      <c r="F1387" s="1">
        <v>22589</v>
      </c>
      <c r="G1387" s="1" t="s">
        <v>21</v>
      </c>
      <c r="H1387" s="1">
        <v>18</v>
      </c>
      <c r="I1387" s="1">
        <v>101346</v>
      </c>
      <c r="J1387" s="1" t="s">
        <v>485</v>
      </c>
      <c r="K1387" s="1" t="s">
        <v>51</v>
      </c>
      <c r="L1387" s="1" t="s">
        <v>272</v>
      </c>
      <c r="M1387" s="1">
        <v>1</v>
      </c>
      <c r="N1387" s="2">
        <v>115.48</v>
      </c>
      <c r="O1387" s="3">
        <v>159</v>
      </c>
      <c r="P1387" s="1">
        <v>0</v>
      </c>
      <c r="Q1387" s="1" t="s">
        <v>25</v>
      </c>
      <c r="R1387" s="1" t="s">
        <v>25</v>
      </c>
      <c r="S1387" s="1">
        <v>50</v>
      </c>
      <c r="T1387" s="1">
        <v>1</v>
      </c>
      <c r="U1387" s="1">
        <v>4</v>
      </c>
      <c r="V1387">
        <f t="shared" si="21"/>
        <v>159</v>
      </c>
    </row>
    <row r="1388" spans="1:22" ht="13" x14ac:dyDescent="0.15">
      <c r="A1388" s="4">
        <v>44778</v>
      </c>
      <c r="B1388" s="5">
        <v>0.64960648148148148</v>
      </c>
      <c r="C1388" s="1">
        <v>1866</v>
      </c>
      <c r="D1388" s="1">
        <v>13002616</v>
      </c>
      <c r="E1388" s="1">
        <v>13</v>
      </c>
      <c r="F1388" s="1">
        <v>22589</v>
      </c>
      <c r="G1388" s="1" t="s">
        <v>21</v>
      </c>
      <c r="H1388" s="1">
        <v>18</v>
      </c>
      <c r="I1388" s="1">
        <v>2302</v>
      </c>
      <c r="J1388" s="1" t="s">
        <v>81</v>
      </c>
      <c r="K1388" s="1" t="s">
        <v>34</v>
      </c>
      <c r="L1388" s="1" t="s">
        <v>35</v>
      </c>
      <c r="M1388" s="1">
        <v>1</v>
      </c>
      <c r="N1388" s="2">
        <v>163.01</v>
      </c>
      <c r="O1388" s="3">
        <v>182</v>
      </c>
      <c r="P1388" s="1">
        <v>0</v>
      </c>
      <c r="Q1388" s="1" t="s">
        <v>25</v>
      </c>
      <c r="R1388" s="1" t="s">
        <v>25</v>
      </c>
      <c r="S1388" s="1">
        <v>50</v>
      </c>
      <c r="T1388" s="1">
        <v>2</v>
      </c>
      <c r="U1388" s="1">
        <v>3</v>
      </c>
      <c r="V1388">
        <f t="shared" si="21"/>
        <v>182</v>
      </c>
    </row>
    <row r="1389" spans="1:22" ht="13" x14ac:dyDescent="0.15">
      <c r="A1389" s="4">
        <v>44778</v>
      </c>
      <c r="B1389" s="5">
        <v>0.64960648148148148</v>
      </c>
      <c r="C1389" s="1">
        <v>1866</v>
      </c>
      <c r="D1389" s="1">
        <v>13002616</v>
      </c>
      <c r="E1389" s="1">
        <v>13</v>
      </c>
      <c r="F1389" s="1">
        <v>22589</v>
      </c>
      <c r="G1389" s="1" t="s">
        <v>21</v>
      </c>
      <c r="H1389" s="1">
        <v>18</v>
      </c>
      <c r="I1389" s="1">
        <v>438081</v>
      </c>
      <c r="J1389" s="1" t="s">
        <v>1188</v>
      </c>
      <c r="K1389" s="1" t="s">
        <v>34</v>
      </c>
      <c r="L1389" s="1" t="s">
        <v>76</v>
      </c>
      <c r="M1389" s="1">
        <v>1</v>
      </c>
      <c r="N1389" s="2">
        <v>122.4</v>
      </c>
      <c r="O1389" s="3">
        <v>137</v>
      </c>
      <c r="P1389" s="1">
        <v>0</v>
      </c>
      <c r="Q1389" s="1" t="s">
        <v>25</v>
      </c>
      <c r="R1389" s="1" t="s">
        <v>25</v>
      </c>
      <c r="S1389" s="1">
        <v>50</v>
      </c>
      <c r="T1389" s="1">
        <v>2</v>
      </c>
      <c r="U1389" s="1">
        <v>1</v>
      </c>
      <c r="V1389">
        <f t="shared" si="21"/>
        <v>137</v>
      </c>
    </row>
    <row r="1390" spans="1:22" ht="13" x14ac:dyDescent="0.15">
      <c r="A1390" s="4">
        <v>44778</v>
      </c>
      <c r="B1390" s="5">
        <v>0.64960648148148148</v>
      </c>
      <c r="C1390" s="1">
        <v>1866</v>
      </c>
      <c r="D1390" s="1">
        <v>13002616</v>
      </c>
      <c r="E1390" s="1">
        <v>13</v>
      </c>
      <c r="F1390" s="1">
        <v>22589</v>
      </c>
      <c r="G1390" s="1" t="s">
        <v>21</v>
      </c>
      <c r="H1390" s="1">
        <v>18</v>
      </c>
      <c r="I1390" s="1">
        <v>438081</v>
      </c>
      <c r="J1390" s="1" t="s">
        <v>1188</v>
      </c>
      <c r="K1390" s="1" t="s">
        <v>34</v>
      </c>
      <c r="L1390" s="1" t="s">
        <v>76</v>
      </c>
      <c r="M1390" s="1">
        <v>1</v>
      </c>
      <c r="N1390" s="2">
        <v>122.4</v>
      </c>
      <c r="O1390" s="3">
        <v>137</v>
      </c>
      <c r="P1390" s="1">
        <v>0</v>
      </c>
      <c r="Q1390" s="1" t="s">
        <v>25</v>
      </c>
      <c r="R1390" s="1" t="s">
        <v>25</v>
      </c>
      <c r="S1390" s="1">
        <v>50</v>
      </c>
      <c r="T1390" s="1">
        <v>2</v>
      </c>
      <c r="U1390" s="1">
        <v>2</v>
      </c>
      <c r="V1390">
        <f t="shared" si="21"/>
        <v>137</v>
      </c>
    </row>
    <row r="1391" spans="1:22" ht="13" x14ac:dyDescent="0.15">
      <c r="A1391" s="4">
        <v>44778</v>
      </c>
      <c r="B1391" s="5">
        <v>0.65141203703703698</v>
      </c>
      <c r="C1391" s="1">
        <v>1867</v>
      </c>
      <c r="D1391" s="1">
        <v>13002616</v>
      </c>
      <c r="E1391" s="1">
        <v>13</v>
      </c>
      <c r="F1391" s="1">
        <v>22589</v>
      </c>
      <c r="G1391" s="1" t="s">
        <v>21</v>
      </c>
      <c r="H1391" s="1">
        <v>15</v>
      </c>
      <c r="I1391" s="1">
        <v>278599</v>
      </c>
      <c r="J1391" s="1" t="s">
        <v>98</v>
      </c>
      <c r="K1391" s="1" t="s">
        <v>23</v>
      </c>
      <c r="L1391" s="1" t="s">
        <v>99</v>
      </c>
      <c r="M1391" s="1">
        <v>3</v>
      </c>
      <c r="N1391" s="2">
        <v>30.62</v>
      </c>
      <c r="O1391" s="3">
        <v>50</v>
      </c>
      <c r="P1391" s="1">
        <v>15</v>
      </c>
      <c r="Q1391" s="1">
        <v>9</v>
      </c>
      <c r="R1391" s="1">
        <v>200010014429</v>
      </c>
      <c r="S1391" s="1">
        <v>50</v>
      </c>
      <c r="T1391" s="1">
        <v>1</v>
      </c>
      <c r="U1391" s="1">
        <v>5</v>
      </c>
      <c r="V1391">
        <f t="shared" si="21"/>
        <v>150</v>
      </c>
    </row>
    <row r="1392" spans="1:22" ht="13" x14ac:dyDescent="0.15">
      <c r="A1392" s="4">
        <v>44778</v>
      </c>
      <c r="B1392" s="5">
        <v>0.65141203703703698</v>
      </c>
      <c r="C1392" s="1">
        <v>1867</v>
      </c>
      <c r="D1392" s="1">
        <v>13002616</v>
      </c>
      <c r="E1392" s="1">
        <v>13</v>
      </c>
      <c r="F1392" s="1">
        <v>22589</v>
      </c>
      <c r="G1392" s="1" t="s">
        <v>21</v>
      </c>
      <c r="H1392" s="1">
        <v>15</v>
      </c>
      <c r="I1392" s="1">
        <v>435523</v>
      </c>
      <c r="J1392" s="1" t="s">
        <v>172</v>
      </c>
      <c r="K1392" s="1" t="s">
        <v>64</v>
      </c>
      <c r="L1392" s="1" t="s">
        <v>173</v>
      </c>
      <c r="M1392" s="1">
        <v>1</v>
      </c>
      <c r="N1392" s="2">
        <v>25.48</v>
      </c>
      <c r="O1392" s="3">
        <v>39</v>
      </c>
      <c r="P1392" s="1">
        <v>2</v>
      </c>
      <c r="Q1392" s="1">
        <v>9</v>
      </c>
      <c r="R1392" s="1">
        <v>200010014429</v>
      </c>
      <c r="S1392" s="1">
        <v>50</v>
      </c>
      <c r="T1392" s="1">
        <v>1</v>
      </c>
      <c r="U1392" s="1">
        <v>4</v>
      </c>
      <c r="V1392">
        <f t="shared" si="21"/>
        <v>39</v>
      </c>
    </row>
    <row r="1393" spans="1:22" ht="13" x14ac:dyDescent="0.15">
      <c r="A1393" s="4">
        <v>44778</v>
      </c>
      <c r="B1393" s="5">
        <v>0.65265046296296292</v>
      </c>
      <c r="C1393" s="1">
        <v>1868</v>
      </c>
      <c r="D1393" s="1">
        <v>13002616</v>
      </c>
      <c r="E1393" s="1">
        <v>13</v>
      </c>
      <c r="F1393" s="1">
        <v>22589</v>
      </c>
      <c r="G1393" s="1" t="s">
        <v>21</v>
      </c>
      <c r="H1393" s="1">
        <v>15</v>
      </c>
      <c r="I1393" s="1">
        <v>434298</v>
      </c>
      <c r="J1393" s="1" t="s">
        <v>828</v>
      </c>
      <c r="K1393" s="1" t="s">
        <v>29</v>
      </c>
      <c r="L1393" s="1" t="s">
        <v>335</v>
      </c>
      <c r="M1393" s="1">
        <v>1</v>
      </c>
      <c r="N1393" s="2">
        <v>85.97</v>
      </c>
      <c r="O1393" s="3">
        <v>123</v>
      </c>
      <c r="P1393" s="1">
        <v>8</v>
      </c>
      <c r="Q1393" s="1">
        <v>9</v>
      </c>
      <c r="R1393" s="1">
        <v>200010014429</v>
      </c>
      <c r="S1393" s="1">
        <v>50</v>
      </c>
      <c r="T1393" s="1">
        <v>1</v>
      </c>
      <c r="U1393" s="1">
        <v>1</v>
      </c>
      <c r="V1393">
        <f t="shared" si="21"/>
        <v>123</v>
      </c>
    </row>
    <row r="1394" spans="1:22" ht="13" x14ac:dyDescent="0.15">
      <c r="A1394" s="4">
        <v>44778</v>
      </c>
      <c r="B1394" s="5">
        <v>0.65452546296296299</v>
      </c>
      <c r="C1394" s="1">
        <v>1869</v>
      </c>
      <c r="D1394" s="1">
        <v>13002616</v>
      </c>
      <c r="E1394" s="1">
        <v>13</v>
      </c>
      <c r="F1394" s="1">
        <v>22589</v>
      </c>
      <c r="G1394" s="1" t="s">
        <v>21</v>
      </c>
      <c r="H1394" s="1">
        <v>18</v>
      </c>
      <c r="I1394" s="1">
        <v>1279</v>
      </c>
      <c r="J1394" s="1" t="s">
        <v>1189</v>
      </c>
      <c r="K1394" s="1" t="s">
        <v>23</v>
      </c>
      <c r="L1394" s="1" t="s">
        <v>1190</v>
      </c>
      <c r="M1394" s="1">
        <v>1</v>
      </c>
      <c r="N1394" s="2">
        <v>378.31</v>
      </c>
      <c r="O1394" s="3">
        <v>500</v>
      </c>
      <c r="P1394" s="1">
        <v>0</v>
      </c>
      <c r="Q1394" s="1" t="s">
        <v>25</v>
      </c>
      <c r="R1394" s="1" t="s">
        <v>25</v>
      </c>
      <c r="S1394" s="1">
        <v>50</v>
      </c>
      <c r="T1394" s="1">
        <v>1</v>
      </c>
      <c r="U1394" s="1">
        <v>2</v>
      </c>
      <c r="V1394">
        <f t="shared" si="21"/>
        <v>500</v>
      </c>
    </row>
    <row r="1395" spans="1:22" ht="13" x14ac:dyDescent="0.15">
      <c r="A1395" s="4">
        <v>44778</v>
      </c>
      <c r="B1395" s="5">
        <v>0.65452546296296299</v>
      </c>
      <c r="C1395" s="1">
        <v>1869</v>
      </c>
      <c r="D1395" s="1">
        <v>13002616</v>
      </c>
      <c r="E1395" s="1">
        <v>13</v>
      </c>
      <c r="F1395" s="1">
        <v>22589</v>
      </c>
      <c r="G1395" s="1" t="s">
        <v>21</v>
      </c>
      <c r="H1395" s="1">
        <v>18</v>
      </c>
      <c r="I1395" s="1">
        <v>22260</v>
      </c>
      <c r="J1395" s="1" t="s">
        <v>1191</v>
      </c>
      <c r="K1395" s="1" t="s">
        <v>51</v>
      </c>
      <c r="L1395" s="1" t="s">
        <v>1192</v>
      </c>
      <c r="M1395" s="1">
        <v>1</v>
      </c>
      <c r="N1395" s="2">
        <v>112.63</v>
      </c>
      <c r="O1395" s="3">
        <v>175</v>
      </c>
      <c r="P1395" s="1">
        <v>0</v>
      </c>
      <c r="Q1395" s="1" t="s">
        <v>25</v>
      </c>
      <c r="R1395" s="1" t="s">
        <v>25</v>
      </c>
      <c r="S1395" s="1">
        <v>50</v>
      </c>
      <c r="T1395" s="1">
        <v>1</v>
      </c>
      <c r="U1395" s="1">
        <v>3</v>
      </c>
      <c r="V1395">
        <f t="shared" si="21"/>
        <v>175</v>
      </c>
    </row>
    <row r="1396" spans="1:22" ht="13" x14ac:dyDescent="0.15">
      <c r="A1396" s="4">
        <v>44778</v>
      </c>
      <c r="B1396" s="5">
        <v>0.65650462962962963</v>
      </c>
      <c r="C1396" s="1">
        <v>1870</v>
      </c>
      <c r="D1396" s="1">
        <v>13002616</v>
      </c>
      <c r="E1396" s="1">
        <v>13</v>
      </c>
      <c r="F1396" s="1">
        <v>22589</v>
      </c>
      <c r="G1396" s="1" t="s">
        <v>21</v>
      </c>
      <c r="H1396" s="1">
        <v>18</v>
      </c>
      <c r="I1396" s="1">
        <v>101272</v>
      </c>
      <c r="J1396" s="1" t="s">
        <v>845</v>
      </c>
      <c r="K1396" s="1" t="s">
        <v>34</v>
      </c>
      <c r="L1396" s="1" t="s">
        <v>1039</v>
      </c>
      <c r="M1396" s="1">
        <v>1</v>
      </c>
      <c r="N1396" s="2">
        <v>558.12</v>
      </c>
      <c r="O1396" s="3">
        <v>720</v>
      </c>
      <c r="P1396" s="1">
        <v>0</v>
      </c>
      <c r="Q1396" s="1" t="s">
        <v>25</v>
      </c>
      <c r="R1396" s="1" t="s">
        <v>25</v>
      </c>
      <c r="S1396" s="1">
        <v>50</v>
      </c>
      <c r="T1396" s="1">
        <v>1</v>
      </c>
      <c r="U1396" s="1">
        <v>1</v>
      </c>
      <c r="V1396">
        <f t="shared" si="21"/>
        <v>720</v>
      </c>
    </row>
    <row r="1397" spans="1:22" ht="13" x14ac:dyDescent="0.15">
      <c r="A1397" s="4">
        <v>44778</v>
      </c>
      <c r="B1397" s="5">
        <v>0.66655092592592591</v>
      </c>
      <c r="C1397" s="1">
        <v>1871</v>
      </c>
      <c r="D1397" s="1">
        <v>13002616</v>
      </c>
      <c r="E1397" s="1">
        <v>13</v>
      </c>
      <c r="F1397" s="1">
        <v>22589</v>
      </c>
      <c r="G1397" s="1" t="s">
        <v>21</v>
      </c>
      <c r="H1397" s="1">
        <v>18</v>
      </c>
      <c r="I1397" s="1">
        <v>262515</v>
      </c>
      <c r="J1397" s="1" t="s">
        <v>1193</v>
      </c>
      <c r="K1397" s="1" t="s">
        <v>51</v>
      </c>
      <c r="L1397" s="1" t="s">
        <v>633</v>
      </c>
      <c r="M1397" s="1">
        <v>1</v>
      </c>
      <c r="N1397" s="2">
        <v>113.63</v>
      </c>
      <c r="O1397" s="3">
        <v>137</v>
      </c>
      <c r="P1397" s="1">
        <v>0</v>
      </c>
      <c r="Q1397" s="1" t="s">
        <v>25</v>
      </c>
      <c r="R1397" s="1" t="s">
        <v>25</v>
      </c>
      <c r="S1397" s="1">
        <v>50</v>
      </c>
      <c r="T1397" s="1">
        <v>1</v>
      </c>
      <c r="U1397" s="1">
        <v>1</v>
      </c>
      <c r="V1397">
        <f t="shared" si="21"/>
        <v>137</v>
      </c>
    </row>
    <row r="1398" spans="1:22" ht="13" x14ac:dyDescent="0.15">
      <c r="A1398" s="4">
        <v>44778</v>
      </c>
      <c r="B1398" s="5">
        <v>0.67054398148148153</v>
      </c>
      <c r="C1398" s="1">
        <v>1872</v>
      </c>
      <c r="D1398" s="1">
        <v>13002616</v>
      </c>
      <c r="E1398" s="1">
        <v>13</v>
      </c>
      <c r="F1398" s="1">
        <v>22589</v>
      </c>
      <c r="G1398" s="1" t="s">
        <v>21</v>
      </c>
      <c r="H1398" s="1">
        <v>18</v>
      </c>
      <c r="I1398" s="1">
        <v>4800</v>
      </c>
      <c r="J1398" s="1" t="s">
        <v>254</v>
      </c>
      <c r="K1398" s="1" t="s">
        <v>23</v>
      </c>
      <c r="L1398" s="1" t="s">
        <v>255</v>
      </c>
      <c r="M1398" s="1">
        <v>1</v>
      </c>
      <c r="N1398" s="2">
        <v>42.43</v>
      </c>
      <c r="O1398" s="3">
        <v>53</v>
      </c>
      <c r="P1398" s="1">
        <v>2</v>
      </c>
      <c r="Q1398" s="1">
        <v>9</v>
      </c>
      <c r="R1398" s="1">
        <v>200010023937</v>
      </c>
      <c r="S1398" s="1">
        <v>50</v>
      </c>
      <c r="T1398" s="1">
        <v>1</v>
      </c>
      <c r="U1398" s="1">
        <v>1</v>
      </c>
      <c r="V1398">
        <f t="shared" si="21"/>
        <v>53</v>
      </c>
    </row>
    <row r="1399" spans="1:22" ht="13" x14ac:dyDescent="0.15">
      <c r="A1399" s="4">
        <v>44778</v>
      </c>
      <c r="B1399" s="5">
        <v>0.67054398148148153</v>
      </c>
      <c r="C1399" s="1">
        <v>1872</v>
      </c>
      <c r="D1399" s="1">
        <v>13002616</v>
      </c>
      <c r="E1399" s="1">
        <v>13</v>
      </c>
      <c r="F1399" s="1">
        <v>22589</v>
      </c>
      <c r="G1399" s="1" t="s">
        <v>21</v>
      </c>
      <c r="H1399" s="1">
        <v>18</v>
      </c>
      <c r="I1399" s="1">
        <v>4800</v>
      </c>
      <c r="J1399" s="1" t="s">
        <v>254</v>
      </c>
      <c r="K1399" s="1" t="s">
        <v>23</v>
      </c>
      <c r="L1399" s="1" t="s">
        <v>255</v>
      </c>
      <c r="M1399" s="1">
        <v>1</v>
      </c>
      <c r="N1399" s="2">
        <v>42.43</v>
      </c>
      <c r="O1399" s="3">
        <v>53</v>
      </c>
      <c r="P1399" s="1">
        <v>2</v>
      </c>
      <c r="Q1399" s="1">
        <v>9</v>
      </c>
      <c r="R1399" s="1">
        <v>200010023937</v>
      </c>
      <c r="S1399" s="1">
        <v>50</v>
      </c>
      <c r="T1399" s="1">
        <v>1</v>
      </c>
      <c r="U1399" s="1">
        <v>2</v>
      </c>
      <c r="V1399">
        <f t="shared" si="21"/>
        <v>53</v>
      </c>
    </row>
    <row r="1400" spans="1:22" ht="13" x14ac:dyDescent="0.15">
      <c r="A1400" s="4">
        <v>44778</v>
      </c>
      <c r="B1400" s="5">
        <v>0.67054398148148153</v>
      </c>
      <c r="C1400" s="1">
        <v>1872</v>
      </c>
      <c r="D1400" s="1">
        <v>13002616</v>
      </c>
      <c r="E1400" s="1">
        <v>13</v>
      </c>
      <c r="F1400" s="1">
        <v>22589</v>
      </c>
      <c r="G1400" s="1" t="s">
        <v>21</v>
      </c>
      <c r="H1400" s="1">
        <v>18</v>
      </c>
      <c r="I1400" s="1">
        <v>265247</v>
      </c>
      <c r="J1400" s="1" t="s">
        <v>1194</v>
      </c>
      <c r="K1400" s="1" t="s">
        <v>51</v>
      </c>
      <c r="L1400" s="1" t="s">
        <v>825</v>
      </c>
      <c r="M1400" s="1">
        <v>1</v>
      </c>
      <c r="N1400" s="2">
        <v>141.6</v>
      </c>
      <c r="O1400" s="3">
        <v>168</v>
      </c>
      <c r="P1400" s="1">
        <v>8</v>
      </c>
      <c r="Q1400" s="1">
        <v>9</v>
      </c>
      <c r="R1400" s="1">
        <v>200010023937</v>
      </c>
      <c r="S1400" s="1">
        <v>50</v>
      </c>
      <c r="T1400" s="1">
        <v>1</v>
      </c>
      <c r="U1400" s="1">
        <v>3</v>
      </c>
      <c r="V1400">
        <f t="shared" si="21"/>
        <v>168</v>
      </c>
    </row>
    <row r="1401" spans="1:22" ht="13" x14ac:dyDescent="0.15">
      <c r="A1401" s="4">
        <v>44778</v>
      </c>
      <c r="B1401" s="5">
        <v>0.68244212962962958</v>
      </c>
      <c r="C1401" s="1">
        <v>1873</v>
      </c>
      <c r="D1401" s="1">
        <v>13002616</v>
      </c>
      <c r="E1401" s="1">
        <v>13</v>
      </c>
      <c r="F1401" s="1">
        <v>22589</v>
      </c>
      <c r="G1401" s="1" t="s">
        <v>21</v>
      </c>
      <c r="H1401" s="1">
        <v>15</v>
      </c>
      <c r="I1401" s="1">
        <v>48362</v>
      </c>
      <c r="J1401" s="1" t="s">
        <v>1195</v>
      </c>
      <c r="K1401" s="1" t="s">
        <v>61</v>
      </c>
      <c r="L1401" s="1" t="s">
        <v>477</v>
      </c>
      <c r="M1401" s="1">
        <v>1</v>
      </c>
      <c r="N1401" s="2">
        <v>632.94000000000005</v>
      </c>
      <c r="O1401" s="3">
        <v>702</v>
      </c>
      <c r="P1401" s="1">
        <v>21</v>
      </c>
      <c r="Q1401" s="1">
        <v>9</v>
      </c>
      <c r="R1401" s="1">
        <v>200010020479</v>
      </c>
      <c r="S1401" s="1">
        <v>50</v>
      </c>
      <c r="T1401" s="1">
        <v>1</v>
      </c>
      <c r="U1401" s="1">
        <v>2</v>
      </c>
      <c r="V1401">
        <f t="shared" si="21"/>
        <v>702</v>
      </c>
    </row>
    <row r="1402" spans="1:22" ht="13" x14ac:dyDescent="0.15">
      <c r="A1402" s="4">
        <v>44778</v>
      </c>
      <c r="B1402" s="5">
        <v>0.68244212962962958</v>
      </c>
      <c r="C1402" s="1">
        <v>1873</v>
      </c>
      <c r="D1402" s="1">
        <v>13002616</v>
      </c>
      <c r="E1402" s="1">
        <v>13</v>
      </c>
      <c r="F1402" s="1">
        <v>22589</v>
      </c>
      <c r="G1402" s="1" t="s">
        <v>21</v>
      </c>
      <c r="H1402" s="1">
        <v>15</v>
      </c>
      <c r="I1402" s="1">
        <v>276812</v>
      </c>
      <c r="J1402" s="1" t="s">
        <v>1196</v>
      </c>
      <c r="K1402" s="1" t="s">
        <v>45</v>
      </c>
      <c r="L1402" s="1" t="s">
        <v>269</v>
      </c>
      <c r="M1402" s="1">
        <v>1</v>
      </c>
      <c r="N1402" s="2">
        <v>210.89</v>
      </c>
      <c r="O1402" s="3">
        <v>285</v>
      </c>
      <c r="P1402" s="1">
        <v>19</v>
      </c>
      <c r="Q1402" s="1">
        <v>9</v>
      </c>
      <c r="R1402" s="1">
        <v>200010020479</v>
      </c>
      <c r="S1402" s="1">
        <v>50</v>
      </c>
      <c r="T1402" s="1">
        <v>1</v>
      </c>
      <c r="U1402" s="1">
        <v>1</v>
      </c>
      <c r="V1402">
        <f t="shared" si="21"/>
        <v>285</v>
      </c>
    </row>
    <row r="1403" spans="1:22" ht="13" x14ac:dyDescent="0.15">
      <c r="A1403" s="4">
        <v>44778</v>
      </c>
      <c r="B1403" s="5">
        <v>0.68760416666666668</v>
      </c>
      <c r="C1403" s="1">
        <v>1874</v>
      </c>
      <c r="D1403" s="1">
        <v>13002616</v>
      </c>
      <c r="E1403" s="1">
        <v>13</v>
      </c>
      <c r="F1403" s="1">
        <v>22589</v>
      </c>
      <c r="G1403" s="1" t="s">
        <v>21</v>
      </c>
      <c r="H1403" s="1">
        <v>15</v>
      </c>
      <c r="I1403" s="1">
        <v>114181</v>
      </c>
      <c r="J1403" s="1" t="s">
        <v>1197</v>
      </c>
      <c r="K1403" s="1" t="s">
        <v>29</v>
      </c>
      <c r="L1403" s="1" t="s">
        <v>802</v>
      </c>
      <c r="M1403" s="1">
        <v>1</v>
      </c>
      <c r="N1403" s="2">
        <v>171.46</v>
      </c>
      <c r="O1403" s="3">
        <v>235</v>
      </c>
      <c r="P1403" s="1">
        <v>0</v>
      </c>
      <c r="Q1403" s="1" t="s">
        <v>25</v>
      </c>
      <c r="R1403" s="1" t="s">
        <v>25</v>
      </c>
      <c r="S1403" s="1">
        <v>50</v>
      </c>
      <c r="T1403" s="1">
        <v>1</v>
      </c>
      <c r="U1403" s="1">
        <v>1</v>
      </c>
      <c r="V1403">
        <f t="shared" si="21"/>
        <v>235</v>
      </c>
    </row>
    <row r="1404" spans="1:22" ht="13" x14ac:dyDescent="0.15">
      <c r="A1404" s="4">
        <v>44778</v>
      </c>
      <c r="B1404" s="5">
        <v>0.68890046296296292</v>
      </c>
      <c r="C1404" s="1">
        <v>1875</v>
      </c>
      <c r="D1404" s="1">
        <v>13002616</v>
      </c>
      <c r="E1404" s="1">
        <v>13</v>
      </c>
      <c r="F1404" s="1">
        <v>22589</v>
      </c>
      <c r="G1404" s="1" t="s">
        <v>21</v>
      </c>
      <c r="H1404" s="1">
        <v>15</v>
      </c>
      <c r="I1404" s="1">
        <v>340098</v>
      </c>
      <c r="J1404" s="1" t="s">
        <v>396</v>
      </c>
      <c r="K1404" s="1" t="s">
        <v>51</v>
      </c>
      <c r="L1404" s="1" t="s">
        <v>397</v>
      </c>
      <c r="M1404" s="1">
        <v>1</v>
      </c>
      <c r="N1404" s="2">
        <v>74.400000000000006</v>
      </c>
      <c r="O1404" s="3">
        <v>106</v>
      </c>
      <c r="P1404" s="1">
        <v>7</v>
      </c>
      <c r="Q1404" s="1">
        <v>9</v>
      </c>
      <c r="R1404" s="1">
        <v>200010003394</v>
      </c>
      <c r="S1404" s="1">
        <v>50</v>
      </c>
      <c r="T1404" s="1">
        <v>1</v>
      </c>
      <c r="U1404" s="1">
        <v>2</v>
      </c>
      <c r="V1404">
        <f t="shared" si="21"/>
        <v>106</v>
      </c>
    </row>
    <row r="1405" spans="1:22" ht="13" x14ac:dyDescent="0.15">
      <c r="A1405" s="4">
        <v>44778</v>
      </c>
      <c r="B1405" s="5">
        <v>0.68890046296296292</v>
      </c>
      <c r="C1405" s="1">
        <v>1875</v>
      </c>
      <c r="D1405" s="1">
        <v>13002616</v>
      </c>
      <c r="E1405" s="1">
        <v>13</v>
      </c>
      <c r="F1405" s="1">
        <v>22589</v>
      </c>
      <c r="G1405" s="1" t="s">
        <v>21</v>
      </c>
      <c r="H1405" s="1">
        <v>15</v>
      </c>
      <c r="I1405" s="1">
        <v>16026</v>
      </c>
      <c r="J1405" s="1" t="s">
        <v>857</v>
      </c>
      <c r="K1405" s="1" t="s">
        <v>34</v>
      </c>
      <c r="L1405" s="1" t="s">
        <v>388</v>
      </c>
      <c r="M1405" s="1">
        <v>1</v>
      </c>
      <c r="N1405" s="2">
        <v>555.70000000000005</v>
      </c>
      <c r="O1405" s="3">
        <v>640</v>
      </c>
      <c r="P1405" s="1">
        <v>44</v>
      </c>
      <c r="Q1405" s="1">
        <v>9</v>
      </c>
      <c r="R1405" s="1">
        <v>200010003394</v>
      </c>
      <c r="S1405" s="1">
        <v>50</v>
      </c>
      <c r="T1405" s="1">
        <v>1</v>
      </c>
      <c r="U1405" s="1">
        <v>1</v>
      </c>
      <c r="V1405">
        <f t="shared" si="21"/>
        <v>640</v>
      </c>
    </row>
    <row r="1406" spans="1:22" ht="13" x14ac:dyDescent="0.15">
      <c r="A1406" s="4">
        <v>44778</v>
      </c>
      <c r="B1406" s="5">
        <v>0.69196759259259255</v>
      </c>
      <c r="C1406" s="1">
        <v>1876</v>
      </c>
      <c r="D1406" s="1">
        <v>13002616</v>
      </c>
      <c r="E1406" s="1">
        <v>13</v>
      </c>
      <c r="F1406" s="1">
        <v>22589</v>
      </c>
      <c r="G1406" s="1" t="s">
        <v>21</v>
      </c>
      <c r="H1406" s="1">
        <v>18</v>
      </c>
      <c r="I1406" s="1">
        <v>300319</v>
      </c>
      <c r="J1406" s="1" t="s">
        <v>1198</v>
      </c>
      <c r="K1406" s="1" t="s">
        <v>23</v>
      </c>
      <c r="L1406" s="1" t="s">
        <v>39</v>
      </c>
      <c r="M1406" s="1">
        <v>1</v>
      </c>
      <c r="N1406" s="2">
        <v>317.11</v>
      </c>
      <c r="O1406" s="3">
        <v>419</v>
      </c>
      <c r="P1406" s="1">
        <v>29</v>
      </c>
      <c r="Q1406" s="1">
        <v>9</v>
      </c>
      <c r="R1406" s="1">
        <v>200010022526</v>
      </c>
      <c r="S1406" s="1">
        <v>50</v>
      </c>
      <c r="T1406" s="1">
        <v>1</v>
      </c>
      <c r="U1406" s="1">
        <v>1</v>
      </c>
      <c r="V1406">
        <f t="shared" si="21"/>
        <v>419</v>
      </c>
    </row>
    <row r="1407" spans="1:22" ht="13" x14ac:dyDescent="0.15">
      <c r="A1407" s="4">
        <v>44778</v>
      </c>
      <c r="B1407" s="5">
        <v>0.71643518518518523</v>
      </c>
      <c r="C1407" s="1">
        <v>1878</v>
      </c>
      <c r="D1407" s="1">
        <v>13002616</v>
      </c>
      <c r="E1407" s="1">
        <v>13</v>
      </c>
      <c r="F1407" s="1">
        <v>22589</v>
      </c>
      <c r="G1407" s="1" t="s">
        <v>21</v>
      </c>
      <c r="H1407" s="1">
        <v>15</v>
      </c>
      <c r="I1407" s="1">
        <v>342435</v>
      </c>
      <c r="J1407" s="1" t="s">
        <v>866</v>
      </c>
      <c r="K1407" s="1" t="s">
        <v>23</v>
      </c>
      <c r="L1407" s="1" t="s">
        <v>228</v>
      </c>
      <c r="M1407" s="1">
        <v>1</v>
      </c>
      <c r="N1407" s="2">
        <v>34.32</v>
      </c>
      <c r="O1407" s="3">
        <v>53</v>
      </c>
      <c r="P1407" s="1">
        <v>0</v>
      </c>
      <c r="Q1407" s="1" t="s">
        <v>25</v>
      </c>
      <c r="R1407" s="1" t="s">
        <v>25</v>
      </c>
      <c r="S1407" s="1">
        <v>50</v>
      </c>
      <c r="T1407" s="1">
        <v>1</v>
      </c>
      <c r="U1407" s="1">
        <v>5</v>
      </c>
      <c r="V1407">
        <f t="shared" si="21"/>
        <v>53</v>
      </c>
    </row>
    <row r="1408" spans="1:22" ht="13" x14ac:dyDescent="0.15">
      <c r="A1408" s="4">
        <v>44778</v>
      </c>
      <c r="B1408" s="5">
        <v>0.76478009259259261</v>
      </c>
      <c r="C1408" s="1">
        <v>1887</v>
      </c>
      <c r="D1408" s="1">
        <v>13002616</v>
      </c>
      <c r="E1408" s="1">
        <v>13</v>
      </c>
      <c r="F1408" s="1">
        <v>22589</v>
      </c>
      <c r="G1408" s="1" t="s">
        <v>21</v>
      </c>
      <c r="H1408" s="1">
        <v>18</v>
      </c>
      <c r="I1408" s="1">
        <v>342435</v>
      </c>
      <c r="J1408" s="1" t="s">
        <v>866</v>
      </c>
      <c r="K1408" s="1" t="s">
        <v>23</v>
      </c>
      <c r="L1408" s="1" t="s">
        <v>228</v>
      </c>
      <c r="M1408" s="1">
        <v>1</v>
      </c>
      <c r="N1408" s="2">
        <v>34.32</v>
      </c>
      <c r="O1408" s="3">
        <v>53</v>
      </c>
      <c r="P1408" s="1">
        <v>0</v>
      </c>
      <c r="Q1408" s="1" t="s">
        <v>25</v>
      </c>
      <c r="R1408" s="1" t="s">
        <v>25</v>
      </c>
      <c r="S1408" s="1">
        <v>50</v>
      </c>
      <c r="T1408" s="1">
        <v>1</v>
      </c>
      <c r="U1408" s="1">
        <v>1</v>
      </c>
      <c r="V1408">
        <f t="shared" si="21"/>
        <v>53</v>
      </c>
    </row>
    <row r="1409" spans="1:22" ht="13" x14ac:dyDescent="0.15">
      <c r="A1409" s="4">
        <v>44778</v>
      </c>
      <c r="B1409" s="5">
        <v>0.71643518518518523</v>
      </c>
      <c r="C1409" s="1">
        <v>1878</v>
      </c>
      <c r="D1409" s="1">
        <v>13002616</v>
      </c>
      <c r="E1409" s="1">
        <v>13</v>
      </c>
      <c r="F1409" s="1">
        <v>22589</v>
      </c>
      <c r="G1409" s="1" t="s">
        <v>21</v>
      </c>
      <c r="H1409" s="1">
        <v>15</v>
      </c>
      <c r="I1409" s="1">
        <v>519407</v>
      </c>
      <c r="J1409" s="1" t="s">
        <v>90</v>
      </c>
      <c r="K1409" s="1" t="s">
        <v>51</v>
      </c>
      <c r="L1409" s="1" t="s">
        <v>91</v>
      </c>
      <c r="M1409" s="1">
        <v>1</v>
      </c>
      <c r="N1409" s="2">
        <v>34.25</v>
      </c>
      <c r="O1409" s="3">
        <v>53</v>
      </c>
      <c r="P1409" s="1">
        <v>0</v>
      </c>
      <c r="Q1409" s="1" t="s">
        <v>25</v>
      </c>
      <c r="R1409" s="1" t="s">
        <v>25</v>
      </c>
      <c r="S1409" s="1">
        <v>50</v>
      </c>
      <c r="T1409" s="1">
        <v>1</v>
      </c>
      <c r="U1409" s="1">
        <v>1</v>
      </c>
      <c r="V1409">
        <f t="shared" si="21"/>
        <v>53</v>
      </c>
    </row>
    <row r="1410" spans="1:22" ht="13" x14ac:dyDescent="0.15">
      <c r="A1410" s="4">
        <v>44778</v>
      </c>
      <c r="B1410" s="5">
        <v>0.71643518518518523</v>
      </c>
      <c r="C1410" s="1">
        <v>1878</v>
      </c>
      <c r="D1410" s="1">
        <v>13002616</v>
      </c>
      <c r="E1410" s="1">
        <v>13</v>
      </c>
      <c r="F1410" s="1">
        <v>22589</v>
      </c>
      <c r="G1410" s="1" t="s">
        <v>21</v>
      </c>
      <c r="H1410" s="1">
        <v>15</v>
      </c>
      <c r="I1410" s="1">
        <v>393314</v>
      </c>
      <c r="J1410" s="1" t="s">
        <v>270</v>
      </c>
      <c r="K1410" s="1" t="s">
        <v>51</v>
      </c>
      <c r="L1410" s="1" t="s">
        <v>76</v>
      </c>
      <c r="M1410" s="1">
        <v>1</v>
      </c>
      <c r="N1410" s="2">
        <v>42.82</v>
      </c>
      <c r="O1410" s="3">
        <v>66</v>
      </c>
      <c r="P1410" s="1">
        <v>0</v>
      </c>
      <c r="Q1410" s="1" t="s">
        <v>25</v>
      </c>
      <c r="R1410" s="1" t="s">
        <v>25</v>
      </c>
      <c r="S1410" s="1">
        <v>50</v>
      </c>
      <c r="T1410" s="1">
        <v>1</v>
      </c>
      <c r="U1410" s="1">
        <v>6</v>
      </c>
      <c r="V1410">
        <f t="shared" si="21"/>
        <v>66</v>
      </c>
    </row>
    <row r="1411" spans="1:22" ht="13" x14ac:dyDescent="0.15">
      <c r="A1411" s="4">
        <v>44778</v>
      </c>
      <c r="B1411" s="5">
        <v>0.78909722222222223</v>
      </c>
      <c r="C1411" s="1">
        <v>1895</v>
      </c>
      <c r="D1411" s="1">
        <v>13002616</v>
      </c>
      <c r="E1411" s="1">
        <v>13</v>
      </c>
      <c r="F1411" s="1">
        <v>22589</v>
      </c>
      <c r="G1411" s="1" t="s">
        <v>21</v>
      </c>
      <c r="H1411" s="1">
        <v>18</v>
      </c>
      <c r="I1411" s="1">
        <v>393314</v>
      </c>
      <c r="J1411" s="1" t="s">
        <v>270</v>
      </c>
      <c r="K1411" s="1" t="s">
        <v>51</v>
      </c>
      <c r="L1411" s="1" t="s">
        <v>76</v>
      </c>
      <c r="M1411" s="1">
        <v>1</v>
      </c>
      <c r="N1411" s="2">
        <v>42.82</v>
      </c>
      <c r="O1411" s="3">
        <v>66</v>
      </c>
      <c r="P1411" s="1">
        <v>0</v>
      </c>
      <c r="Q1411" s="1" t="s">
        <v>25</v>
      </c>
      <c r="R1411" s="1" t="s">
        <v>25</v>
      </c>
      <c r="S1411" s="1">
        <v>50</v>
      </c>
      <c r="T1411" s="1">
        <v>1</v>
      </c>
      <c r="U1411" s="1">
        <v>2</v>
      </c>
      <c r="V1411">
        <f t="shared" ref="V1411:V1449" si="22">O1411*M1411</f>
        <v>66</v>
      </c>
    </row>
    <row r="1412" spans="1:22" ht="13" x14ac:dyDescent="0.15">
      <c r="A1412" s="4">
        <v>44778</v>
      </c>
      <c r="B1412" s="5">
        <v>0.71643518518518523</v>
      </c>
      <c r="C1412" s="1">
        <v>1878</v>
      </c>
      <c r="D1412" s="1">
        <v>13002616</v>
      </c>
      <c r="E1412" s="1">
        <v>13</v>
      </c>
      <c r="F1412" s="1">
        <v>22589</v>
      </c>
      <c r="G1412" s="1" t="s">
        <v>21</v>
      </c>
      <c r="H1412" s="1">
        <v>15</v>
      </c>
      <c r="I1412" s="1">
        <v>345578</v>
      </c>
      <c r="J1412" s="1" t="s">
        <v>121</v>
      </c>
      <c r="K1412" s="1" t="s">
        <v>51</v>
      </c>
      <c r="L1412" s="1" t="s">
        <v>76</v>
      </c>
      <c r="M1412" s="1">
        <v>1</v>
      </c>
      <c r="N1412" s="2">
        <v>20.61</v>
      </c>
      <c r="O1412" s="3">
        <v>25</v>
      </c>
      <c r="P1412" s="1">
        <v>0</v>
      </c>
      <c r="Q1412" s="1" t="s">
        <v>25</v>
      </c>
      <c r="R1412" s="1" t="s">
        <v>25</v>
      </c>
      <c r="S1412" s="1">
        <v>50</v>
      </c>
      <c r="T1412" s="1">
        <v>1</v>
      </c>
      <c r="U1412" s="1">
        <v>4</v>
      </c>
      <c r="V1412">
        <f t="shared" si="22"/>
        <v>25</v>
      </c>
    </row>
    <row r="1413" spans="1:22" ht="13" x14ac:dyDescent="0.15">
      <c r="A1413" s="4">
        <v>44778</v>
      </c>
      <c r="B1413" s="5">
        <v>0.72395833333333337</v>
      </c>
      <c r="C1413" s="1">
        <v>1879</v>
      </c>
      <c r="D1413" s="1">
        <v>13002616</v>
      </c>
      <c r="E1413" s="1">
        <v>13</v>
      </c>
      <c r="F1413" s="1">
        <v>22589</v>
      </c>
      <c r="G1413" s="1" t="s">
        <v>21</v>
      </c>
      <c r="H1413" s="1">
        <v>18</v>
      </c>
      <c r="I1413" s="1">
        <v>13441</v>
      </c>
      <c r="J1413" s="1" t="s">
        <v>304</v>
      </c>
      <c r="K1413" s="1" t="s">
        <v>61</v>
      </c>
      <c r="L1413" s="1" t="s">
        <v>269</v>
      </c>
      <c r="M1413" s="1">
        <v>2</v>
      </c>
      <c r="N1413" s="2">
        <v>42.68</v>
      </c>
      <c r="O1413" s="3">
        <v>70</v>
      </c>
      <c r="P1413" s="1">
        <v>0</v>
      </c>
      <c r="Q1413" s="1" t="s">
        <v>25</v>
      </c>
      <c r="R1413" s="1" t="s">
        <v>25</v>
      </c>
      <c r="S1413" s="1">
        <v>50</v>
      </c>
      <c r="T1413" s="1">
        <v>1</v>
      </c>
      <c r="U1413" s="1">
        <v>1</v>
      </c>
      <c r="V1413">
        <f t="shared" si="22"/>
        <v>140</v>
      </c>
    </row>
    <row r="1414" spans="1:22" ht="13" x14ac:dyDescent="0.15">
      <c r="A1414" s="4">
        <v>44778</v>
      </c>
      <c r="B1414" s="5">
        <v>0.72607638888888892</v>
      </c>
      <c r="C1414" s="1">
        <v>1880</v>
      </c>
      <c r="D1414" s="1">
        <v>13002616</v>
      </c>
      <c r="E1414" s="1">
        <v>13</v>
      </c>
      <c r="F1414" s="1">
        <v>22589</v>
      </c>
      <c r="G1414" s="1" t="s">
        <v>21</v>
      </c>
      <c r="H1414" s="1">
        <v>15</v>
      </c>
      <c r="I1414" s="1">
        <v>82067</v>
      </c>
      <c r="J1414" s="1" t="s">
        <v>748</v>
      </c>
      <c r="K1414" s="1" t="s">
        <v>51</v>
      </c>
      <c r="L1414" s="1" t="s">
        <v>175</v>
      </c>
      <c r="M1414" s="1">
        <v>1</v>
      </c>
      <c r="N1414" s="2">
        <v>30.91</v>
      </c>
      <c r="O1414" s="3">
        <v>39</v>
      </c>
      <c r="P1414" s="1">
        <v>0</v>
      </c>
      <c r="Q1414" s="1" t="s">
        <v>25</v>
      </c>
      <c r="R1414" s="1" t="s">
        <v>25</v>
      </c>
      <c r="S1414" s="1">
        <v>50</v>
      </c>
      <c r="T1414" s="1">
        <v>1</v>
      </c>
      <c r="U1414" s="1">
        <v>1</v>
      </c>
      <c r="V1414">
        <f t="shared" si="22"/>
        <v>39</v>
      </c>
    </row>
    <row r="1415" spans="1:22" ht="13" x14ac:dyDescent="0.15">
      <c r="A1415" s="4">
        <v>44778</v>
      </c>
      <c r="B1415" s="5">
        <v>0.7277893518518519</v>
      </c>
      <c r="C1415" s="1">
        <v>1881</v>
      </c>
      <c r="D1415" s="1">
        <v>13002616</v>
      </c>
      <c r="E1415" s="1">
        <v>13</v>
      </c>
      <c r="F1415" s="1">
        <v>22589</v>
      </c>
      <c r="G1415" s="1" t="s">
        <v>21</v>
      </c>
      <c r="H1415" s="1">
        <v>18</v>
      </c>
      <c r="I1415" s="1">
        <v>101347</v>
      </c>
      <c r="J1415" s="1" t="s">
        <v>875</v>
      </c>
      <c r="K1415" s="1" t="s">
        <v>29</v>
      </c>
      <c r="L1415" s="1" t="s">
        <v>272</v>
      </c>
      <c r="M1415" s="1">
        <v>1</v>
      </c>
      <c r="N1415" s="2">
        <v>269.87</v>
      </c>
      <c r="O1415" s="3">
        <v>365</v>
      </c>
      <c r="P1415" s="1">
        <v>25</v>
      </c>
      <c r="Q1415" s="1">
        <v>9</v>
      </c>
      <c r="R1415" s="1">
        <v>200010012138</v>
      </c>
      <c r="S1415" s="1">
        <v>50</v>
      </c>
      <c r="T1415" s="1">
        <v>1</v>
      </c>
      <c r="U1415" s="1">
        <v>1</v>
      </c>
      <c r="V1415">
        <f t="shared" si="22"/>
        <v>365</v>
      </c>
    </row>
    <row r="1416" spans="1:22" ht="13" x14ac:dyDescent="0.15">
      <c r="A1416" s="4">
        <v>44778</v>
      </c>
      <c r="B1416" s="5">
        <v>0.72987268518518522</v>
      </c>
      <c r="C1416" s="1">
        <v>1882</v>
      </c>
      <c r="D1416" s="1">
        <v>13002616</v>
      </c>
      <c r="E1416" s="1">
        <v>13</v>
      </c>
      <c r="F1416" s="1">
        <v>22589</v>
      </c>
      <c r="G1416" s="1" t="s">
        <v>21</v>
      </c>
      <c r="H1416" s="1">
        <v>15</v>
      </c>
      <c r="I1416" s="1">
        <v>16009</v>
      </c>
      <c r="J1416" s="1" t="s">
        <v>1199</v>
      </c>
      <c r="K1416" s="1" t="s">
        <v>34</v>
      </c>
      <c r="L1416" s="1" t="s">
        <v>1200</v>
      </c>
      <c r="M1416" s="1">
        <v>1</v>
      </c>
      <c r="N1416" s="2">
        <v>162.15</v>
      </c>
      <c r="O1416" s="3">
        <v>195</v>
      </c>
      <c r="P1416" s="1">
        <v>0</v>
      </c>
      <c r="Q1416" s="1" t="s">
        <v>25</v>
      </c>
      <c r="R1416" s="1" t="s">
        <v>25</v>
      </c>
      <c r="S1416" s="1">
        <v>50</v>
      </c>
      <c r="T1416" s="1">
        <v>1</v>
      </c>
      <c r="U1416" s="1">
        <v>1</v>
      </c>
      <c r="V1416">
        <f t="shared" si="22"/>
        <v>195</v>
      </c>
    </row>
    <row r="1417" spans="1:22" ht="13" x14ac:dyDescent="0.15">
      <c r="A1417" s="4">
        <v>44778</v>
      </c>
      <c r="B1417" s="5">
        <v>0.73204861111111108</v>
      </c>
      <c r="C1417" s="1">
        <v>1883</v>
      </c>
      <c r="D1417" s="1">
        <v>13002616</v>
      </c>
      <c r="E1417" s="1">
        <v>13</v>
      </c>
      <c r="F1417" s="1">
        <v>22589</v>
      </c>
      <c r="G1417" s="1" t="s">
        <v>21</v>
      </c>
      <c r="H1417" s="1">
        <v>15</v>
      </c>
      <c r="I1417" s="1">
        <v>445316</v>
      </c>
      <c r="J1417" s="1" t="s">
        <v>1201</v>
      </c>
      <c r="K1417" s="1" t="s">
        <v>51</v>
      </c>
      <c r="L1417" s="1" t="s">
        <v>1202</v>
      </c>
      <c r="M1417" s="1">
        <v>1</v>
      </c>
      <c r="N1417" s="2">
        <v>47.69</v>
      </c>
      <c r="O1417" s="3">
        <v>73</v>
      </c>
      <c r="P1417" s="1">
        <v>5</v>
      </c>
      <c r="Q1417" s="1">
        <v>9</v>
      </c>
      <c r="R1417" s="1">
        <v>200010016190</v>
      </c>
      <c r="S1417" s="1">
        <v>50</v>
      </c>
      <c r="T1417" s="1">
        <v>1</v>
      </c>
      <c r="U1417" s="1">
        <v>1</v>
      </c>
      <c r="V1417">
        <f t="shared" si="22"/>
        <v>73</v>
      </c>
    </row>
    <row r="1418" spans="1:22" ht="13" x14ac:dyDescent="0.15">
      <c r="A1418" s="4">
        <v>44778</v>
      </c>
      <c r="B1418" s="5">
        <v>0.73204861111111108</v>
      </c>
      <c r="C1418" s="1">
        <v>1883</v>
      </c>
      <c r="D1418" s="1">
        <v>13002616</v>
      </c>
      <c r="E1418" s="1">
        <v>13</v>
      </c>
      <c r="F1418" s="1">
        <v>22589</v>
      </c>
      <c r="G1418" s="1" t="s">
        <v>21</v>
      </c>
      <c r="H1418" s="1">
        <v>15</v>
      </c>
      <c r="I1418" s="1">
        <v>39338</v>
      </c>
      <c r="J1418" s="1" t="s">
        <v>675</v>
      </c>
      <c r="K1418" s="1" t="s">
        <v>51</v>
      </c>
      <c r="L1418" s="1" t="s">
        <v>269</v>
      </c>
      <c r="M1418" s="1">
        <v>1</v>
      </c>
      <c r="N1418" s="2">
        <v>16.78</v>
      </c>
      <c r="O1418" s="3">
        <v>28</v>
      </c>
      <c r="P1418" s="1">
        <v>2</v>
      </c>
      <c r="Q1418" s="1">
        <v>9</v>
      </c>
      <c r="R1418" s="1">
        <v>200010016190</v>
      </c>
      <c r="S1418" s="1">
        <v>50</v>
      </c>
      <c r="T1418" s="1">
        <v>1</v>
      </c>
      <c r="U1418" s="1">
        <v>2</v>
      </c>
      <c r="V1418">
        <f t="shared" si="22"/>
        <v>28</v>
      </c>
    </row>
    <row r="1419" spans="1:22" ht="13" x14ac:dyDescent="0.15">
      <c r="A1419" s="4">
        <v>44778</v>
      </c>
      <c r="B1419" s="5">
        <v>0.73204861111111108</v>
      </c>
      <c r="C1419" s="1">
        <v>1883</v>
      </c>
      <c r="D1419" s="1">
        <v>13002616</v>
      </c>
      <c r="E1419" s="1">
        <v>13</v>
      </c>
      <c r="F1419" s="1">
        <v>22589</v>
      </c>
      <c r="G1419" s="1" t="s">
        <v>21</v>
      </c>
      <c r="H1419" s="1">
        <v>15</v>
      </c>
      <c r="I1419" s="1">
        <v>528004</v>
      </c>
      <c r="J1419" s="1" t="s">
        <v>47</v>
      </c>
      <c r="K1419" s="1" t="s">
        <v>48</v>
      </c>
      <c r="L1419" s="1" t="s">
        <v>49</v>
      </c>
      <c r="M1419" s="1">
        <v>1</v>
      </c>
      <c r="N1419" s="2">
        <v>35.520000000000003</v>
      </c>
      <c r="O1419" s="3">
        <v>58</v>
      </c>
      <c r="P1419" s="1">
        <v>5</v>
      </c>
      <c r="Q1419" s="1">
        <v>9</v>
      </c>
      <c r="R1419" s="1">
        <v>200010016190</v>
      </c>
      <c r="S1419" s="1">
        <v>50</v>
      </c>
      <c r="T1419" s="1">
        <v>1</v>
      </c>
      <c r="U1419" s="1">
        <v>4</v>
      </c>
      <c r="V1419">
        <f t="shared" si="22"/>
        <v>58</v>
      </c>
    </row>
    <row r="1420" spans="1:22" ht="13" x14ac:dyDescent="0.15">
      <c r="A1420" s="4">
        <v>44778</v>
      </c>
      <c r="B1420" s="5">
        <v>0.73554398148148148</v>
      </c>
      <c r="C1420" s="1">
        <v>1884</v>
      </c>
      <c r="D1420" s="1">
        <v>13002616</v>
      </c>
      <c r="E1420" s="1">
        <v>13</v>
      </c>
      <c r="F1420" s="1">
        <v>22589</v>
      </c>
      <c r="G1420" s="1" t="s">
        <v>21</v>
      </c>
      <c r="H1420" s="1">
        <v>18</v>
      </c>
      <c r="I1420" s="1">
        <v>110694</v>
      </c>
      <c r="J1420" s="1" t="s">
        <v>1203</v>
      </c>
      <c r="K1420" s="1" t="s">
        <v>34</v>
      </c>
      <c r="L1420" s="1" t="s">
        <v>255</v>
      </c>
      <c r="M1420" s="1">
        <v>1</v>
      </c>
      <c r="N1420" s="2">
        <v>372.99</v>
      </c>
      <c r="O1420" s="3">
        <v>493</v>
      </c>
      <c r="P1420" s="1">
        <v>34</v>
      </c>
      <c r="Q1420" s="1">
        <v>9</v>
      </c>
      <c r="R1420" s="1">
        <v>200010019194</v>
      </c>
      <c r="S1420" s="1">
        <v>50</v>
      </c>
      <c r="T1420" s="1">
        <v>1</v>
      </c>
      <c r="U1420" s="1">
        <v>3</v>
      </c>
      <c r="V1420">
        <f t="shared" si="22"/>
        <v>493</v>
      </c>
    </row>
    <row r="1421" spans="1:22" ht="13" x14ac:dyDescent="0.15">
      <c r="A1421" s="4">
        <v>44778</v>
      </c>
      <c r="B1421" s="5">
        <v>0.73554398148148148</v>
      </c>
      <c r="C1421" s="1">
        <v>1884</v>
      </c>
      <c r="D1421" s="1">
        <v>13002616</v>
      </c>
      <c r="E1421" s="1">
        <v>13</v>
      </c>
      <c r="F1421" s="1">
        <v>22589</v>
      </c>
      <c r="G1421" s="1" t="s">
        <v>21</v>
      </c>
      <c r="H1421" s="1">
        <v>18</v>
      </c>
      <c r="I1421" s="1">
        <v>130465</v>
      </c>
      <c r="J1421" s="1" t="s">
        <v>364</v>
      </c>
      <c r="K1421" s="1" t="s">
        <v>61</v>
      </c>
      <c r="L1421" s="1" t="s">
        <v>436</v>
      </c>
      <c r="M1421" s="1">
        <v>1</v>
      </c>
      <c r="N1421" s="2">
        <v>180.95</v>
      </c>
      <c r="O1421" s="3">
        <v>218</v>
      </c>
      <c r="P1421" s="1">
        <v>10</v>
      </c>
      <c r="Q1421" s="1">
        <v>9</v>
      </c>
      <c r="R1421" s="1">
        <v>200010019194</v>
      </c>
      <c r="S1421" s="1">
        <v>50</v>
      </c>
      <c r="T1421" s="1">
        <v>1</v>
      </c>
      <c r="U1421" s="1">
        <v>2</v>
      </c>
      <c r="V1421">
        <f t="shared" si="22"/>
        <v>218</v>
      </c>
    </row>
    <row r="1422" spans="1:22" ht="13" x14ac:dyDescent="0.15">
      <c r="A1422" s="4">
        <v>44778</v>
      </c>
      <c r="B1422" s="5">
        <v>0.73554398148148148</v>
      </c>
      <c r="C1422" s="1">
        <v>1884</v>
      </c>
      <c r="D1422" s="1">
        <v>13002616</v>
      </c>
      <c r="E1422" s="1">
        <v>13</v>
      </c>
      <c r="F1422" s="1">
        <v>22589</v>
      </c>
      <c r="G1422" s="1" t="s">
        <v>21</v>
      </c>
      <c r="H1422" s="1">
        <v>18</v>
      </c>
      <c r="I1422" s="1">
        <v>283143</v>
      </c>
      <c r="J1422" s="1" t="s">
        <v>1204</v>
      </c>
      <c r="K1422" s="1" t="s">
        <v>23</v>
      </c>
      <c r="L1422" s="1" t="s">
        <v>1205</v>
      </c>
      <c r="M1422" s="1">
        <v>1</v>
      </c>
      <c r="N1422" s="2">
        <v>1152.17</v>
      </c>
      <c r="O1422" s="3">
        <v>1276</v>
      </c>
      <c r="P1422" s="1">
        <v>63</v>
      </c>
      <c r="Q1422" s="1">
        <v>9</v>
      </c>
      <c r="R1422" s="1">
        <v>200010019194</v>
      </c>
      <c r="S1422" s="1">
        <v>50</v>
      </c>
      <c r="T1422" s="1">
        <v>1</v>
      </c>
      <c r="U1422" s="1">
        <v>1</v>
      </c>
      <c r="V1422">
        <f t="shared" si="22"/>
        <v>1276</v>
      </c>
    </row>
    <row r="1423" spans="1:22" ht="13" x14ac:dyDescent="0.15">
      <c r="A1423" s="4">
        <v>44778</v>
      </c>
      <c r="B1423" s="5">
        <v>0.74384259259259256</v>
      </c>
      <c r="C1423" s="1">
        <v>1886</v>
      </c>
      <c r="D1423" s="1">
        <v>13002616</v>
      </c>
      <c r="E1423" s="1">
        <v>13</v>
      </c>
      <c r="F1423" s="1">
        <v>22589</v>
      </c>
      <c r="G1423" s="1" t="s">
        <v>21</v>
      </c>
      <c r="H1423" s="1">
        <v>15</v>
      </c>
      <c r="I1423" s="1">
        <v>276370</v>
      </c>
      <c r="J1423" s="1" t="s">
        <v>31</v>
      </c>
      <c r="K1423" s="1" t="s">
        <v>23</v>
      </c>
      <c r="L1423" s="1" t="s">
        <v>32</v>
      </c>
      <c r="M1423" s="1">
        <v>1</v>
      </c>
      <c r="N1423" s="2">
        <v>443.5</v>
      </c>
      <c r="O1423" s="3">
        <v>539</v>
      </c>
      <c r="P1423" s="1">
        <v>53</v>
      </c>
      <c r="Q1423" s="1">
        <v>30</v>
      </c>
      <c r="R1423" s="1">
        <v>200000000024</v>
      </c>
      <c r="S1423" s="1">
        <v>50</v>
      </c>
      <c r="T1423" s="1">
        <v>1</v>
      </c>
      <c r="U1423" s="1">
        <v>1</v>
      </c>
      <c r="V1423">
        <f t="shared" si="22"/>
        <v>539</v>
      </c>
    </row>
    <row r="1424" spans="1:22" ht="13" x14ac:dyDescent="0.15">
      <c r="A1424" s="4">
        <v>44778</v>
      </c>
      <c r="B1424" s="5">
        <v>0.76708333333333334</v>
      </c>
      <c r="C1424" s="1">
        <v>1888</v>
      </c>
      <c r="D1424" s="1">
        <v>13002616</v>
      </c>
      <c r="E1424" s="1">
        <v>13</v>
      </c>
      <c r="F1424" s="1">
        <v>22589</v>
      </c>
      <c r="G1424" s="1" t="s">
        <v>21</v>
      </c>
      <c r="H1424" s="1">
        <v>18</v>
      </c>
      <c r="I1424" s="1">
        <v>60823</v>
      </c>
      <c r="J1424" s="1" t="s">
        <v>1206</v>
      </c>
      <c r="K1424" s="1" t="s">
        <v>51</v>
      </c>
      <c r="L1424" s="1" t="s">
        <v>1207</v>
      </c>
      <c r="M1424" s="1">
        <v>1</v>
      </c>
      <c r="N1424" s="2">
        <v>864.03</v>
      </c>
      <c r="O1424" s="3">
        <v>1115</v>
      </c>
      <c r="P1424" s="1">
        <v>78</v>
      </c>
      <c r="Q1424" s="1">
        <v>9</v>
      </c>
      <c r="R1424" s="1">
        <v>200010004411</v>
      </c>
      <c r="S1424" s="1">
        <v>50</v>
      </c>
      <c r="T1424" s="1">
        <v>1</v>
      </c>
      <c r="U1424" s="1">
        <v>1</v>
      </c>
      <c r="V1424">
        <f t="shared" si="22"/>
        <v>1115</v>
      </c>
    </row>
    <row r="1425" spans="1:22" ht="13" x14ac:dyDescent="0.15">
      <c r="A1425" s="4">
        <v>44778</v>
      </c>
      <c r="B1425" s="5">
        <v>0.76708333333333334</v>
      </c>
      <c r="C1425" s="1">
        <v>1888</v>
      </c>
      <c r="D1425" s="1">
        <v>13002616</v>
      </c>
      <c r="E1425" s="1">
        <v>13</v>
      </c>
      <c r="F1425" s="1">
        <v>22589</v>
      </c>
      <c r="G1425" s="1" t="s">
        <v>21</v>
      </c>
      <c r="H1425" s="1">
        <v>18</v>
      </c>
      <c r="I1425" s="1">
        <v>4637</v>
      </c>
      <c r="J1425" s="1" t="s">
        <v>1208</v>
      </c>
      <c r="K1425" s="1" t="s">
        <v>34</v>
      </c>
      <c r="L1425" s="1" t="s">
        <v>30</v>
      </c>
      <c r="M1425" s="1">
        <v>1</v>
      </c>
      <c r="N1425" s="2">
        <v>545.23</v>
      </c>
      <c r="O1425" s="3">
        <v>628</v>
      </c>
      <c r="P1425" s="1">
        <v>43</v>
      </c>
      <c r="Q1425" s="1">
        <v>9</v>
      </c>
      <c r="R1425" s="1">
        <v>200010004411</v>
      </c>
      <c r="S1425" s="1">
        <v>50</v>
      </c>
      <c r="T1425" s="1">
        <v>1</v>
      </c>
      <c r="U1425" s="1">
        <v>2</v>
      </c>
      <c r="V1425">
        <f t="shared" si="22"/>
        <v>628</v>
      </c>
    </row>
    <row r="1426" spans="1:22" ht="13" x14ac:dyDescent="0.15">
      <c r="A1426" s="4">
        <v>44778</v>
      </c>
      <c r="B1426" s="5">
        <v>0.76914351851851848</v>
      </c>
      <c r="C1426" s="1">
        <v>1889</v>
      </c>
      <c r="D1426" s="1">
        <v>13002616</v>
      </c>
      <c r="E1426" s="1">
        <v>13</v>
      </c>
      <c r="F1426" s="1">
        <v>22589</v>
      </c>
      <c r="G1426" s="1" t="s">
        <v>21</v>
      </c>
      <c r="H1426" s="1">
        <v>18</v>
      </c>
      <c r="I1426" s="1">
        <v>88142</v>
      </c>
      <c r="J1426" s="1" t="s">
        <v>684</v>
      </c>
      <c r="K1426" s="1" t="s">
        <v>58</v>
      </c>
      <c r="L1426" s="1" t="s">
        <v>685</v>
      </c>
      <c r="M1426" s="1">
        <v>1</v>
      </c>
      <c r="N1426" s="2">
        <v>145.5</v>
      </c>
      <c r="O1426" s="3">
        <v>226</v>
      </c>
      <c r="P1426" s="1">
        <v>0</v>
      </c>
      <c r="Q1426" s="1" t="s">
        <v>25</v>
      </c>
      <c r="R1426" s="1" t="s">
        <v>25</v>
      </c>
      <c r="S1426" s="1">
        <v>50</v>
      </c>
      <c r="T1426" s="1">
        <v>1</v>
      </c>
      <c r="U1426" s="1">
        <v>1</v>
      </c>
      <c r="V1426">
        <f t="shared" si="22"/>
        <v>226</v>
      </c>
    </row>
    <row r="1427" spans="1:22" ht="13" x14ac:dyDescent="0.15">
      <c r="A1427" s="4">
        <v>44778</v>
      </c>
      <c r="B1427" s="5">
        <v>0.76914351851851848</v>
      </c>
      <c r="C1427" s="1">
        <v>1889</v>
      </c>
      <c r="D1427" s="1">
        <v>13002616</v>
      </c>
      <c r="E1427" s="1">
        <v>13</v>
      </c>
      <c r="F1427" s="1">
        <v>22589</v>
      </c>
      <c r="G1427" s="1" t="s">
        <v>21</v>
      </c>
      <c r="H1427" s="1">
        <v>18</v>
      </c>
      <c r="I1427" s="1">
        <v>5702</v>
      </c>
      <c r="J1427" s="1" t="s">
        <v>1209</v>
      </c>
      <c r="K1427" s="1" t="s">
        <v>29</v>
      </c>
      <c r="L1427" s="1" t="s">
        <v>1210</v>
      </c>
      <c r="M1427" s="1">
        <v>1</v>
      </c>
      <c r="N1427" s="2">
        <v>320.79000000000002</v>
      </c>
      <c r="O1427" s="3">
        <v>472</v>
      </c>
      <c r="P1427" s="1">
        <v>0</v>
      </c>
      <c r="Q1427" s="1" t="s">
        <v>25</v>
      </c>
      <c r="R1427" s="1" t="s">
        <v>25</v>
      </c>
      <c r="S1427" s="1">
        <v>50</v>
      </c>
      <c r="T1427" s="1">
        <v>1</v>
      </c>
      <c r="U1427" s="1">
        <v>3</v>
      </c>
      <c r="V1427">
        <f t="shared" si="22"/>
        <v>472</v>
      </c>
    </row>
    <row r="1428" spans="1:22" ht="13" x14ac:dyDescent="0.15">
      <c r="A1428" s="4">
        <v>44778</v>
      </c>
      <c r="B1428" s="5">
        <v>0.76914351851851848</v>
      </c>
      <c r="C1428" s="1">
        <v>1889</v>
      </c>
      <c r="D1428" s="1">
        <v>13002616</v>
      </c>
      <c r="E1428" s="1">
        <v>13</v>
      </c>
      <c r="F1428" s="1">
        <v>22589</v>
      </c>
      <c r="G1428" s="1" t="s">
        <v>21</v>
      </c>
      <c r="H1428" s="1">
        <v>18</v>
      </c>
      <c r="I1428" s="1">
        <v>26899</v>
      </c>
      <c r="J1428" s="1" t="s">
        <v>1211</v>
      </c>
      <c r="K1428" s="1" t="s">
        <v>23</v>
      </c>
      <c r="L1428" s="1" t="s">
        <v>89</v>
      </c>
      <c r="M1428" s="1">
        <v>1</v>
      </c>
      <c r="N1428" s="2">
        <v>192.12</v>
      </c>
      <c r="O1428" s="3">
        <v>298</v>
      </c>
      <c r="P1428" s="1">
        <v>0</v>
      </c>
      <c r="Q1428" s="1" t="s">
        <v>25</v>
      </c>
      <c r="R1428" s="1" t="s">
        <v>25</v>
      </c>
      <c r="S1428" s="1">
        <v>50</v>
      </c>
      <c r="T1428" s="1">
        <v>1</v>
      </c>
      <c r="U1428" s="1">
        <v>2</v>
      </c>
      <c r="V1428">
        <f t="shared" si="22"/>
        <v>298</v>
      </c>
    </row>
    <row r="1429" spans="1:22" ht="13" x14ac:dyDescent="0.15">
      <c r="A1429" s="4">
        <v>44778</v>
      </c>
      <c r="B1429" s="5">
        <v>0.77109953703703704</v>
      </c>
      <c r="C1429" s="1">
        <v>1890</v>
      </c>
      <c r="D1429" s="1">
        <v>13002616</v>
      </c>
      <c r="E1429" s="1">
        <v>13</v>
      </c>
      <c r="F1429" s="1">
        <v>22589</v>
      </c>
      <c r="G1429" s="1" t="s">
        <v>21</v>
      </c>
      <c r="H1429" s="1">
        <v>18</v>
      </c>
      <c r="I1429" s="1">
        <v>75428</v>
      </c>
      <c r="J1429" s="1" t="s">
        <v>1212</v>
      </c>
      <c r="K1429" s="1" t="s">
        <v>23</v>
      </c>
      <c r="L1429" s="1" t="s">
        <v>214</v>
      </c>
      <c r="M1429" s="1">
        <v>1</v>
      </c>
      <c r="N1429" s="2">
        <v>148.12</v>
      </c>
      <c r="O1429" s="3">
        <v>177</v>
      </c>
      <c r="P1429" s="1">
        <v>0</v>
      </c>
      <c r="Q1429" s="1" t="s">
        <v>25</v>
      </c>
      <c r="R1429" s="1" t="s">
        <v>25</v>
      </c>
      <c r="S1429" s="1">
        <v>50</v>
      </c>
      <c r="T1429" s="1">
        <v>1</v>
      </c>
      <c r="U1429" s="1">
        <v>1</v>
      </c>
      <c r="V1429">
        <f t="shared" si="22"/>
        <v>177</v>
      </c>
    </row>
    <row r="1430" spans="1:22" ht="13" x14ac:dyDescent="0.15">
      <c r="A1430" s="4">
        <v>44778</v>
      </c>
      <c r="B1430" s="5">
        <v>0.77109953703703704</v>
      </c>
      <c r="C1430" s="1">
        <v>1890</v>
      </c>
      <c r="D1430" s="1">
        <v>13002616</v>
      </c>
      <c r="E1430" s="1">
        <v>13</v>
      </c>
      <c r="F1430" s="1">
        <v>22589</v>
      </c>
      <c r="G1430" s="1" t="s">
        <v>21</v>
      </c>
      <c r="H1430" s="1">
        <v>18</v>
      </c>
      <c r="I1430" s="1">
        <v>148617</v>
      </c>
      <c r="J1430" s="1" t="s">
        <v>1004</v>
      </c>
      <c r="K1430" s="1" t="s">
        <v>51</v>
      </c>
      <c r="L1430" s="1" t="s">
        <v>80</v>
      </c>
      <c r="M1430" s="1">
        <v>1</v>
      </c>
      <c r="N1430" s="2">
        <v>36.22</v>
      </c>
      <c r="O1430" s="3">
        <v>59</v>
      </c>
      <c r="P1430" s="1">
        <v>0</v>
      </c>
      <c r="Q1430" s="1" t="s">
        <v>25</v>
      </c>
      <c r="R1430" s="1" t="s">
        <v>25</v>
      </c>
      <c r="S1430" s="1">
        <v>50</v>
      </c>
      <c r="T1430" s="1">
        <v>1</v>
      </c>
      <c r="U1430" s="1">
        <v>3</v>
      </c>
      <c r="V1430">
        <f t="shared" si="22"/>
        <v>59</v>
      </c>
    </row>
    <row r="1431" spans="1:22" ht="13" x14ac:dyDescent="0.15">
      <c r="A1431" s="4">
        <v>44778</v>
      </c>
      <c r="B1431" s="5">
        <v>0.77109953703703704</v>
      </c>
      <c r="C1431" s="1">
        <v>1890</v>
      </c>
      <c r="D1431" s="1">
        <v>13002616</v>
      </c>
      <c r="E1431" s="1">
        <v>13</v>
      </c>
      <c r="F1431" s="1">
        <v>22589</v>
      </c>
      <c r="G1431" s="1" t="s">
        <v>21</v>
      </c>
      <c r="H1431" s="1">
        <v>18</v>
      </c>
      <c r="I1431" s="1">
        <v>1504330</v>
      </c>
      <c r="J1431" s="1" t="s">
        <v>994</v>
      </c>
      <c r="K1431" s="1" t="s">
        <v>144</v>
      </c>
      <c r="L1431" s="1" t="s">
        <v>80</v>
      </c>
      <c r="M1431" s="1">
        <v>1</v>
      </c>
      <c r="N1431" s="2">
        <v>24.81</v>
      </c>
      <c r="O1431" s="3">
        <v>25</v>
      </c>
      <c r="P1431" s="1">
        <v>0</v>
      </c>
      <c r="Q1431" s="1" t="s">
        <v>25</v>
      </c>
      <c r="R1431" s="1" t="s">
        <v>25</v>
      </c>
      <c r="S1431" s="1">
        <v>50</v>
      </c>
      <c r="T1431" s="1">
        <v>1</v>
      </c>
      <c r="U1431" s="1">
        <v>2</v>
      </c>
      <c r="V1431">
        <f t="shared" si="22"/>
        <v>25</v>
      </c>
    </row>
    <row r="1432" spans="1:22" ht="13" x14ac:dyDescent="0.15">
      <c r="A1432" s="4">
        <v>44778</v>
      </c>
      <c r="B1432" s="5">
        <v>0.77721064814814811</v>
      </c>
      <c r="C1432" s="1">
        <v>1891</v>
      </c>
      <c r="D1432" s="1">
        <v>13002616</v>
      </c>
      <c r="E1432" s="1">
        <v>13</v>
      </c>
      <c r="F1432" s="1">
        <v>22589</v>
      </c>
      <c r="G1432" s="1" t="s">
        <v>21</v>
      </c>
      <c r="H1432" s="1">
        <v>18</v>
      </c>
      <c r="I1432" s="1">
        <v>322471</v>
      </c>
      <c r="J1432" s="1" t="s">
        <v>1213</v>
      </c>
      <c r="K1432" s="1" t="s">
        <v>45</v>
      </c>
      <c r="L1432" s="1" t="s">
        <v>1214</v>
      </c>
      <c r="M1432" s="1">
        <v>1</v>
      </c>
      <c r="N1432" s="2">
        <v>1322.63</v>
      </c>
      <c r="O1432" s="3">
        <v>1812</v>
      </c>
      <c r="P1432" s="1">
        <v>0</v>
      </c>
      <c r="Q1432" s="1" t="s">
        <v>25</v>
      </c>
      <c r="R1432" s="1" t="s">
        <v>25</v>
      </c>
      <c r="S1432" s="1">
        <v>50</v>
      </c>
      <c r="T1432" s="1">
        <v>1</v>
      </c>
      <c r="U1432" s="1">
        <v>1</v>
      </c>
      <c r="V1432">
        <f t="shared" si="22"/>
        <v>1812</v>
      </c>
    </row>
    <row r="1433" spans="1:22" ht="13" x14ac:dyDescent="0.15">
      <c r="A1433" s="4">
        <v>44778</v>
      </c>
      <c r="B1433" s="5">
        <v>0.77905092592592595</v>
      </c>
      <c r="C1433" s="1">
        <v>1892</v>
      </c>
      <c r="D1433" s="1">
        <v>13002616</v>
      </c>
      <c r="E1433" s="1">
        <v>13</v>
      </c>
      <c r="F1433" s="1">
        <v>22589</v>
      </c>
      <c r="G1433" s="1" t="s">
        <v>21</v>
      </c>
      <c r="H1433" s="1">
        <v>15</v>
      </c>
      <c r="I1433" s="1">
        <v>29611</v>
      </c>
      <c r="J1433" s="1" t="s">
        <v>570</v>
      </c>
      <c r="K1433" s="1" t="s">
        <v>51</v>
      </c>
      <c r="L1433" s="1" t="s">
        <v>563</v>
      </c>
      <c r="M1433" s="1">
        <v>1</v>
      </c>
      <c r="N1433" s="2">
        <v>153.6</v>
      </c>
      <c r="O1433" s="3">
        <v>239</v>
      </c>
      <c r="P1433" s="1">
        <v>23</v>
      </c>
      <c r="Q1433" s="1">
        <v>9</v>
      </c>
      <c r="R1433" s="1">
        <v>200010016190</v>
      </c>
      <c r="S1433" s="1">
        <v>50</v>
      </c>
      <c r="T1433" s="1">
        <v>1</v>
      </c>
      <c r="U1433" s="1">
        <v>2</v>
      </c>
      <c r="V1433">
        <f t="shared" si="22"/>
        <v>239</v>
      </c>
    </row>
    <row r="1434" spans="1:22" ht="13" x14ac:dyDescent="0.15">
      <c r="A1434" s="4">
        <v>44778</v>
      </c>
      <c r="B1434" s="5">
        <v>0.77905092592592595</v>
      </c>
      <c r="C1434" s="1">
        <v>1892</v>
      </c>
      <c r="D1434" s="1">
        <v>13002616</v>
      </c>
      <c r="E1434" s="1">
        <v>13</v>
      </c>
      <c r="F1434" s="1">
        <v>22589</v>
      </c>
      <c r="G1434" s="1" t="s">
        <v>21</v>
      </c>
      <c r="H1434" s="1">
        <v>15</v>
      </c>
      <c r="I1434" s="1">
        <v>410746</v>
      </c>
      <c r="J1434" s="1" t="s">
        <v>1215</v>
      </c>
      <c r="K1434" s="1" t="s">
        <v>64</v>
      </c>
      <c r="L1434" s="1" t="s">
        <v>139</v>
      </c>
      <c r="M1434" s="1">
        <v>1</v>
      </c>
      <c r="N1434" s="2">
        <v>24.84</v>
      </c>
      <c r="O1434" s="3">
        <v>30</v>
      </c>
      <c r="P1434" s="1">
        <v>1</v>
      </c>
      <c r="Q1434" s="1">
        <v>9</v>
      </c>
      <c r="R1434" s="1">
        <v>200010016190</v>
      </c>
      <c r="S1434" s="1">
        <v>50</v>
      </c>
      <c r="T1434" s="1">
        <v>1</v>
      </c>
      <c r="U1434" s="1">
        <v>1</v>
      </c>
      <c r="V1434">
        <f t="shared" si="22"/>
        <v>30</v>
      </c>
    </row>
    <row r="1435" spans="1:22" ht="13" x14ac:dyDescent="0.15">
      <c r="A1435" s="4">
        <v>44778</v>
      </c>
      <c r="B1435" s="5">
        <v>0.78077546296296296</v>
      </c>
      <c r="C1435" s="1">
        <v>1893</v>
      </c>
      <c r="D1435" s="1">
        <v>13002616</v>
      </c>
      <c r="E1435" s="1">
        <v>13</v>
      </c>
      <c r="F1435" s="1">
        <v>22589</v>
      </c>
      <c r="G1435" s="1" t="s">
        <v>21</v>
      </c>
      <c r="H1435" s="1">
        <v>15</v>
      </c>
      <c r="I1435" s="1">
        <v>488299</v>
      </c>
      <c r="J1435" s="1" t="s">
        <v>158</v>
      </c>
      <c r="K1435" s="1" t="s">
        <v>23</v>
      </c>
      <c r="L1435" s="1" t="s">
        <v>159</v>
      </c>
      <c r="M1435" s="1">
        <v>1</v>
      </c>
      <c r="N1435" s="2">
        <v>156.19999999999999</v>
      </c>
      <c r="O1435" s="3">
        <v>186</v>
      </c>
      <c r="P1435" s="1">
        <v>0</v>
      </c>
      <c r="Q1435" s="1" t="s">
        <v>25</v>
      </c>
      <c r="R1435" s="1" t="s">
        <v>25</v>
      </c>
      <c r="S1435" s="1">
        <v>50</v>
      </c>
      <c r="T1435" s="1">
        <v>1</v>
      </c>
      <c r="U1435" s="1">
        <v>1</v>
      </c>
      <c r="V1435">
        <f t="shared" si="22"/>
        <v>186</v>
      </c>
    </row>
    <row r="1436" spans="1:22" ht="13" x14ac:dyDescent="0.15">
      <c r="A1436" s="4">
        <v>44778</v>
      </c>
      <c r="B1436" s="5">
        <v>0.78437500000000004</v>
      </c>
      <c r="C1436" s="1">
        <v>1894</v>
      </c>
      <c r="D1436" s="1">
        <v>13002616</v>
      </c>
      <c r="E1436" s="1">
        <v>13</v>
      </c>
      <c r="F1436" s="1">
        <v>22589</v>
      </c>
      <c r="G1436" s="1" t="s">
        <v>21</v>
      </c>
      <c r="H1436" s="1">
        <v>15</v>
      </c>
      <c r="I1436" s="1">
        <v>11519</v>
      </c>
      <c r="J1436" s="1" t="s">
        <v>1185</v>
      </c>
      <c r="K1436" s="1" t="s">
        <v>23</v>
      </c>
      <c r="L1436" s="1" t="s">
        <v>363</v>
      </c>
      <c r="M1436" s="1">
        <v>1</v>
      </c>
      <c r="N1436" s="2">
        <v>157.26</v>
      </c>
      <c r="O1436" s="3">
        <v>188</v>
      </c>
      <c r="P1436" s="1">
        <v>9</v>
      </c>
      <c r="Q1436" s="1">
        <v>9</v>
      </c>
      <c r="R1436" s="1">
        <v>200010015864</v>
      </c>
      <c r="S1436" s="1">
        <v>50</v>
      </c>
      <c r="T1436" s="1">
        <v>1</v>
      </c>
      <c r="U1436" s="1">
        <v>2</v>
      </c>
      <c r="V1436">
        <f t="shared" si="22"/>
        <v>188</v>
      </c>
    </row>
    <row r="1437" spans="1:22" ht="13" x14ac:dyDescent="0.15">
      <c r="A1437" s="4">
        <v>44778</v>
      </c>
      <c r="B1437" s="5">
        <v>0.78437500000000004</v>
      </c>
      <c r="C1437" s="1">
        <v>1894</v>
      </c>
      <c r="D1437" s="1">
        <v>13002616</v>
      </c>
      <c r="E1437" s="1">
        <v>13</v>
      </c>
      <c r="F1437" s="1">
        <v>22589</v>
      </c>
      <c r="G1437" s="1" t="s">
        <v>21</v>
      </c>
      <c r="H1437" s="1">
        <v>15</v>
      </c>
      <c r="I1437" s="1">
        <v>75000</v>
      </c>
      <c r="J1437" s="1" t="s">
        <v>1216</v>
      </c>
      <c r="K1437" s="1" t="s">
        <v>51</v>
      </c>
      <c r="L1437" s="1" t="s">
        <v>80</v>
      </c>
      <c r="M1437" s="1">
        <v>1</v>
      </c>
      <c r="N1437" s="2">
        <v>121.06</v>
      </c>
      <c r="O1437" s="3">
        <v>188</v>
      </c>
      <c r="P1437" s="1">
        <v>18</v>
      </c>
      <c r="Q1437" s="1">
        <v>9</v>
      </c>
      <c r="R1437" s="1">
        <v>200010015864</v>
      </c>
      <c r="S1437" s="1">
        <v>50</v>
      </c>
      <c r="T1437" s="1">
        <v>1</v>
      </c>
      <c r="U1437" s="1">
        <v>1</v>
      </c>
      <c r="V1437">
        <f t="shared" si="22"/>
        <v>188</v>
      </c>
    </row>
    <row r="1438" spans="1:22" ht="13" x14ac:dyDescent="0.15">
      <c r="A1438" s="4">
        <v>44778</v>
      </c>
      <c r="B1438" s="5">
        <v>0.78437500000000004</v>
      </c>
      <c r="C1438" s="1">
        <v>1894</v>
      </c>
      <c r="D1438" s="1">
        <v>13002616</v>
      </c>
      <c r="E1438" s="1">
        <v>13</v>
      </c>
      <c r="F1438" s="1">
        <v>22589</v>
      </c>
      <c r="G1438" s="1" t="s">
        <v>21</v>
      </c>
      <c r="H1438" s="1">
        <v>15</v>
      </c>
      <c r="I1438" s="1">
        <v>121605</v>
      </c>
      <c r="J1438" s="1" t="s">
        <v>1217</v>
      </c>
      <c r="K1438" s="1" t="s">
        <v>23</v>
      </c>
      <c r="L1438" s="1" t="s">
        <v>547</v>
      </c>
      <c r="M1438" s="1">
        <v>1</v>
      </c>
      <c r="N1438" s="2">
        <v>347.56</v>
      </c>
      <c r="O1438" s="3">
        <v>511</v>
      </c>
      <c r="P1438" s="1">
        <v>51</v>
      </c>
      <c r="Q1438" s="1">
        <v>9</v>
      </c>
      <c r="R1438" s="1">
        <v>200010015864</v>
      </c>
      <c r="S1438" s="1">
        <v>50</v>
      </c>
      <c r="T1438" s="1">
        <v>1</v>
      </c>
      <c r="U1438" s="1">
        <v>3</v>
      </c>
      <c r="V1438">
        <f t="shared" si="22"/>
        <v>511</v>
      </c>
    </row>
    <row r="1439" spans="1:22" ht="13" x14ac:dyDescent="0.15">
      <c r="A1439" s="4">
        <v>44778</v>
      </c>
      <c r="B1439" s="5">
        <v>0.78909722222222223</v>
      </c>
      <c r="C1439" s="1">
        <v>1895</v>
      </c>
      <c r="D1439" s="1">
        <v>13002616</v>
      </c>
      <c r="E1439" s="1">
        <v>13</v>
      </c>
      <c r="F1439" s="1">
        <v>22589</v>
      </c>
      <c r="G1439" s="1" t="s">
        <v>21</v>
      </c>
      <c r="H1439" s="1">
        <v>18</v>
      </c>
      <c r="I1439" s="1">
        <v>142544</v>
      </c>
      <c r="J1439" s="1" t="s">
        <v>628</v>
      </c>
      <c r="K1439" s="1" t="s">
        <v>141</v>
      </c>
      <c r="L1439" s="1" t="s">
        <v>629</v>
      </c>
      <c r="M1439" s="1">
        <v>0.2</v>
      </c>
      <c r="N1439" s="2">
        <v>545.82000000000005</v>
      </c>
      <c r="O1439" s="3">
        <v>705</v>
      </c>
      <c r="P1439" s="1">
        <v>0</v>
      </c>
      <c r="Q1439" s="1" t="s">
        <v>25</v>
      </c>
      <c r="R1439" s="1" t="s">
        <v>25</v>
      </c>
      <c r="S1439" s="1">
        <v>50</v>
      </c>
      <c r="T1439" s="1">
        <v>1</v>
      </c>
      <c r="U1439" s="1">
        <v>1</v>
      </c>
      <c r="V1439">
        <f t="shared" si="22"/>
        <v>141</v>
      </c>
    </row>
    <row r="1440" spans="1:22" ht="13" x14ac:dyDescent="0.15">
      <c r="A1440" s="4">
        <v>44778</v>
      </c>
      <c r="B1440" s="5">
        <v>0.7950694444444445</v>
      </c>
      <c r="C1440" s="1">
        <v>1896</v>
      </c>
      <c r="D1440" s="1">
        <v>13002616</v>
      </c>
      <c r="E1440" s="1">
        <v>13</v>
      </c>
      <c r="F1440" s="1">
        <v>22589</v>
      </c>
      <c r="G1440" s="1" t="s">
        <v>21</v>
      </c>
      <c r="H1440" s="1">
        <v>18</v>
      </c>
      <c r="I1440" s="1">
        <v>168705</v>
      </c>
      <c r="J1440" s="1" t="s">
        <v>522</v>
      </c>
      <c r="K1440" s="1" t="s">
        <v>110</v>
      </c>
      <c r="L1440" s="1" t="s">
        <v>449</v>
      </c>
      <c r="M1440" s="1">
        <v>1</v>
      </c>
      <c r="N1440" s="2">
        <v>98.01</v>
      </c>
      <c r="O1440" s="3">
        <v>121</v>
      </c>
      <c r="P1440" s="1">
        <v>6</v>
      </c>
      <c r="Q1440" s="1">
        <v>9</v>
      </c>
      <c r="R1440" s="1">
        <v>200010023600</v>
      </c>
      <c r="S1440" s="1">
        <v>50</v>
      </c>
      <c r="T1440" s="1">
        <v>1</v>
      </c>
      <c r="U1440" s="1">
        <v>1</v>
      </c>
      <c r="V1440">
        <f t="shared" si="22"/>
        <v>121</v>
      </c>
    </row>
    <row r="1441" spans="1:22" ht="13" x14ac:dyDescent="0.15">
      <c r="A1441" s="4">
        <v>44778</v>
      </c>
      <c r="B1441" s="5">
        <v>0.7950694444444445</v>
      </c>
      <c r="C1441" s="1">
        <v>1896</v>
      </c>
      <c r="D1441" s="1">
        <v>13002616</v>
      </c>
      <c r="E1441" s="1">
        <v>13</v>
      </c>
      <c r="F1441" s="1">
        <v>22589</v>
      </c>
      <c r="G1441" s="1" t="s">
        <v>21</v>
      </c>
      <c r="H1441" s="1">
        <v>18</v>
      </c>
      <c r="I1441" s="1">
        <v>84715</v>
      </c>
      <c r="J1441" s="1" t="s">
        <v>1218</v>
      </c>
      <c r="K1441" s="1" t="s">
        <v>252</v>
      </c>
      <c r="L1441" s="1" t="s">
        <v>1219</v>
      </c>
      <c r="M1441" s="1">
        <v>0.33333332999999998</v>
      </c>
      <c r="N1441" s="2">
        <v>2237.48</v>
      </c>
      <c r="O1441" s="3">
        <v>3066</v>
      </c>
      <c r="P1441" s="1">
        <v>102</v>
      </c>
      <c r="Q1441" s="1">
        <v>9</v>
      </c>
      <c r="R1441" s="1">
        <v>200010023600</v>
      </c>
      <c r="S1441" s="1">
        <v>50</v>
      </c>
      <c r="T1441" s="1">
        <v>1</v>
      </c>
      <c r="U1441" s="1">
        <v>2</v>
      </c>
      <c r="V1441">
        <f t="shared" si="22"/>
        <v>1021.99998978</v>
      </c>
    </row>
    <row r="1442" spans="1:22" ht="13" x14ac:dyDescent="0.15">
      <c r="A1442" s="4">
        <v>44778</v>
      </c>
      <c r="B1442" s="5">
        <v>0.799224537037037</v>
      </c>
      <c r="C1442" s="1">
        <v>1897</v>
      </c>
      <c r="D1442" s="1">
        <v>13002616</v>
      </c>
      <c r="E1442" s="1">
        <v>13</v>
      </c>
      <c r="F1442" s="1">
        <v>22589</v>
      </c>
      <c r="G1442" s="1" t="s">
        <v>21</v>
      </c>
      <c r="H1442" s="1">
        <v>18</v>
      </c>
      <c r="I1442" s="1">
        <v>197399</v>
      </c>
      <c r="J1442" s="1" t="s">
        <v>1220</v>
      </c>
      <c r="K1442" s="1" t="s">
        <v>29</v>
      </c>
      <c r="L1442" s="1" t="s">
        <v>1221</v>
      </c>
      <c r="M1442" s="1">
        <v>0.33333333999999998</v>
      </c>
      <c r="N1442" s="2">
        <v>1632.4</v>
      </c>
      <c r="O1442" s="3">
        <v>2041</v>
      </c>
      <c r="P1442" s="1">
        <v>0</v>
      </c>
      <c r="Q1442" s="1" t="s">
        <v>25</v>
      </c>
      <c r="R1442" s="1" t="s">
        <v>25</v>
      </c>
      <c r="S1442" s="1">
        <v>50</v>
      </c>
      <c r="T1442" s="1">
        <v>1</v>
      </c>
      <c r="U1442" s="1">
        <v>1</v>
      </c>
      <c r="V1442">
        <f t="shared" si="22"/>
        <v>680.33334693999996</v>
      </c>
    </row>
    <row r="1443" spans="1:22" ht="13" x14ac:dyDescent="0.15">
      <c r="A1443" s="4">
        <v>44778</v>
      </c>
      <c r="B1443" s="5">
        <v>0.80744212962962958</v>
      </c>
      <c r="C1443" s="1">
        <v>1898</v>
      </c>
      <c r="D1443" s="1">
        <v>13002616</v>
      </c>
      <c r="E1443" s="1">
        <v>13</v>
      </c>
      <c r="F1443" s="1">
        <v>22589</v>
      </c>
      <c r="G1443" s="1" t="s">
        <v>21</v>
      </c>
      <c r="H1443" s="1">
        <v>18</v>
      </c>
      <c r="I1443" s="1">
        <v>8394</v>
      </c>
      <c r="J1443" s="1" t="s">
        <v>1222</v>
      </c>
      <c r="K1443" s="1" t="s">
        <v>29</v>
      </c>
      <c r="L1443" s="1" t="s">
        <v>269</v>
      </c>
      <c r="M1443" s="1">
        <v>1</v>
      </c>
      <c r="N1443" s="2">
        <v>23.31</v>
      </c>
      <c r="O1443" s="3">
        <v>29.9</v>
      </c>
      <c r="P1443" s="1">
        <v>0</v>
      </c>
      <c r="Q1443" s="1" t="s">
        <v>25</v>
      </c>
      <c r="R1443" s="1" t="s">
        <v>25</v>
      </c>
      <c r="S1443" s="1">
        <v>50</v>
      </c>
      <c r="T1443" s="1">
        <v>1</v>
      </c>
      <c r="U1443" s="1">
        <v>2</v>
      </c>
      <c r="V1443">
        <f t="shared" si="22"/>
        <v>29.9</v>
      </c>
    </row>
    <row r="1444" spans="1:22" ht="13" x14ac:dyDescent="0.15">
      <c r="A1444" s="4">
        <v>44778</v>
      </c>
      <c r="B1444" s="5">
        <v>0.80744212962962958</v>
      </c>
      <c r="C1444" s="1">
        <v>1898</v>
      </c>
      <c r="D1444" s="1">
        <v>13002616</v>
      </c>
      <c r="E1444" s="1">
        <v>13</v>
      </c>
      <c r="F1444" s="1">
        <v>22589</v>
      </c>
      <c r="G1444" s="1" t="s">
        <v>21</v>
      </c>
      <c r="H1444" s="1">
        <v>18</v>
      </c>
      <c r="I1444" s="1">
        <v>260840</v>
      </c>
      <c r="J1444" s="1" t="s">
        <v>358</v>
      </c>
      <c r="K1444" s="1" t="s">
        <v>51</v>
      </c>
      <c r="L1444" s="1" t="s">
        <v>167</v>
      </c>
      <c r="M1444" s="1">
        <v>1</v>
      </c>
      <c r="N1444" s="2">
        <v>9.66</v>
      </c>
      <c r="O1444" s="3">
        <v>16</v>
      </c>
      <c r="P1444" s="1">
        <v>0</v>
      </c>
      <c r="Q1444" s="1" t="s">
        <v>25</v>
      </c>
      <c r="R1444" s="1" t="s">
        <v>25</v>
      </c>
      <c r="S1444" s="1">
        <v>50</v>
      </c>
      <c r="T1444" s="1">
        <v>1</v>
      </c>
      <c r="U1444" s="1">
        <v>1</v>
      </c>
      <c r="V1444">
        <f t="shared" si="22"/>
        <v>16</v>
      </c>
    </row>
    <row r="1445" spans="1:22" ht="13" x14ac:dyDescent="0.15">
      <c r="A1445" s="4">
        <v>44778</v>
      </c>
      <c r="B1445" s="5">
        <v>0.81260416666666668</v>
      </c>
      <c r="C1445" s="1">
        <v>1899</v>
      </c>
      <c r="D1445" s="1">
        <v>13002616</v>
      </c>
      <c r="E1445" s="1">
        <v>13</v>
      </c>
      <c r="F1445" s="1">
        <v>22589</v>
      </c>
      <c r="G1445" s="1" t="s">
        <v>21</v>
      </c>
      <c r="H1445" s="1">
        <v>15</v>
      </c>
      <c r="I1445" s="1">
        <v>317993</v>
      </c>
      <c r="J1445" s="1" t="s">
        <v>1223</v>
      </c>
      <c r="K1445" s="1" t="s">
        <v>29</v>
      </c>
      <c r="L1445" s="1" t="s">
        <v>1224</v>
      </c>
      <c r="M1445" s="1">
        <v>1</v>
      </c>
      <c r="N1445" s="2">
        <v>61.22</v>
      </c>
      <c r="O1445" s="3">
        <v>76</v>
      </c>
      <c r="P1445" s="1">
        <v>0</v>
      </c>
      <c r="Q1445" s="1" t="s">
        <v>25</v>
      </c>
      <c r="R1445" s="1" t="s">
        <v>25</v>
      </c>
      <c r="S1445" s="1">
        <v>50</v>
      </c>
      <c r="T1445" s="1">
        <v>1</v>
      </c>
      <c r="U1445" s="1">
        <v>1</v>
      </c>
      <c r="V1445">
        <f t="shared" si="22"/>
        <v>76</v>
      </c>
    </row>
    <row r="1446" spans="1:22" ht="13" x14ac:dyDescent="0.15">
      <c r="A1446" s="4">
        <v>44778</v>
      </c>
      <c r="B1446" s="5">
        <v>0.82451388888888888</v>
      </c>
      <c r="C1446" s="1">
        <v>1900</v>
      </c>
      <c r="D1446" s="1">
        <v>13002616</v>
      </c>
      <c r="E1446" s="1">
        <v>13</v>
      </c>
      <c r="F1446" s="1">
        <v>22589</v>
      </c>
      <c r="G1446" s="1" t="s">
        <v>21</v>
      </c>
      <c r="H1446" s="1">
        <v>18</v>
      </c>
      <c r="I1446" s="1">
        <v>431</v>
      </c>
      <c r="J1446" s="1" t="s">
        <v>989</v>
      </c>
      <c r="K1446" s="1" t="s">
        <v>29</v>
      </c>
      <c r="L1446" s="1" t="s">
        <v>216</v>
      </c>
      <c r="M1446" s="1">
        <v>1</v>
      </c>
      <c r="N1446" s="2">
        <v>41.83</v>
      </c>
      <c r="O1446" s="3">
        <v>51</v>
      </c>
      <c r="P1446" s="1">
        <v>0</v>
      </c>
      <c r="Q1446" s="1" t="s">
        <v>25</v>
      </c>
      <c r="R1446" s="1" t="s">
        <v>25</v>
      </c>
      <c r="S1446" s="1">
        <v>50</v>
      </c>
      <c r="T1446" s="1">
        <v>1</v>
      </c>
      <c r="U1446" s="1">
        <v>1</v>
      </c>
      <c r="V1446">
        <f t="shared" si="22"/>
        <v>51</v>
      </c>
    </row>
    <row r="1447" spans="1:22" ht="13" x14ac:dyDescent="0.15">
      <c r="A1447" s="4">
        <v>44778</v>
      </c>
      <c r="B1447" s="5">
        <v>0.82451388888888888</v>
      </c>
      <c r="C1447" s="1">
        <v>1900</v>
      </c>
      <c r="D1447" s="1">
        <v>13002616</v>
      </c>
      <c r="E1447" s="1">
        <v>13</v>
      </c>
      <c r="F1447" s="1">
        <v>22589</v>
      </c>
      <c r="G1447" s="1" t="s">
        <v>21</v>
      </c>
      <c r="H1447" s="1">
        <v>18</v>
      </c>
      <c r="I1447" s="1">
        <v>4139</v>
      </c>
      <c r="J1447" s="1" t="s">
        <v>1225</v>
      </c>
      <c r="K1447" s="1" t="s">
        <v>45</v>
      </c>
      <c r="L1447" s="1" t="s">
        <v>1226</v>
      </c>
      <c r="M1447" s="1">
        <v>1</v>
      </c>
      <c r="N1447" s="2">
        <v>266.99</v>
      </c>
      <c r="O1447" s="3">
        <v>322</v>
      </c>
      <c r="P1447" s="1">
        <v>0</v>
      </c>
      <c r="Q1447" s="1" t="s">
        <v>25</v>
      </c>
      <c r="R1447" s="1" t="s">
        <v>25</v>
      </c>
      <c r="S1447" s="1">
        <v>50</v>
      </c>
      <c r="T1447" s="1">
        <v>1</v>
      </c>
      <c r="U1447" s="1">
        <v>2</v>
      </c>
      <c r="V1447">
        <f t="shared" si="22"/>
        <v>322</v>
      </c>
    </row>
    <row r="1448" spans="1:22" ht="13" x14ac:dyDescent="0.15">
      <c r="A1448" s="4">
        <v>44778</v>
      </c>
      <c r="B1448" s="5">
        <v>0.82623842592592589</v>
      </c>
      <c r="C1448" s="1">
        <v>1902</v>
      </c>
      <c r="D1448" s="1">
        <v>13002616</v>
      </c>
      <c r="E1448" s="1">
        <v>13</v>
      </c>
      <c r="F1448" s="1">
        <v>22589</v>
      </c>
      <c r="G1448" s="1" t="s">
        <v>21</v>
      </c>
      <c r="H1448" s="1">
        <v>15</v>
      </c>
      <c r="I1448" s="1">
        <v>259301</v>
      </c>
      <c r="J1448" s="1" t="s">
        <v>1227</v>
      </c>
      <c r="K1448" s="1" t="s">
        <v>117</v>
      </c>
      <c r="L1448" s="1" t="s">
        <v>1228</v>
      </c>
      <c r="M1448" s="1">
        <v>4</v>
      </c>
      <c r="N1448" s="2">
        <v>7.26</v>
      </c>
      <c r="O1448" s="3">
        <v>12</v>
      </c>
      <c r="P1448" s="1">
        <v>4</v>
      </c>
      <c r="Q1448" s="1">
        <v>9</v>
      </c>
      <c r="R1448" s="1">
        <v>200010016190</v>
      </c>
      <c r="S1448" s="1">
        <v>50</v>
      </c>
      <c r="T1448" s="1">
        <v>1</v>
      </c>
      <c r="U1448" s="1">
        <v>2</v>
      </c>
      <c r="V1448">
        <f t="shared" si="22"/>
        <v>48</v>
      </c>
    </row>
    <row r="1449" spans="1:22" ht="13" x14ac:dyDescent="0.15">
      <c r="A1449" s="4">
        <v>44778</v>
      </c>
      <c r="B1449" s="5">
        <v>0.82623842592592589</v>
      </c>
      <c r="C1449" s="1">
        <v>1902</v>
      </c>
      <c r="D1449" s="1">
        <v>13002616</v>
      </c>
      <c r="E1449" s="1">
        <v>13</v>
      </c>
      <c r="F1449" s="1">
        <v>22589</v>
      </c>
      <c r="G1449" s="1" t="s">
        <v>21</v>
      </c>
      <c r="H1449" s="1">
        <v>15</v>
      </c>
      <c r="I1449" s="1">
        <v>30090</v>
      </c>
      <c r="J1449" s="1" t="s">
        <v>1229</v>
      </c>
      <c r="K1449" s="1" t="s">
        <v>51</v>
      </c>
      <c r="L1449" s="1" t="s">
        <v>167</v>
      </c>
      <c r="M1449" s="1">
        <v>1</v>
      </c>
      <c r="N1449" s="2">
        <v>18.5</v>
      </c>
      <c r="O1449" s="3">
        <v>30</v>
      </c>
      <c r="P1449" s="1">
        <v>3</v>
      </c>
      <c r="Q1449" s="1">
        <v>9</v>
      </c>
      <c r="R1449" s="1">
        <v>200010016190</v>
      </c>
      <c r="S1449" s="1">
        <v>50</v>
      </c>
      <c r="T1449" s="1">
        <v>1</v>
      </c>
      <c r="U1449" s="1">
        <v>1</v>
      </c>
      <c r="V1449">
        <f t="shared" si="22"/>
        <v>30</v>
      </c>
    </row>
    <row r="1450" spans="1:22" ht="13" x14ac:dyDescent="0.15">
      <c r="N1450" s="2"/>
      <c r="O1450" s="3"/>
    </row>
    <row r="1451" spans="1:22" ht="13" x14ac:dyDescent="0.15">
      <c r="N1451" s="2"/>
      <c r="O14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C770-371A-274D-8748-C9B4A9684B94}">
  <dimension ref="A3:B23"/>
  <sheetViews>
    <sheetView workbookViewId="0">
      <selection activeCell="D27" sqref="D27"/>
    </sheetView>
  </sheetViews>
  <sheetFormatPr baseColWidth="10" defaultRowHeight="13" x14ac:dyDescent="0.15"/>
  <cols>
    <col min="1" max="1" width="16.6640625" bestFit="1" customWidth="1"/>
    <col min="2" max="2" width="26.83203125" bestFit="1" customWidth="1"/>
  </cols>
  <sheetData>
    <row r="3" spans="1:2" x14ac:dyDescent="0.15">
      <c r="A3" s="6" t="s">
        <v>1230</v>
      </c>
      <c r="B3" t="s">
        <v>1268</v>
      </c>
    </row>
    <row r="4" spans="1:2" x14ac:dyDescent="0.15">
      <c r="A4" s="7" t="s">
        <v>1249</v>
      </c>
      <c r="B4" s="8">
        <v>176</v>
      </c>
    </row>
    <row r="5" spans="1:2" x14ac:dyDescent="0.15">
      <c r="A5" s="7" t="s">
        <v>1250</v>
      </c>
      <c r="B5" s="8">
        <v>6</v>
      </c>
    </row>
    <row r="6" spans="1:2" x14ac:dyDescent="0.15">
      <c r="A6" s="7" t="s">
        <v>1251</v>
      </c>
      <c r="B6" s="8">
        <v>83</v>
      </c>
    </row>
    <row r="7" spans="1:2" x14ac:dyDescent="0.15">
      <c r="A7" s="7" t="s">
        <v>1252</v>
      </c>
      <c r="B7" s="8">
        <v>59</v>
      </c>
    </row>
    <row r="8" spans="1:2" x14ac:dyDescent="0.15">
      <c r="A8" s="7" t="s">
        <v>1253</v>
      </c>
      <c r="B8" s="8">
        <v>70</v>
      </c>
    </row>
    <row r="9" spans="1:2" x14ac:dyDescent="0.15">
      <c r="A9" s="7" t="s">
        <v>1254</v>
      </c>
      <c r="B9" s="8">
        <v>29</v>
      </c>
    </row>
    <row r="10" spans="1:2" x14ac:dyDescent="0.15">
      <c r="A10" s="7" t="s">
        <v>1255</v>
      </c>
      <c r="B10" s="8">
        <v>29</v>
      </c>
    </row>
    <row r="11" spans="1:2" x14ac:dyDescent="0.15">
      <c r="A11" s="7" t="s">
        <v>1256</v>
      </c>
      <c r="B11" s="8">
        <v>98</v>
      </c>
    </row>
    <row r="12" spans="1:2" x14ac:dyDescent="0.15">
      <c r="A12" s="7" t="s">
        <v>1257</v>
      </c>
      <c r="B12" s="8">
        <v>5</v>
      </c>
    </row>
    <row r="13" spans="1:2" x14ac:dyDescent="0.15">
      <c r="A13" s="7" t="s">
        <v>1258</v>
      </c>
      <c r="B13" s="8">
        <v>73</v>
      </c>
    </row>
    <row r="14" spans="1:2" x14ac:dyDescent="0.15">
      <c r="A14" s="7" t="s">
        <v>1259</v>
      </c>
      <c r="B14" s="8">
        <v>37</v>
      </c>
    </row>
    <row r="15" spans="1:2" x14ac:dyDescent="0.15">
      <c r="A15" s="7" t="s">
        <v>1260</v>
      </c>
      <c r="B15" s="8">
        <v>29</v>
      </c>
    </row>
    <row r="16" spans="1:2" x14ac:dyDescent="0.15">
      <c r="A16" s="7" t="s">
        <v>1261</v>
      </c>
      <c r="B16" s="8">
        <v>25</v>
      </c>
    </row>
    <row r="17" spans="1:2" x14ac:dyDescent="0.15">
      <c r="A17" s="7" t="s">
        <v>1262</v>
      </c>
      <c r="B17" s="8">
        <v>1</v>
      </c>
    </row>
    <row r="18" spans="1:2" x14ac:dyDescent="0.15">
      <c r="A18" s="7" t="s">
        <v>1263</v>
      </c>
      <c r="B18" s="8">
        <v>18</v>
      </c>
    </row>
    <row r="19" spans="1:2" x14ac:dyDescent="0.15">
      <c r="A19" s="7" t="s">
        <v>1264</v>
      </c>
      <c r="B19" s="8">
        <v>18</v>
      </c>
    </row>
    <row r="20" spans="1:2" x14ac:dyDescent="0.15">
      <c r="A20" s="7" t="s">
        <v>1265</v>
      </c>
      <c r="B20" s="8">
        <v>7</v>
      </c>
    </row>
    <row r="21" spans="1:2" x14ac:dyDescent="0.15">
      <c r="A21" s="7" t="s">
        <v>1266</v>
      </c>
      <c r="B21" s="8">
        <v>14</v>
      </c>
    </row>
    <row r="22" spans="1:2" x14ac:dyDescent="0.15">
      <c r="A22" s="7" t="s">
        <v>1267</v>
      </c>
      <c r="B22" s="8">
        <v>26</v>
      </c>
    </row>
    <row r="23" spans="1:2" x14ac:dyDescent="0.15">
      <c r="A23" s="7" t="s">
        <v>1231</v>
      </c>
      <c r="B23" s="8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0121-2FFF-E549-842C-E36D2EE71D86}">
  <dimension ref="A1:Q804"/>
  <sheetViews>
    <sheetView tabSelected="1" zoomScale="106" workbookViewId="0">
      <selection sqref="A1:Q804"/>
    </sheetView>
  </sheetViews>
  <sheetFormatPr baseColWidth="10" defaultRowHeight="13" x14ac:dyDescent="0.15"/>
  <cols>
    <col min="1" max="1" width="103.33203125" bestFit="1" customWidth="1"/>
    <col min="2" max="3" width="12.1640625" bestFit="1" customWidth="1"/>
    <col min="6" max="6" width="12.6640625" bestFit="1" customWidth="1"/>
  </cols>
  <sheetData>
    <row r="1" spans="1:17" x14ac:dyDescent="0.15">
      <c r="A1" s="14" t="s">
        <v>1234</v>
      </c>
      <c r="B1" s="14" t="s">
        <v>1235</v>
      </c>
      <c r="C1" s="14" t="s">
        <v>1237</v>
      </c>
      <c r="D1" s="14" t="s">
        <v>1238</v>
      </c>
      <c r="E1" s="14" t="s">
        <v>1239</v>
      </c>
      <c r="F1" s="14" t="s">
        <v>1233</v>
      </c>
      <c r="G1" s="14" t="s">
        <v>1237</v>
      </c>
      <c r="H1" s="14" t="s">
        <v>1243</v>
      </c>
      <c r="I1" s="14" t="s">
        <v>1239</v>
      </c>
      <c r="J1" s="14" t="s">
        <v>1236</v>
      </c>
      <c r="K1" s="14" t="s">
        <v>1237</v>
      </c>
      <c r="L1" s="14" t="s">
        <v>1243</v>
      </c>
      <c r="M1" s="14" t="s">
        <v>1239</v>
      </c>
      <c r="N1" s="14" t="s">
        <v>1244</v>
      </c>
      <c r="O1" s="14" t="s">
        <v>1246</v>
      </c>
      <c r="P1" s="14" t="s">
        <v>1247</v>
      </c>
      <c r="Q1" s="14" t="s">
        <v>1248</v>
      </c>
    </row>
    <row r="2" spans="1:17" x14ac:dyDescent="0.15">
      <c r="A2" t="s">
        <v>378</v>
      </c>
      <c r="B2" s="9">
        <v>68</v>
      </c>
      <c r="C2" s="13">
        <v>0.04</v>
      </c>
      <c r="D2" s="13">
        <v>0.04</v>
      </c>
      <c r="E2" s="9" t="s">
        <v>1240</v>
      </c>
      <c r="F2">
        <v>272</v>
      </c>
      <c r="G2" s="11">
        <v>7.3894542214106708E-4</v>
      </c>
      <c r="H2" s="12">
        <v>0.85968269655762797</v>
      </c>
      <c r="I2" t="s">
        <v>1241</v>
      </c>
      <c r="J2">
        <v>408</v>
      </c>
      <c r="K2" s="11">
        <f>J2/SUM(J:J)</f>
        <v>4.2265927271319309E-2</v>
      </c>
      <c r="L2" s="12">
        <f>K2</f>
        <v>4.2265927271319309E-2</v>
      </c>
      <c r="M2" t="str">
        <f>IF(L2&lt;0.8,"A",IF(L2&lt;0.95,"B","C"))</f>
        <v>A</v>
      </c>
      <c r="N2" t="str">
        <f>E2&amp;I2&amp;M2</f>
        <v>ABA</v>
      </c>
      <c r="O2" s="11">
        <f>VLOOKUP(A2,XYZ!A1:G804,2,FALSE)</f>
        <v>0.89693827541040638</v>
      </c>
      <c r="P2" t="str">
        <f>IF(O2&lt;0.1,"A",IF(O2&lt;0.25,"Y","Z"))</f>
        <v>Z</v>
      </c>
      <c r="Q2" t="str">
        <f>N2&amp;P2</f>
        <v>ABAZ</v>
      </c>
    </row>
    <row r="3" spans="1:17" x14ac:dyDescent="0.15">
      <c r="A3" t="s">
        <v>419</v>
      </c>
      <c r="B3" s="9">
        <v>35</v>
      </c>
      <c r="C3" s="13">
        <v>0.02</v>
      </c>
      <c r="D3" s="13">
        <v>0.06</v>
      </c>
      <c r="E3" s="9" t="s">
        <v>1240</v>
      </c>
      <c r="F3">
        <v>280</v>
      </c>
      <c r="G3" s="11">
        <v>7.6067911102756908E-4</v>
      </c>
      <c r="H3" s="12">
        <v>0.84995415403272434</v>
      </c>
      <c r="I3" t="s">
        <v>1241</v>
      </c>
      <c r="J3">
        <v>210</v>
      </c>
      <c r="K3" s="11">
        <f t="shared" ref="K3:K66" si="0">J3/SUM(J:J)</f>
        <v>2.1754521389649645E-2</v>
      </c>
      <c r="L3" s="12">
        <f>K3+L2</f>
        <v>6.4020448660968954E-2</v>
      </c>
      <c r="M3" t="str">
        <f t="shared" ref="M3:M66" si="1">IF(L3&lt;0.8,"A",IF(L3&lt;0.95,"B","C"))</f>
        <v>A</v>
      </c>
      <c r="N3" t="str">
        <f t="shared" ref="N3:N66" si="2">E3&amp;I3&amp;M3</f>
        <v>ABA</v>
      </c>
      <c r="O3" s="11">
        <f>VLOOKUP(A3,XYZ!A2:G805,2,FALSE)</f>
        <v>0.69985421222376509</v>
      </c>
      <c r="P3" t="str">
        <f t="shared" ref="P3:P66" si="3">IF(O3&lt;0.1,"A",IF(O3&lt;0.25,"Y","Z"))</f>
        <v>Z</v>
      </c>
      <c r="Q3" t="str">
        <f t="shared" ref="Q3:Q66" si="4">N3&amp;P3</f>
        <v>ABAZ</v>
      </c>
    </row>
    <row r="4" spans="1:17" x14ac:dyDescent="0.15">
      <c r="A4" t="s">
        <v>94</v>
      </c>
      <c r="B4" s="9">
        <v>26</v>
      </c>
      <c r="C4" s="13">
        <v>0.02</v>
      </c>
      <c r="D4" s="13">
        <v>0.08</v>
      </c>
      <c r="E4" s="9" t="s">
        <v>1240</v>
      </c>
      <c r="F4">
        <v>52</v>
      </c>
      <c r="G4" s="11">
        <v>1.4126897776226284E-4</v>
      </c>
      <c r="H4" s="12">
        <v>0.99458992475464192</v>
      </c>
      <c r="I4" t="s">
        <v>1242</v>
      </c>
      <c r="J4">
        <v>156</v>
      </c>
      <c r="K4" s="11">
        <f t="shared" si="0"/>
        <v>1.6160501603739736E-2</v>
      </c>
      <c r="L4" s="12">
        <f t="shared" ref="L4:L67" si="5">K4+L3</f>
        <v>8.0180950264708686E-2</v>
      </c>
      <c r="M4" t="str">
        <f t="shared" si="1"/>
        <v>A</v>
      </c>
      <c r="N4" t="str">
        <f t="shared" si="2"/>
        <v>ACA</v>
      </c>
      <c r="O4" s="11">
        <f>VLOOKUP(A4,XYZ!A3:G806,2,FALSE)</f>
        <v>0.61418151625658901</v>
      </c>
      <c r="P4" t="str">
        <f t="shared" si="3"/>
        <v>Z</v>
      </c>
      <c r="Q4" t="str">
        <f t="shared" si="4"/>
        <v>ACAZ</v>
      </c>
    </row>
    <row r="5" spans="1:17" x14ac:dyDescent="0.15">
      <c r="A5" t="s">
        <v>418</v>
      </c>
      <c r="B5" s="9">
        <v>25</v>
      </c>
      <c r="C5" s="13">
        <v>0.02</v>
      </c>
      <c r="D5" s="13">
        <v>0.1</v>
      </c>
      <c r="E5" s="9" t="s">
        <v>1240</v>
      </c>
      <c r="F5">
        <v>892</v>
      </c>
      <c r="G5" s="11">
        <v>2.4233063108449701E-3</v>
      </c>
      <c r="H5" s="12">
        <v>0.46855501113472875</v>
      </c>
      <c r="I5" t="s">
        <v>1240</v>
      </c>
      <c r="J5">
        <v>150</v>
      </c>
      <c r="K5" s="11">
        <f t="shared" si="0"/>
        <v>1.5538943849749746E-2</v>
      </c>
      <c r="L5" s="12">
        <f t="shared" si="5"/>
        <v>9.5719894114458429E-2</v>
      </c>
      <c r="M5" t="str">
        <f t="shared" si="1"/>
        <v>A</v>
      </c>
      <c r="N5" t="str">
        <f t="shared" si="2"/>
        <v>AAA</v>
      </c>
      <c r="O5" s="11">
        <f>VLOOKUP(A5,XYZ!A4:G807,2,FALSE)</f>
        <v>0.70710678118654757</v>
      </c>
      <c r="P5" t="str">
        <f t="shared" si="3"/>
        <v>Z</v>
      </c>
      <c r="Q5" t="str">
        <f t="shared" si="4"/>
        <v>AAAZ</v>
      </c>
    </row>
    <row r="6" spans="1:17" x14ac:dyDescent="0.15">
      <c r="A6" t="s">
        <v>586</v>
      </c>
      <c r="B6" s="9">
        <v>22</v>
      </c>
      <c r="C6" s="13">
        <v>0.01</v>
      </c>
      <c r="D6" s="13">
        <v>0.11</v>
      </c>
      <c r="E6" s="9" t="s">
        <v>1240</v>
      </c>
      <c r="F6">
        <v>308</v>
      </c>
      <c r="G6" s="11">
        <v>8.3674702213032599E-4</v>
      </c>
      <c r="H6" s="12">
        <v>0.8235959979920634</v>
      </c>
      <c r="I6" t="s">
        <v>1241</v>
      </c>
      <c r="J6">
        <v>132</v>
      </c>
      <c r="K6" s="11">
        <f t="shared" si="0"/>
        <v>1.3674270587779777E-2</v>
      </c>
      <c r="L6" s="12">
        <f t="shared" si="5"/>
        <v>0.1093941647022382</v>
      </c>
      <c r="M6" t="str">
        <f t="shared" si="1"/>
        <v>A</v>
      </c>
      <c r="N6" t="str">
        <f t="shared" si="2"/>
        <v>ABA</v>
      </c>
      <c r="O6" s="11">
        <f>VLOOKUP(A6,XYZ!A5:G808,2,FALSE)</f>
        <v>2.2360679774997894</v>
      </c>
      <c r="P6" t="str">
        <f t="shared" si="3"/>
        <v>Z</v>
      </c>
      <c r="Q6" t="str">
        <f t="shared" si="4"/>
        <v>ABAZ</v>
      </c>
    </row>
    <row r="7" spans="1:17" x14ac:dyDescent="0.15">
      <c r="A7" t="s">
        <v>166</v>
      </c>
      <c r="B7" s="9">
        <v>17</v>
      </c>
      <c r="C7" s="13">
        <v>0.01</v>
      </c>
      <c r="D7" s="13">
        <v>0.12</v>
      </c>
      <c r="E7" s="9" t="s">
        <v>1240</v>
      </c>
      <c r="F7">
        <v>289</v>
      </c>
      <c r="G7" s="11">
        <v>7.8512951102488384E-4</v>
      </c>
      <c r="H7" s="12">
        <v>0.84067658558929848</v>
      </c>
      <c r="I7" t="s">
        <v>1241</v>
      </c>
      <c r="J7">
        <v>102</v>
      </c>
      <c r="K7" s="11">
        <f t="shared" si="0"/>
        <v>1.0566481817829827E-2</v>
      </c>
      <c r="L7" s="12">
        <f t="shared" si="5"/>
        <v>0.11996064652006802</v>
      </c>
      <c r="M7" t="str">
        <f t="shared" si="1"/>
        <v>A</v>
      </c>
      <c r="N7" t="str">
        <f t="shared" si="2"/>
        <v>ABA</v>
      </c>
      <c r="O7" s="11">
        <f>VLOOKUP(A7,XYZ!A6:G809,2,FALSE)</f>
        <v>0.44605149670891486</v>
      </c>
      <c r="P7" t="str">
        <f t="shared" si="3"/>
        <v>Z</v>
      </c>
      <c r="Q7" t="str">
        <f t="shared" si="4"/>
        <v>ABAZ</v>
      </c>
    </row>
    <row r="8" spans="1:17" x14ac:dyDescent="0.15">
      <c r="A8" t="s">
        <v>334</v>
      </c>
      <c r="B8" s="9">
        <v>14</v>
      </c>
      <c r="C8" s="13">
        <v>0.01</v>
      </c>
      <c r="D8" s="13">
        <v>0.13</v>
      </c>
      <c r="E8" s="9" t="s">
        <v>1240</v>
      </c>
      <c r="F8">
        <v>364</v>
      </c>
      <c r="G8" s="11">
        <v>9.888828443358397E-4</v>
      </c>
      <c r="H8" s="12">
        <v>0.78322078080538682</v>
      </c>
      <c r="I8" t="s">
        <v>1240</v>
      </c>
      <c r="J8">
        <v>84</v>
      </c>
      <c r="K8" s="11">
        <f t="shared" si="0"/>
        <v>8.7018085558598583E-3</v>
      </c>
      <c r="L8" s="12">
        <f t="shared" si="5"/>
        <v>0.12866245507592788</v>
      </c>
      <c r="M8" t="str">
        <f t="shared" si="1"/>
        <v>A</v>
      </c>
      <c r="N8" t="str">
        <f t="shared" si="2"/>
        <v>AAA</v>
      </c>
      <c r="O8" s="11">
        <f>VLOOKUP(A8,XYZ!A7:G810,2,FALSE)</f>
        <v>0.85266688473666585</v>
      </c>
      <c r="P8" t="str">
        <f t="shared" si="3"/>
        <v>Z</v>
      </c>
      <c r="Q8" t="str">
        <f t="shared" si="4"/>
        <v>AAAZ</v>
      </c>
    </row>
    <row r="9" spans="1:17" x14ac:dyDescent="0.15">
      <c r="A9" t="s">
        <v>1046</v>
      </c>
      <c r="B9" s="9">
        <v>14</v>
      </c>
      <c r="C9" s="13">
        <v>0.01</v>
      </c>
      <c r="D9" s="13">
        <v>0.14000000000000001</v>
      </c>
      <c r="E9" s="9" t="s">
        <v>1240</v>
      </c>
      <c r="F9">
        <v>126</v>
      </c>
      <c r="G9" s="11">
        <v>3.4230559996240609E-4</v>
      </c>
      <c r="H9" s="12">
        <v>0.95432209915817534</v>
      </c>
      <c r="I9" t="s">
        <v>1242</v>
      </c>
      <c r="J9">
        <v>84</v>
      </c>
      <c r="K9" s="11">
        <f t="shared" si="0"/>
        <v>8.7018085558598583E-3</v>
      </c>
      <c r="L9" s="12">
        <f t="shared" si="5"/>
        <v>0.13736426363178775</v>
      </c>
      <c r="M9" t="str">
        <f t="shared" si="1"/>
        <v>A</v>
      </c>
      <c r="N9" t="str">
        <f t="shared" si="2"/>
        <v>ACA</v>
      </c>
      <c r="O9" s="11">
        <f>VLOOKUP(A9,XYZ!A8:G811,2,FALSE)</f>
        <v>1.5649215928719031</v>
      </c>
      <c r="P9" t="str">
        <f t="shared" si="3"/>
        <v>Z</v>
      </c>
      <c r="Q9" t="str">
        <f t="shared" si="4"/>
        <v>ACAZ</v>
      </c>
    </row>
    <row r="10" spans="1:17" x14ac:dyDescent="0.15">
      <c r="A10" t="s">
        <v>1143</v>
      </c>
      <c r="B10" s="9">
        <v>13</v>
      </c>
      <c r="C10" s="13">
        <v>0.01</v>
      </c>
      <c r="D10" s="13">
        <v>0.17</v>
      </c>
      <c r="E10" s="9" t="s">
        <v>1240</v>
      </c>
      <c r="F10">
        <v>1673</v>
      </c>
      <c r="G10" s="11">
        <v>4.5450576883897253E-3</v>
      </c>
      <c r="H10" s="12">
        <v>0.24991442061341484</v>
      </c>
      <c r="I10" t="s">
        <v>1240</v>
      </c>
      <c r="J10">
        <v>78</v>
      </c>
      <c r="K10" s="11">
        <f t="shared" si="0"/>
        <v>8.080250801869868E-3</v>
      </c>
      <c r="L10" s="12">
        <f t="shared" si="5"/>
        <v>0.14544451443365761</v>
      </c>
      <c r="M10" t="str">
        <f t="shared" si="1"/>
        <v>A</v>
      </c>
      <c r="N10" t="str">
        <f t="shared" si="2"/>
        <v>AAA</v>
      </c>
      <c r="O10" s="11">
        <f>VLOOKUP(A10,XYZ!A9:G812,2,FALSE)</f>
        <v>2.2360679774997894</v>
      </c>
      <c r="P10" t="str">
        <f t="shared" si="3"/>
        <v>Z</v>
      </c>
      <c r="Q10" t="str">
        <f t="shared" si="4"/>
        <v>AAAZ</v>
      </c>
    </row>
    <row r="11" spans="1:17" x14ac:dyDescent="0.15">
      <c r="A11" t="s">
        <v>239</v>
      </c>
      <c r="B11" s="9">
        <v>13</v>
      </c>
      <c r="C11" s="13">
        <v>0.01</v>
      </c>
      <c r="D11" s="13">
        <v>0.15</v>
      </c>
      <c r="E11" s="9" t="s">
        <v>1240</v>
      </c>
      <c r="F11">
        <v>468</v>
      </c>
      <c r="G11" s="11">
        <v>1.2714207998603655E-3</v>
      </c>
      <c r="H11" s="12">
        <v>0.69434649900741996</v>
      </c>
      <c r="I11" t="s">
        <v>1240</v>
      </c>
      <c r="J11">
        <v>78</v>
      </c>
      <c r="K11" s="11">
        <f t="shared" si="0"/>
        <v>8.080250801869868E-3</v>
      </c>
      <c r="L11" s="12">
        <f t="shared" si="5"/>
        <v>0.15352476523552747</v>
      </c>
      <c r="M11" t="str">
        <f t="shared" si="1"/>
        <v>A</v>
      </c>
      <c r="N11" t="str">
        <f t="shared" si="2"/>
        <v>AAA</v>
      </c>
      <c r="O11" s="11">
        <f>VLOOKUP(A11,XYZ!A10:G813,2,FALSE)</f>
        <v>1.0029542161850229</v>
      </c>
      <c r="P11" t="str">
        <f t="shared" si="3"/>
        <v>Z</v>
      </c>
      <c r="Q11" t="str">
        <f t="shared" si="4"/>
        <v>AAAZ</v>
      </c>
    </row>
    <row r="12" spans="1:17" x14ac:dyDescent="0.15">
      <c r="A12" t="s">
        <v>594</v>
      </c>
      <c r="B12" s="9">
        <v>13</v>
      </c>
      <c r="C12" s="13">
        <v>0.01</v>
      </c>
      <c r="D12" s="13">
        <v>0.16</v>
      </c>
      <c r="E12" s="9" t="s">
        <v>1240</v>
      </c>
      <c r="F12">
        <v>221</v>
      </c>
      <c r="G12" s="11">
        <v>6.0039315548961701E-4</v>
      </c>
      <c r="H12" s="12">
        <v>0.89687121161132133</v>
      </c>
      <c r="I12" t="s">
        <v>1241</v>
      </c>
      <c r="J12">
        <v>78</v>
      </c>
      <c r="K12" s="11">
        <f t="shared" si="0"/>
        <v>8.080250801869868E-3</v>
      </c>
      <c r="L12" s="12">
        <f t="shared" si="5"/>
        <v>0.16160501603739733</v>
      </c>
      <c r="M12" t="str">
        <f t="shared" si="1"/>
        <v>A</v>
      </c>
      <c r="N12" t="str">
        <f t="shared" si="2"/>
        <v>ABA</v>
      </c>
      <c r="O12" s="11">
        <f>VLOOKUP(A12,XYZ!A11:G814,2,FALSE)</f>
        <v>0.88545111024779533</v>
      </c>
      <c r="P12" t="str">
        <f t="shared" si="3"/>
        <v>Z</v>
      </c>
      <c r="Q12" t="str">
        <f t="shared" si="4"/>
        <v>ABAZ</v>
      </c>
    </row>
    <row r="13" spans="1:17" x14ac:dyDescent="0.15">
      <c r="A13" t="s">
        <v>451</v>
      </c>
      <c r="B13" s="9">
        <v>13</v>
      </c>
      <c r="C13" s="13">
        <v>0.01</v>
      </c>
      <c r="D13" s="13">
        <v>0.15</v>
      </c>
      <c r="E13" s="9" t="s">
        <v>1240</v>
      </c>
      <c r="F13">
        <v>104</v>
      </c>
      <c r="G13" s="11">
        <v>2.8253795552452568E-4</v>
      </c>
      <c r="H13" s="12">
        <v>0.96752164759672554</v>
      </c>
      <c r="I13" t="s">
        <v>1242</v>
      </c>
      <c r="J13">
        <v>78</v>
      </c>
      <c r="K13" s="11">
        <f t="shared" si="0"/>
        <v>8.080250801869868E-3</v>
      </c>
      <c r="L13" s="12">
        <f t="shared" si="5"/>
        <v>0.16968526683926718</v>
      </c>
      <c r="M13" t="str">
        <f t="shared" si="1"/>
        <v>A</v>
      </c>
      <c r="N13" t="str">
        <f t="shared" si="2"/>
        <v>ACA</v>
      </c>
      <c r="O13" s="11">
        <f>VLOOKUP(A13,XYZ!A12:G815,2,FALSE)</f>
        <v>1.6676525683599077</v>
      </c>
      <c r="P13" t="str">
        <f t="shared" si="3"/>
        <v>Z</v>
      </c>
      <c r="Q13" t="str">
        <f t="shared" si="4"/>
        <v>ACAZ</v>
      </c>
    </row>
    <row r="14" spans="1:17" x14ac:dyDescent="0.15">
      <c r="A14" t="s">
        <v>143</v>
      </c>
      <c r="B14" s="9">
        <v>12</v>
      </c>
      <c r="C14" s="13">
        <v>0.01</v>
      </c>
      <c r="D14" s="13">
        <v>0.18</v>
      </c>
      <c r="E14" s="9" t="s">
        <v>1240</v>
      </c>
      <c r="F14">
        <v>0.11999999999999998</v>
      </c>
      <c r="G14" s="11">
        <v>3.2600533329752954E-7</v>
      </c>
      <c r="H14" s="12">
        <v>1.0000000000000013</v>
      </c>
      <c r="I14" t="s">
        <v>1242</v>
      </c>
      <c r="J14">
        <v>72</v>
      </c>
      <c r="K14" s="11">
        <f t="shared" si="0"/>
        <v>7.4586930478798786E-3</v>
      </c>
      <c r="L14" s="12">
        <f t="shared" si="5"/>
        <v>0.17714395988714707</v>
      </c>
      <c r="M14" t="str">
        <f t="shared" si="1"/>
        <v>A</v>
      </c>
      <c r="N14" t="str">
        <f t="shared" si="2"/>
        <v>ACA</v>
      </c>
      <c r="O14" s="11">
        <f>VLOOKUP(A14,XYZ!A13:G816,2,FALSE)</f>
        <v>0.37267799624996489</v>
      </c>
      <c r="P14" t="str">
        <f t="shared" si="3"/>
        <v>Z</v>
      </c>
      <c r="Q14" t="str">
        <f t="shared" si="4"/>
        <v>ACAZ</v>
      </c>
    </row>
    <row r="15" spans="1:17" x14ac:dyDescent="0.15">
      <c r="A15" t="s">
        <v>517</v>
      </c>
      <c r="B15" s="9">
        <v>11</v>
      </c>
      <c r="C15" s="13">
        <v>0.01</v>
      </c>
      <c r="D15" s="13">
        <v>0.2</v>
      </c>
      <c r="E15" s="9" t="s">
        <v>1240</v>
      </c>
      <c r="F15">
        <v>1372</v>
      </c>
      <c r="G15" s="11">
        <v>3.7273276440350886E-3</v>
      </c>
      <c r="H15" s="12">
        <v>0.31915248108978844</v>
      </c>
      <c r="I15" t="s">
        <v>1240</v>
      </c>
      <c r="J15">
        <v>66</v>
      </c>
      <c r="K15" s="11">
        <f t="shared" si="0"/>
        <v>6.8371352938898884E-3</v>
      </c>
      <c r="L15" s="12">
        <f t="shared" si="5"/>
        <v>0.18398109518103695</v>
      </c>
      <c r="M15" t="str">
        <f t="shared" si="1"/>
        <v>A</v>
      </c>
      <c r="N15" t="str">
        <f t="shared" si="2"/>
        <v>AAA</v>
      </c>
      <c r="O15" s="11">
        <f>VLOOKUP(A15,XYZ!A14:G817,2,FALSE)</f>
        <v>0.67419986246324204</v>
      </c>
      <c r="P15" t="str">
        <f t="shared" si="3"/>
        <v>Z</v>
      </c>
      <c r="Q15" t="str">
        <f t="shared" si="4"/>
        <v>AAAZ</v>
      </c>
    </row>
    <row r="16" spans="1:17" x14ac:dyDescent="0.15">
      <c r="A16" t="s">
        <v>92</v>
      </c>
      <c r="B16" s="9">
        <v>11</v>
      </c>
      <c r="C16" s="13">
        <v>0.01</v>
      </c>
      <c r="D16" s="13">
        <v>0.19</v>
      </c>
      <c r="E16" s="9" t="s">
        <v>1240</v>
      </c>
      <c r="F16">
        <v>338</v>
      </c>
      <c r="G16" s="11">
        <v>9.182483554547084E-4</v>
      </c>
      <c r="H16" s="12">
        <v>0.80612455716731579</v>
      </c>
      <c r="I16" t="s">
        <v>1241</v>
      </c>
      <c r="J16">
        <v>66</v>
      </c>
      <c r="K16" s="11">
        <f t="shared" si="0"/>
        <v>6.8371352938898884E-3</v>
      </c>
      <c r="L16" s="12">
        <f t="shared" si="5"/>
        <v>0.19081823047492683</v>
      </c>
      <c r="M16" t="str">
        <f t="shared" si="1"/>
        <v>A</v>
      </c>
      <c r="N16" t="str">
        <f t="shared" si="2"/>
        <v>ABA</v>
      </c>
      <c r="O16" s="11">
        <f>VLOOKUP(A16,XYZ!A15:G818,2,FALSE)</f>
        <v>1.4868570212541929</v>
      </c>
      <c r="P16" t="str">
        <f t="shared" si="3"/>
        <v>Z</v>
      </c>
      <c r="Q16" t="str">
        <f t="shared" si="4"/>
        <v>ABAZ</v>
      </c>
    </row>
    <row r="17" spans="1:17" x14ac:dyDescent="0.15">
      <c r="A17" t="s">
        <v>225</v>
      </c>
      <c r="B17" s="9">
        <v>11</v>
      </c>
      <c r="C17" s="13">
        <v>0.01</v>
      </c>
      <c r="D17" s="13">
        <v>0.18</v>
      </c>
      <c r="E17" s="9" t="s">
        <v>1240</v>
      </c>
      <c r="F17">
        <v>144</v>
      </c>
      <c r="G17" s="11">
        <v>3.9120639995703554E-4</v>
      </c>
      <c r="H17" s="12">
        <v>0.94263067855857008</v>
      </c>
      <c r="I17" t="s">
        <v>1241</v>
      </c>
      <c r="J17">
        <v>66</v>
      </c>
      <c r="K17" s="11">
        <f t="shared" si="0"/>
        <v>6.8371352938898884E-3</v>
      </c>
      <c r="L17" s="12">
        <f t="shared" si="5"/>
        <v>0.1976553657688167</v>
      </c>
      <c r="M17" t="str">
        <f t="shared" si="1"/>
        <v>A</v>
      </c>
      <c r="N17" t="str">
        <f t="shared" si="2"/>
        <v>ABA</v>
      </c>
      <c r="O17" s="11">
        <f>VLOOKUP(A17,XYZ!A16:G819,2,FALSE)</f>
        <v>1.036523113726489</v>
      </c>
      <c r="P17" t="str">
        <f t="shared" si="3"/>
        <v>Z</v>
      </c>
      <c r="Q17" t="str">
        <f t="shared" si="4"/>
        <v>ABAZ</v>
      </c>
    </row>
    <row r="18" spans="1:17" x14ac:dyDescent="0.15">
      <c r="A18" t="s">
        <v>101</v>
      </c>
      <c r="B18" s="9">
        <v>10</v>
      </c>
      <c r="C18" s="13">
        <v>0.01</v>
      </c>
      <c r="D18" s="13">
        <v>0.2</v>
      </c>
      <c r="E18" s="9" t="s">
        <v>1240</v>
      </c>
      <c r="F18">
        <v>2200</v>
      </c>
      <c r="G18" s="11">
        <v>5.9767644437880426E-3</v>
      </c>
      <c r="H18" s="12">
        <v>0.17501469528830743</v>
      </c>
      <c r="I18" t="s">
        <v>1240</v>
      </c>
      <c r="J18">
        <v>60</v>
      </c>
      <c r="K18" s="11">
        <f t="shared" si="0"/>
        <v>6.2155775398998981E-3</v>
      </c>
      <c r="L18" s="12">
        <f t="shared" si="5"/>
        <v>0.20387094330871661</v>
      </c>
      <c r="M18" t="str">
        <f t="shared" si="1"/>
        <v>A</v>
      </c>
      <c r="N18" t="str">
        <f t="shared" si="2"/>
        <v>AAA</v>
      </c>
      <c r="O18" s="11">
        <f>VLOOKUP(A18,XYZ!A17:G820,2,FALSE)</f>
        <v>0.61237243569579447</v>
      </c>
      <c r="P18" t="str">
        <f t="shared" si="3"/>
        <v>Z</v>
      </c>
      <c r="Q18" t="str">
        <f t="shared" si="4"/>
        <v>AAAZ</v>
      </c>
    </row>
    <row r="19" spans="1:17" x14ac:dyDescent="0.15">
      <c r="A19" t="s">
        <v>369</v>
      </c>
      <c r="B19" s="9">
        <v>10</v>
      </c>
      <c r="C19" s="13">
        <v>0.01</v>
      </c>
      <c r="D19" s="13">
        <v>0.21</v>
      </c>
      <c r="E19" s="9" t="s">
        <v>1240</v>
      </c>
      <c r="F19">
        <v>600</v>
      </c>
      <c r="G19" s="11">
        <v>1.630026666487648E-3</v>
      </c>
      <c r="H19" s="12">
        <v>0.61182665780693279</v>
      </c>
      <c r="I19" t="s">
        <v>1240</v>
      </c>
      <c r="J19">
        <v>60</v>
      </c>
      <c r="K19" s="11">
        <f t="shared" si="0"/>
        <v>6.2155775398998981E-3</v>
      </c>
      <c r="L19" s="12">
        <f t="shared" si="5"/>
        <v>0.21008652084861651</v>
      </c>
      <c r="M19" t="str">
        <f t="shared" si="1"/>
        <v>A</v>
      </c>
      <c r="N19" t="str">
        <f t="shared" si="2"/>
        <v>AAA</v>
      </c>
      <c r="O19" s="11">
        <f>VLOOKUP(A19,XYZ!A18:G821,2,FALSE)</f>
        <v>0.61237243569579447</v>
      </c>
      <c r="P19" t="str">
        <f t="shared" si="3"/>
        <v>Z</v>
      </c>
      <c r="Q19" t="str">
        <f t="shared" si="4"/>
        <v>AAAZ</v>
      </c>
    </row>
    <row r="20" spans="1:17" x14ac:dyDescent="0.15">
      <c r="A20" t="s">
        <v>854</v>
      </c>
      <c r="B20" s="9">
        <v>10</v>
      </c>
      <c r="C20" s="13">
        <v>0.01</v>
      </c>
      <c r="D20" s="13">
        <v>0.22</v>
      </c>
      <c r="E20" s="9" t="s">
        <v>1240</v>
      </c>
      <c r="F20">
        <v>370</v>
      </c>
      <c r="G20" s="11">
        <v>1.0051831110007162E-3</v>
      </c>
      <c r="H20" s="12">
        <v>0.77624447215398129</v>
      </c>
      <c r="I20" t="s">
        <v>1240</v>
      </c>
      <c r="J20">
        <v>60</v>
      </c>
      <c r="K20" s="11">
        <f t="shared" si="0"/>
        <v>6.2155775398998981E-3</v>
      </c>
      <c r="L20" s="12">
        <f t="shared" si="5"/>
        <v>0.21630209838851641</v>
      </c>
      <c r="M20" t="str">
        <f t="shared" si="1"/>
        <v>A</v>
      </c>
      <c r="N20" t="str">
        <f t="shared" si="2"/>
        <v>AAA</v>
      </c>
      <c r="O20" s="11">
        <f>VLOOKUP(A20,XYZ!A19:G822,2,FALSE)</f>
        <v>2.2360679774997898</v>
      </c>
      <c r="P20" t="str">
        <f t="shared" si="3"/>
        <v>Z</v>
      </c>
      <c r="Q20" t="str">
        <f t="shared" si="4"/>
        <v>AAAZ</v>
      </c>
    </row>
    <row r="21" spans="1:17" x14ac:dyDescent="0.15">
      <c r="A21" t="s">
        <v>81</v>
      </c>
      <c r="B21" s="9">
        <v>9</v>
      </c>
      <c r="C21" s="13">
        <v>0.01</v>
      </c>
      <c r="D21" s="13">
        <v>0.23</v>
      </c>
      <c r="E21" s="9" t="s">
        <v>1240</v>
      </c>
      <c r="F21">
        <v>1579</v>
      </c>
      <c r="G21" s="11">
        <v>4.289686843973327E-3</v>
      </c>
      <c r="H21" s="12">
        <v>0.25852367812358046</v>
      </c>
      <c r="I21" t="s">
        <v>1240</v>
      </c>
      <c r="J21">
        <v>54</v>
      </c>
      <c r="K21" s="11">
        <f t="shared" si="0"/>
        <v>5.5940197859099088E-3</v>
      </c>
      <c r="L21" s="12">
        <f t="shared" si="5"/>
        <v>0.22189611817442631</v>
      </c>
      <c r="M21" t="str">
        <f t="shared" si="1"/>
        <v>A</v>
      </c>
      <c r="N21" t="str">
        <f t="shared" si="2"/>
        <v>AAA</v>
      </c>
      <c r="O21" s="11">
        <f>VLOOKUP(A21,XYZ!A20:G823,2,FALSE)</f>
        <v>0.99380798999990649</v>
      </c>
      <c r="P21" t="str">
        <f t="shared" si="3"/>
        <v>Z</v>
      </c>
      <c r="Q21" t="str">
        <f t="shared" si="4"/>
        <v>AAAZ</v>
      </c>
    </row>
    <row r="22" spans="1:17" x14ac:dyDescent="0.15">
      <c r="A22" t="s">
        <v>156</v>
      </c>
      <c r="B22" s="9">
        <v>9</v>
      </c>
      <c r="C22" s="13">
        <v>0.01</v>
      </c>
      <c r="D22" s="13">
        <v>0.22</v>
      </c>
      <c r="E22" s="9" t="s">
        <v>1240</v>
      </c>
      <c r="F22">
        <v>1412</v>
      </c>
      <c r="G22" s="11">
        <v>3.8359960884675982E-3</v>
      </c>
      <c r="H22" s="12">
        <v>0.31542515344575334</v>
      </c>
      <c r="I22" t="s">
        <v>1240</v>
      </c>
      <c r="J22">
        <v>54</v>
      </c>
      <c r="K22" s="11">
        <f t="shared" si="0"/>
        <v>5.5940197859099088E-3</v>
      </c>
      <c r="L22" s="12">
        <f t="shared" si="5"/>
        <v>0.22749013796033621</v>
      </c>
      <c r="M22" t="str">
        <f t="shared" si="1"/>
        <v>A</v>
      </c>
      <c r="N22" t="str">
        <f t="shared" si="2"/>
        <v>AAA</v>
      </c>
      <c r="O22" s="11">
        <f>VLOOKUP(A22,XYZ!A21:G824,2,FALSE)</f>
        <v>0.99380798999990649</v>
      </c>
      <c r="P22" t="str">
        <f t="shared" si="3"/>
        <v>Z</v>
      </c>
      <c r="Q22" t="str">
        <f t="shared" si="4"/>
        <v>AAAZ</v>
      </c>
    </row>
    <row r="23" spans="1:17" x14ac:dyDescent="0.15">
      <c r="A23" t="s">
        <v>254</v>
      </c>
      <c r="B23" s="9">
        <v>9</v>
      </c>
      <c r="C23" s="13">
        <v>0.01</v>
      </c>
      <c r="D23" s="13">
        <v>0.23</v>
      </c>
      <c r="E23" s="9" t="s">
        <v>1240</v>
      </c>
      <c r="F23">
        <v>477</v>
      </c>
      <c r="G23" s="11">
        <v>1.2958711998576802E-3</v>
      </c>
      <c r="H23" s="12">
        <v>0.68537591891951632</v>
      </c>
      <c r="I23" t="s">
        <v>1240</v>
      </c>
      <c r="J23">
        <v>54</v>
      </c>
      <c r="K23" s="11">
        <f t="shared" si="0"/>
        <v>5.5940197859099088E-3</v>
      </c>
      <c r="L23" s="12">
        <f t="shared" si="5"/>
        <v>0.23308415774624611</v>
      </c>
      <c r="M23" t="str">
        <f t="shared" si="1"/>
        <v>A</v>
      </c>
      <c r="N23" t="str">
        <f t="shared" si="2"/>
        <v>AAA</v>
      </c>
      <c r="O23" s="11">
        <f>VLOOKUP(A23,XYZ!A22:G825,2,FALSE)</f>
        <v>0.72435582280029431</v>
      </c>
      <c r="P23" t="str">
        <f t="shared" si="3"/>
        <v>Z</v>
      </c>
      <c r="Q23" t="str">
        <f t="shared" si="4"/>
        <v>AAAZ</v>
      </c>
    </row>
    <row r="24" spans="1:17" x14ac:dyDescent="0.15">
      <c r="A24" t="s">
        <v>744</v>
      </c>
      <c r="B24" s="9">
        <v>9</v>
      </c>
      <c r="C24" s="13">
        <v>0.01</v>
      </c>
      <c r="D24" s="13">
        <v>0.24</v>
      </c>
      <c r="E24" s="9" t="s">
        <v>1240</v>
      </c>
      <c r="F24">
        <v>342</v>
      </c>
      <c r="G24" s="11">
        <v>9.291151998979594E-4</v>
      </c>
      <c r="H24" s="12">
        <v>0.80151815614204402</v>
      </c>
      <c r="I24" t="s">
        <v>1241</v>
      </c>
      <c r="J24">
        <v>54</v>
      </c>
      <c r="K24" s="11">
        <f t="shared" si="0"/>
        <v>5.5940197859099088E-3</v>
      </c>
      <c r="L24" s="12">
        <f t="shared" si="5"/>
        <v>0.23867817753215601</v>
      </c>
      <c r="M24" t="str">
        <f t="shared" si="1"/>
        <v>A</v>
      </c>
      <c r="N24" t="str">
        <f t="shared" si="2"/>
        <v>ABA</v>
      </c>
      <c r="O24" s="11">
        <f>VLOOKUP(A24,XYZ!A23:G826,2,FALSE)</f>
        <v>2.2360679774997894</v>
      </c>
      <c r="P24" t="str">
        <f t="shared" si="3"/>
        <v>Z</v>
      </c>
      <c r="Q24" t="str">
        <f t="shared" si="4"/>
        <v>ABAZ</v>
      </c>
    </row>
    <row r="25" spans="1:17" x14ac:dyDescent="0.15">
      <c r="A25" t="s">
        <v>119</v>
      </c>
      <c r="B25" s="9">
        <v>8</v>
      </c>
      <c r="C25" s="13">
        <v>0</v>
      </c>
      <c r="D25" s="13">
        <v>0.24</v>
      </c>
      <c r="E25" s="9" t="s">
        <v>1240</v>
      </c>
      <c r="F25">
        <v>464</v>
      </c>
      <c r="G25" s="11">
        <v>1.2605539554171145E-3</v>
      </c>
      <c r="H25" s="12">
        <v>0.69941859865130729</v>
      </c>
      <c r="I25" t="s">
        <v>1240</v>
      </c>
      <c r="J25">
        <v>48</v>
      </c>
      <c r="K25" s="11">
        <f t="shared" si="0"/>
        <v>4.9724620319199185E-3</v>
      </c>
      <c r="L25" s="12">
        <f t="shared" si="5"/>
        <v>0.24365063956407593</v>
      </c>
      <c r="M25" t="str">
        <f t="shared" si="1"/>
        <v>A</v>
      </c>
      <c r="N25" t="str">
        <f t="shared" si="2"/>
        <v>AAA</v>
      </c>
      <c r="O25" s="11">
        <f>VLOOKUP(A25,XYZ!A24:G827,2,FALSE)</f>
        <v>1.2960275845829823</v>
      </c>
      <c r="P25" t="str">
        <f t="shared" si="3"/>
        <v>Z</v>
      </c>
      <c r="Q25" t="str">
        <f t="shared" si="4"/>
        <v>AAAZ</v>
      </c>
    </row>
    <row r="26" spans="1:17" x14ac:dyDescent="0.15">
      <c r="A26" t="s">
        <v>627</v>
      </c>
      <c r="B26" s="9">
        <v>8</v>
      </c>
      <c r="C26" s="13">
        <v>0</v>
      </c>
      <c r="D26" s="13">
        <v>0.25</v>
      </c>
      <c r="E26" s="9" t="s">
        <v>1240</v>
      </c>
      <c r="F26">
        <v>292</v>
      </c>
      <c r="G26" s="11">
        <v>7.9327964435732209E-4</v>
      </c>
      <c r="H26" s="12">
        <v>0.83751976727853417</v>
      </c>
      <c r="I26" t="s">
        <v>1241</v>
      </c>
      <c r="J26">
        <v>48</v>
      </c>
      <c r="K26" s="11">
        <f t="shared" si="0"/>
        <v>4.9724620319199185E-3</v>
      </c>
      <c r="L26" s="12">
        <f t="shared" si="5"/>
        <v>0.24862310159599585</v>
      </c>
      <c r="M26" t="str">
        <f t="shared" si="1"/>
        <v>A</v>
      </c>
      <c r="N26" t="str">
        <f t="shared" si="2"/>
        <v>ABA</v>
      </c>
      <c r="O26" s="11">
        <f>VLOOKUP(A26,XYZ!A25:G828,2,FALSE)</f>
        <v>0.71260964068696109</v>
      </c>
      <c r="P26" t="str">
        <f t="shared" si="3"/>
        <v>Z</v>
      </c>
      <c r="Q26" t="str">
        <f t="shared" si="4"/>
        <v>ABAZ</v>
      </c>
    </row>
    <row r="27" spans="1:17" x14ac:dyDescent="0.15">
      <c r="A27" t="s">
        <v>469</v>
      </c>
      <c r="B27" s="9">
        <v>8</v>
      </c>
      <c r="C27" s="13">
        <v>0</v>
      </c>
      <c r="D27" s="13">
        <v>0.25</v>
      </c>
      <c r="E27" s="9" t="s">
        <v>1240</v>
      </c>
      <c r="F27">
        <v>240</v>
      </c>
      <c r="G27" s="11">
        <v>6.5201066659505917E-4</v>
      </c>
      <c r="H27" s="12">
        <v>0.88430370601270147</v>
      </c>
      <c r="I27" t="s">
        <v>1241</v>
      </c>
      <c r="J27">
        <v>48</v>
      </c>
      <c r="K27" s="11">
        <f t="shared" si="0"/>
        <v>4.9724620319199185E-3</v>
      </c>
      <c r="L27" s="12">
        <f t="shared" si="5"/>
        <v>0.25359556362791574</v>
      </c>
      <c r="M27" t="str">
        <f t="shared" si="1"/>
        <v>A</v>
      </c>
      <c r="N27" t="str">
        <f t="shared" si="2"/>
        <v>ABA</v>
      </c>
      <c r="O27" s="11">
        <f>VLOOKUP(A27,XYZ!A26:G829,2,FALSE)</f>
        <v>1.5687375497513916</v>
      </c>
      <c r="P27" t="str">
        <f t="shared" si="3"/>
        <v>Z</v>
      </c>
      <c r="Q27" t="str">
        <f t="shared" si="4"/>
        <v>ABAZ</v>
      </c>
    </row>
    <row r="28" spans="1:17" x14ac:dyDescent="0.15">
      <c r="A28" t="s">
        <v>251</v>
      </c>
      <c r="B28" s="9">
        <v>7</v>
      </c>
      <c r="C28" s="13">
        <v>0</v>
      </c>
      <c r="D28" s="13">
        <v>0.28000000000000003</v>
      </c>
      <c r="E28" s="9" t="s">
        <v>1240</v>
      </c>
      <c r="F28">
        <v>1540</v>
      </c>
      <c r="G28" s="11">
        <v>4.1837351106516303E-3</v>
      </c>
      <c r="H28" s="12">
        <v>0.26697264967820811</v>
      </c>
      <c r="I28" t="s">
        <v>1240</v>
      </c>
      <c r="J28">
        <v>42</v>
      </c>
      <c r="K28" s="11">
        <f t="shared" si="0"/>
        <v>4.3509042779299291E-3</v>
      </c>
      <c r="L28" s="12">
        <f t="shared" si="5"/>
        <v>0.25794646790584569</v>
      </c>
      <c r="M28" t="str">
        <f t="shared" si="1"/>
        <v>A</v>
      </c>
      <c r="N28" t="str">
        <f t="shared" si="2"/>
        <v>AAA</v>
      </c>
      <c r="O28" s="11">
        <f>VLOOKUP(A28,XYZ!A27:G830,2,FALSE)</f>
        <v>0.63887656499993983</v>
      </c>
      <c r="P28" t="str">
        <f t="shared" si="3"/>
        <v>Z</v>
      </c>
      <c r="Q28" t="str">
        <f t="shared" si="4"/>
        <v>AAAZ</v>
      </c>
    </row>
    <row r="29" spans="1:17" x14ac:dyDescent="0.15">
      <c r="A29" t="s">
        <v>217</v>
      </c>
      <c r="B29" s="9">
        <v>7</v>
      </c>
      <c r="C29" s="13">
        <v>0</v>
      </c>
      <c r="D29" s="13">
        <v>0.26</v>
      </c>
      <c r="E29" s="9" t="s">
        <v>1240</v>
      </c>
      <c r="F29">
        <v>350</v>
      </c>
      <c r="G29" s="11">
        <v>9.508488887844613E-4</v>
      </c>
      <c r="H29" s="12">
        <v>0.79586196360933181</v>
      </c>
      <c r="I29" t="s">
        <v>1240</v>
      </c>
      <c r="J29">
        <v>42</v>
      </c>
      <c r="K29" s="11">
        <f t="shared" si="0"/>
        <v>4.3509042779299291E-3</v>
      </c>
      <c r="L29" s="12">
        <f t="shared" si="5"/>
        <v>0.26229737218377563</v>
      </c>
      <c r="M29" t="str">
        <f t="shared" si="1"/>
        <v>A</v>
      </c>
      <c r="N29" t="str">
        <f t="shared" si="2"/>
        <v>AAA</v>
      </c>
      <c r="O29" s="11">
        <f>VLOOKUP(A29,XYZ!A28:G831,2,FALSE)</f>
        <v>1.8626292586293283</v>
      </c>
      <c r="P29" t="str">
        <f t="shared" si="3"/>
        <v>Z</v>
      </c>
      <c r="Q29" t="str">
        <f t="shared" si="4"/>
        <v>AAAZ</v>
      </c>
    </row>
    <row r="30" spans="1:17" x14ac:dyDescent="0.15">
      <c r="A30" t="s">
        <v>98</v>
      </c>
      <c r="B30" s="9">
        <v>7</v>
      </c>
      <c r="C30" s="13">
        <v>0</v>
      </c>
      <c r="D30" s="13">
        <v>0.28000000000000003</v>
      </c>
      <c r="E30" s="9" t="s">
        <v>1240</v>
      </c>
      <c r="F30">
        <v>350</v>
      </c>
      <c r="G30" s="11">
        <v>9.508488887844613E-4</v>
      </c>
      <c r="H30" s="12">
        <v>0.79681281249811631</v>
      </c>
      <c r="I30" t="s">
        <v>1240</v>
      </c>
      <c r="J30">
        <v>42</v>
      </c>
      <c r="K30" s="11">
        <f t="shared" si="0"/>
        <v>4.3509042779299291E-3</v>
      </c>
      <c r="L30" s="12">
        <f t="shared" si="5"/>
        <v>0.26664827646170558</v>
      </c>
      <c r="M30" t="str">
        <f t="shared" si="1"/>
        <v>A</v>
      </c>
      <c r="N30" t="str">
        <f t="shared" si="2"/>
        <v>AAA</v>
      </c>
      <c r="O30" s="11">
        <f>VLOOKUP(A30,XYZ!A29:G832,2,FALSE)</f>
        <v>0.95831484749990992</v>
      </c>
      <c r="P30" t="str">
        <f t="shared" si="3"/>
        <v>Z</v>
      </c>
      <c r="Q30" t="str">
        <f t="shared" si="4"/>
        <v>AAAZ</v>
      </c>
    </row>
    <row r="31" spans="1:17" x14ac:dyDescent="0.15">
      <c r="A31" t="s">
        <v>172</v>
      </c>
      <c r="B31" s="9">
        <v>7</v>
      </c>
      <c r="C31" s="13">
        <v>0</v>
      </c>
      <c r="D31" s="13">
        <v>0.27</v>
      </c>
      <c r="E31" s="9" t="s">
        <v>1240</v>
      </c>
      <c r="F31">
        <v>297</v>
      </c>
      <c r="G31" s="11">
        <v>8.0686319991138573E-4</v>
      </c>
      <c r="H31" s="12">
        <v>0.83512300323524191</v>
      </c>
      <c r="I31" t="s">
        <v>1241</v>
      </c>
      <c r="J31">
        <v>42</v>
      </c>
      <c r="K31" s="11">
        <f t="shared" si="0"/>
        <v>4.3509042779299291E-3</v>
      </c>
      <c r="L31" s="12">
        <f t="shared" si="5"/>
        <v>0.27099918073963553</v>
      </c>
      <c r="M31" t="str">
        <f t="shared" si="1"/>
        <v>A</v>
      </c>
      <c r="N31" t="str">
        <f t="shared" si="2"/>
        <v>ABA</v>
      </c>
      <c r="O31" s="11">
        <f>VLOOKUP(A31,XYZ!A30:G833,2,FALSE)</f>
        <v>1.3923991921155663</v>
      </c>
      <c r="P31" t="str">
        <f t="shared" si="3"/>
        <v>Z</v>
      </c>
      <c r="Q31" t="str">
        <f t="shared" si="4"/>
        <v>ABAZ</v>
      </c>
    </row>
    <row r="32" spans="1:17" x14ac:dyDescent="0.15">
      <c r="A32" t="s">
        <v>468</v>
      </c>
      <c r="B32" s="9">
        <v>7</v>
      </c>
      <c r="C32" s="13">
        <v>0</v>
      </c>
      <c r="D32" s="13">
        <v>0.27</v>
      </c>
      <c r="E32" s="9" t="s">
        <v>1240</v>
      </c>
      <c r="F32">
        <v>210</v>
      </c>
      <c r="G32" s="11">
        <v>5.7050933327067676E-4</v>
      </c>
      <c r="H32" s="12">
        <v>0.90564347178813553</v>
      </c>
      <c r="I32" t="s">
        <v>1241</v>
      </c>
      <c r="J32">
        <v>42</v>
      </c>
      <c r="K32" s="11">
        <f t="shared" si="0"/>
        <v>4.3509042779299291E-3</v>
      </c>
      <c r="L32" s="12">
        <f t="shared" si="5"/>
        <v>0.27535008501756547</v>
      </c>
      <c r="M32" t="str">
        <f t="shared" si="1"/>
        <v>A</v>
      </c>
      <c r="N32" t="str">
        <f t="shared" si="2"/>
        <v>ABA</v>
      </c>
      <c r="O32" s="11">
        <f>VLOOKUP(A32,XYZ!A31:G834,2,FALSE)</f>
        <v>0.81441101792795567</v>
      </c>
      <c r="P32" t="str">
        <f t="shared" si="3"/>
        <v>Z</v>
      </c>
      <c r="Q32" t="str">
        <f t="shared" si="4"/>
        <v>ABAZ</v>
      </c>
    </row>
    <row r="33" spans="1:17" x14ac:dyDescent="0.15">
      <c r="A33" t="s">
        <v>250</v>
      </c>
      <c r="B33" s="9">
        <v>7</v>
      </c>
      <c r="C33" s="13">
        <v>0</v>
      </c>
      <c r="D33" s="13">
        <v>0.26</v>
      </c>
      <c r="E33" s="9" t="s">
        <v>1240</v>
      </c>
      <c r="F33">
        <v>175</v>
      </c>
      <c r="G33" s="11">
        <v>4.7542444439223065E-4</v>
      </c>
      <c r="H33" s="12">
        <v>0.92449880526278361</v>
      </c>
      <c r="I33" t="s">
        <v>1241</v>
      </c>
      <c r="J33">
        <v>42</v>
      </c>
      <c r="K33" s="11">
        <f t="shared" si="0"/>
        <v>4.3509042779299291E-3</v>
      </c>
      <c r="L33" s="12">
        <f t="shared" si="5"/>
        <v>0.27970098929549542</v>
      </c>
      <c r="M33" t="str">
        <f t="shared" si="1"/>
        <v>A</v>
      </c>
      <c r="N33" t="str">
        <f t="shared" si="2"/>
        <v>ABA</v>
      </c>
      <c r="O33" s="11">
        <f>VLOOKUP(A33,XYZ!A32:G835,2,FALSE)</f>
        <v>0.63887656499993983</v>
      </c>
      <c r="P33" t="str">
        <f t="shared" si="3"/>
        <v>Z</v>
      </c>
      <c r="Q33" t="str">
        <f t="shared" si="4"/>
        <v>ABAZ</v>
      </c>
    </row>
    <row r="34" spans="1:17" x14ac:dyDescent="0.15">
      <c r="A34" t="s">
        <v>828</v>
      </c>
      <c r="B34" s="9">
        <v>6</v>
      </c>
      <c r="C34" s="13">
        <v>0</v>
      </c>
      <c r="D34" s="13">
        <v>0.3</v>
      </c>
      <c r="E34" s="9" t="s">
        <v>1240</v>
      </c>
      <c r="F34">
        <v>740</v>
      </c>
      <c r="G34" s="11">
        <v>2.0103662220014324E-3</v>
      </c>
      <c r="H34" s="12">
        <v>0.51448508750822253</v>
      </c>
      <c r="I34" t="s">
        <v>1240</v>
      </c>
      <c r="J34">
        <v>36</v>
      </c>
      <c r="K34" s="11">
        <f t="shared" si="0"/>
        <v>3.7293465239399393E-3</v>
      </c>
      <c r="L34" s="12">
        <f t="shared" si="5"/>
        <v>0.28343033581943533</v>
      </c>
      <c r="M34" t="str">
        <f t="shared" si="1"/>
        <v>A</v>
      </c>
      <c r="N34" t="str">
        <f t="shared" si="2"/>
        <v>AAA</v>
      </c>
      <c r="O34" s="11">
        <f>VLOOKUP(A34,XYZ!A33:G836,2,FALSE)</f>
        <v>1.0865337342004415</v>
      </c>
      <c r="P34" t="str">
        <f t="shared" si="3"/>
        <v>Z</v>
      </c>
      <c r="Q34" t="str">
        <f t="shared" si="4"/>
        <v>AAAZ</v>
      </c>
    </row>
    <row r="35" spans="1:17" x14ac:dyDescent="0.15">
      <c r="A35" t="s">
        <v>115</v>
      </c>
      <c r="B35" s="9">
        <v>6</v>
      </c>
      <c r="C35" s="13">
        <v>0</v>
      </c>
      <c r="D35" s="13">
        <v>0.28999999999999998</v>
      </c>
      <c r="E35" s="9" t="s">
        <v>1240</v>
      </c>
      <c r="F35">
        <v>537</v>
      </c>
      <c r="G35" s="11">
        <v>1.458873866506445E-3</v>
      </c>
      <c r="H35" s="12">
        <v>0.64141435851479456</v>
      </c>
      <c r="I35" t="s">
        <v>1240</v>
      </c>
      <c r="J35">
        <v>36</v>
      </c>
      <c r="K35" s="11">
        <f t="shared" si="0"/>
        <v>3.7293465239399393E-3</v>
      </c>
      <c r="L35" s="12">
        <f t="shared" si="5"/>
        <v>0.28715968234337524</v>
      </c>
      <c r="M35" t="str">
        <f t="shared" si="1"/>
        <v>A</v>
      </c>
      <c r="N35" t="str">
        <f t="shared" si="2"/>
        <v>AAA</v>
      </c>
      <c r="O35" s="11">
        <f>VLOOKUP(A35,XYZ!A34:G837,2,FALSE)</f>
        <v>1.0865337342004415</v>
      </c>
      <c r="P35" t="str">
        <f t="shared" si="3"/>
        <v>Z</v>
      </c>
      <c r="Q35" t="str">
        <f t="shared" si="4"/>
        <v>AAAZ</v>
      </c>
    </row>
    <row r="36" spans="1:17" x14ac:dyDescent="0.15">
      <c r="A36" t="s">
        <v>302</v>
      </c>
      <c r="B36" s="9">
        <v>6</v>
      </c>
      <c r="C36" s="13">
        <v>0</v>
      </c>
      <c r="D36" s="13">
        <v>0.31</v>
      </c>
      <c r="E36" s="9" t="s">
        <v>1240</v>
      </c>
      <c r="F36">
        <v>447</v>
      </c>
      <c r="G36" s="11">
        <v>1.2143698665332977E-3</v>
      </c>
      <c r="H36" s="12">
        <v>0.7116818326055161</v>
      </c>
      <c r="I36" t="s">
        <v>1240</v>
      </c>
      <c r="J36">
        <v>36</v>
      </c>
      <c r="K36" s="11">
        <f t="shared" si="0"/>
        <v>3.7293465239399393E-3</v>
      </c>
      <c r="L36" s="12">
        <f t="shared" si="5"/>
        <v>0.29088902886731516</v>
      </c>
      <c r="M36" t="str">
        <f t="shared" si="1"/>
        <v>A</v>
      </c>
      <c r="N36" t="str">
        <f t="shared" si="2"/>
        <v>AAA</v>
      </c>
      <c r="O36" s="11">
        <f>VLOOKUP(A36,XYZ!A35:G838,2,FALSE)</f>
        <v>1.0865337342004415</v>
      </c>
      <c r="P36" t="str">
        <f t="shared" si="3"/>
        <v>Z</v>
      </c>
      <c r="Q36" t="str">
        <f t="shared" si="4"/>
        <v>AAAZ</v>
      </c>
    </row>
    <row r="37" spans="1:17" x14ac:dyDescent="0.15">
      <c r="A37" t="s">
        <v>411</v>
      </c>
      <c r="B37" s="9">
        <v>6</v>
      </c>
      <c r="C37" s="13">
        <v>0</v>
      </c>
      <c r="D37" s="13">
        <v>0.28999999999999998</v>
      </c>
      <c r="E37" s="9" t="s">
        <v>1240</v>
      </c>
      <c r="F37">
        <v>438</v>
      </c>
      <c r="G37" s="11">
        <v>1.189919466535983E-3</v>
      </c>
      <c r="H37" s="12">
        <v>0.72129627322668244</v>
      </c>
      <c r="I37" t="s">
        <v>1240</v>
      </c>
      <c r="J37">
        <v>36</v>
      </c>
      <c r="K37" s="11">
        <f t="shared" si="0"/>
        <v>3.7293465239399393E-3</v>
      </c>
      <c r="L37" s="12">
        <f t="shared" si="5"/>
        <v>0.29461837539125507</v>
      </c>
      <c r="M37" t="str">
        <f t="shared" si="1"/>
        <v>A</v>
      </c>
      <c r="N37" t="str">
        <f t="shared" si="2"/>
        <v>AAA</v>
      </c>
      <c r="O37" s="11">
        <f>VLOOKUP(A37,XYZ!A36:G839,2,FALSE)</f>
        <v>0.69721668877839638</v>
      </c>
      <c r="P37" t="str">
        <f t="shared" si="3"/>
        <v>Z</v>
      </c>
      <c r="Q37" t="str">
        <f t="shared" si="4"/>
        <v>AAAZ</v>
      </c>
    </row>
    <row r="38" spans="1:17" x14ac:dyDescent="0.15">
      <c r="A38" t="s">
        <v>270</v>
      </c>
      <c r="B38" s="9">
        <v>6</v>
      </c>
      <c r="C38" s="13">
        <v>0</v>
      </c>
      <c r="D38" s="13">
        <v>0.31</v>
      </c>
      <c r="E38" s="9" t="s">
        <v>1240</v>
      </c>
      <c r="F38">
        <v>396</v>
      </c>
      <c r="G38" s="11">
        <v>1.0758175998818477E-3</v>
      </c>
      <c r="H38" s="12">
        <v>0.75979750308912097</v>
      </c>
      <c r="I38" t="s">
        <v>1240</v>
      </c>
      <c r="J38">
        <v>36</v>
      </c>
      <c r="K38" s="11">
        <f t="shared" si="0"/>
        <v>3.7293465239399393E-3</v>
      </c>
      <c r="L38" s="12">
        <f t="shared" si="5"/>
        <v>0.29834772191519499</v>
      </c>
      <c r="M38" t="str">
        <f t="shared" si="1"/>
        <v>A</v>
      </c>
      <c r="N38" t="str">
        <f t="shared" si="2"/>
        <v>AAA</v>
      </c>
      <c r="O38" s="11">
        <f>VLOOKUP(A38,XYZ!A37:G840,2,FALSE)</f>
        <v>1.4907119849998598</v>
      </c>
      <c r="P38" t="str">
        <f t="shared" si="3"/>
        <v>Z</v>
      </c>
      <c r="Q38" t="str">
        <f t="shared" si="4"/>
        <v>AAAZ</v>
      </c>
    </row>
    <row r="39" spans="1:17" x14ac:dyDescent="0.15">
      <c r="A39" t="s">
        <v>262</v>
      </c>
      <c r="B39" s="9">
        <v>6</v>
      </c>
      <c r="C39" s="13">
        <v>0</v>
      </c>
      <c r="D39" s="13">
        <v>0.28999999999999998</v>
      </c>
      <c r="E39" s="9" t="s">
        <v>1240</v>
      </c>
      <c r="F39">
        <v>333</v>
      </c>
      <c r="G39" s="11">
        <v>9.0466479990064465E-4</v>
      </c>
      <c r="H39" s="12">
        <v>0.80976766676691547</v>
      </c>
      <c r="I39" t="s">
        <v>1241</v>
      </c>
      <c r="J39">
        <v>36</v>
      </c>
      <c r="K39" s="11">
        <f t="shared" si="0"/>
        <v>3.7293465239399393E-3</v>
      </c>
      <c r="L39" s="12">
        <f t="shared" si="5"/>
        <v>0.3020770684391349</v>
      </c>
      <c r="M39" t="str">
        <f t="shared" si="1"/>
        <v>A</v>
      </c>
      <c r="N39" t="str">
        <f t="shared" si="2"/>
        <v>ABA</v>
      </c>
      <c r="O39" s="11">
        <f>VLOOKUP(A39,XYZ!A38:G841,2,FALSE)</f>
        <v>1.0865337342004415</v>
      </c>
      <c r="P39" t="str">
        <f t="shared" si="3"/>
        <v>Z</v>
      </c>
      <c r="Q39" t="str">
        <f t="shared" si="4"/>
        <v>ABAZ</v>
      </c>
    </row>
    <row r="40" spans="1:17" x14ac:dyDescent="0.15">
      <c r="A40" t="s">
        <v>215</v>
      </c>
      <c r="B40" s="9">
        <v>6</v>
      </c>
      <c r="C40" s="13">
        <v>0</v>
      </c>
      <c r="D40" s="13">
        <v>0.32</v>
      </c>
      <c r="E40" s="9" t="s">
        <v>1240</v>
      </c>
      <c r="F40">
        <v>238</v>
      </c>
      <c r="G40" s="11">
        <v>6.4657724437343367E-4</v>
      </c>
      <c r="H40" s="12">
        <v>0.88755560921234433</v>
      </c>
      <c r="I40" t="s">
        <v>1241</v>
      </c>
      <c r="J40">
        <v>36</v>
      </c>
      <c r="K40" s="11">
        <f t="shared" si="0"/>
        <v>3.7293465239399393E-3</v>
      </c>
      <c r="L40" s="12">
        <f t="shared" si="5"/>
        <v>0.30580641496307481</v>
      </c>
      <c r="M40" t="str">
        <f t="shared" si="1"/>
        <v>A</v>
      </c>
      <c r="N40" t="str">
        <f t="shared" si="2"/>
        <v>ABA</v>
      </c>
      <c r="O40" s="11">
        <f>VLOOKUP(A40,XYZ!A39:G842,2,FALSE)</f>
        <v>1.4907119849998598</v>
      </c>
      <c r="P40" t="str">
        <f t="shared" si="3"/>
        <v>Z</v>
      </c>
      <c r="Q40" t="str">
        <f t="shared" si="4"/>
        <v>ABAZ</v>
      </c>
    </row>
    <row r="41" spans="1:17" x14ac:dyDescent="0.15">
      <c r="A41" t="s">
        <v>273</v>
      </c>
      <c r="B41" s="9">
        <v>6</v>
      </c>
      <c r="C41" s="13">
        <v>0</v>
      </c>
      <c r="D41" s="13">
        <v>0.31</v>
      </c>
      <c r="E41" s="9" t="s">
        <v>1240</v>
      </c>
      <c r="F41">
        <v>234</v>
      </c>
      <c r="G41" s="11">
        <v>6.3571039993018277E-4</v>
      </c>
      <c r="H41" s="12">
        <v>0.88947089054546735</v>
      </c>
      <c r="I41" t="s">
        <v>1241</v>
      </c>
      <c r="J41">
        <v>36</v>
      </c>
      <c r="K41" s="11">
        <f t="shared" si="0"/>
        <v>3.7293465239399393E-3</v>
      </c>
      <c r="L41" s="12">
        <f t="shared" si="5"/>
        <v>0.30953576148701473</v>
      </c>
      <c r="M41" t="str">
        <f t="shared" si="1"/>
        <v>A</v>
      </c>
      <c r="N41" t="str">
        <f t="shared" si="2"/>
        <v>ABA</v>
      </c>
      <c r="O41" s="11">
        <f>VLOOKUP(A41,XYZ!A40:G843,2,FALSE)</f>
        <v>0.69721668877839638</v>
      </c>
      <c r="P41" t="str">
        <f t="shared" si="3"/>
        <v>Z</v>
      </c>
      <c r="Q41" t="str">
        <f t="shared" si="4"/>
        <v>ABAZ</v>
      </c>
    </row>
    <row r="42" spans="1:17" x14ac:dyDescent="0.15">
      <c r="A42" t="s">
        <v>176</v>
      </c>
      <c r="B42" s="9">
        <v>6</v>
      </c>
      <c r="C42" s="13">
        <v>0</v>
      </c>
      <c r="D42" s="13">
        <v>0.3</v>
      </c>
      <c r="E42" s="9" t="s">
        <v>1240</v>
      </c>
      <c r="F42">
        <v>222</v>
      </c>
      <c r="G42" s="11">
        <v>6.0310986660042976E-4</v>
      </c>
      <c r="H42" s="12">
        <v>0.89506459872263089</v>
      </c>
      <c r="I42" t="s">
        <v>1241</v>
      </c>
      <c r="J42">
        <v>36</v>
      </c>
      <c r="K42" s="11">
        <f t="shared" si="0"/>
        <v>3.7293465239399393E-3</v>
      </c>
      <c r="L42" s="12">
        <f t="shared" si="5"/>
        <v>0.31326510801095464</v>
      </c>
      <c r="M42" t="str">
        <f t="shared" si="1"/>
        <v>A</v>
      </c>
      <c r="N42" t="str">
        <f t="shared" si="2"/>
        <v>ABA</v>
      </c>
      <c r="O42" s="11">
        <f>VLOOKUP(A42,XYZ!A41:G844,2,FALSE)</f>
        <v>1.0865337342004415</v>
      </c>
      <c r="P42" t="str">
        <f t="shared" si="3"/>
        <v>Z</v>
      </c>
      <c r="Q42" t="str">
        <f t="shared" si="4"/>
        <v>ABAZ</v>
      </c>
    </row>
    <row r="43" spans="1:17" x14ac:dyDescent="0.15">
      <c r="A43" t="s">
        <v>358</v>
      </c>
      <c r="B43" s="9">
        <v>6</v>
      </c>
      <c r="C43" s="13">
        <v>0</v>
      </c>
      <c r="D43" s="13">
        <v>0.28000000000000003</v>
      </c>
      <c r="E43" s="9" t="s">
        <v>1240</v>
      </c>
      <c r="F43">
        <v>96</v>
      </c>
      <c r="G43" s="11">
        <v>2.6080426663802368E-4</v>
      </c>
      <c r="H43" s="12">
        <v>0.97515832252922052</v>
      </c>
      <c r="I43" t="s">
        <v>1242</v>
      </c>
      <c r="J43">
        <v>36</v>
      </c>
      <c r="K43" s="11">
        <f t="shared" si="0"/>
        <v>3.7293465239399393E-3</v>
      </c>
      <c r="L43" s="12">
        <f t="shared" si="5"/>
        <v>0.31699445453489455</v>
      </c>
      <c r="M43" t="str">
        <f t="shared" si="1"/>
        <v>A</v>
      </c>
      <c r="N43" t="str">
        <f t="shared" si="2"/>
        <v>ACA</v>
      </c>
      <c r="O43" s="11">
        <f>VLOOKUP(A43,XYZ!A42:G845,2,FALSE)</f>
        <v>0.37267799624996489</v>
      </c>
      <c r="P43" t="str">
        <f t="shared" si="3"/>
        <v>Z</v>
      </c>
      <c r="Q43" t="str">
        <f t="shared" si="4"/>
        <v>ACAZ</v>
      </c>
    </row>
    <row r="44" spans="1:17" x14ac:dyDescent="0.15">
      <c r="A44" t="s">
        <v>198</v>
      </c>
      <c r="B44" s="9">
        <v>5</v>
      </c>
      <c r="C44" s="13">
        <v>0</v>
      </c>
      <c r="D44" s="13">
        <v>0.32</v>
      </c>
      <c r="E44" s="9" t="s">
        <v>1240</v>
      </c>
      <c r="F44">
        <v>2335.31</v>
      </c>
      <c r="G44" s="11">
        <v>6.3443626241921156E-3</v>
      </c>
      <c r="H44" s="12">
        <v>0.15685348151252423</v>
      </c>
      <c r="I44" t="s">
        <v>1240</v>
      </c>
      <c r="J44">
        <v>30</v>
      </c>
      <c r="K44" s="11">
        <f t="shared" si="0"/>
        <v>3.1077887699499491E-3</v>
      </c>
      <c r="L44" s="12">
        <f t="shared" si="5"/>
        <v>0.32010224330484449</v>
      </c>
      <c r="M44" t="str">
        <f t="shared" si="1"/>
        <v>A</v>
      </c>
      <c r="N44" t="str">
        <f t="shared" si="2"/>
        <v>AAA</v>
      </c>
      <c r="O44" s="11">
        <f>VLOOKUP(A44,XYZ!A43:G846,2,FALSE)</f>
        <v>0.70710678118654757</v>
      </c>
      <c r="P44" t="str">
        <f t="shared" si="3"/>
        <v>Z</v>
      </c>
      <c r="Q44" t="str">
        <f t="shared" si="4"/>
        <v>AAAZ</v>
      </c>
    </row>
    <row r="45" spans="1:17" x14ac:dyDescent="0.15">
      <c r="A45" t="s">
        <v>495</v>
      </c>
      <c r="B45" s="9">
        <v>5</v>
      </c>
      <c r="C45" s="13">
        <v>0</v>
      </c>
      <c r="D45" s="13">
        <v>0.35</v>
      </c>
      <c r="E45" s="9" t="s">
        <v>1240</v>
      </c>
      <c r="F45">
        <v>537</v>
      </c>
      <c r="G45" s="11">
        <v>1.458873866506445E-3</v>
      </c>
      <c r="H45" s="12">
        <v>0.64287323238130101</v>
      </c>
      <c r="I45" t="s">
        <v>1240</v>
      </c>
      <c r="J45">
        <v>30</v>
      </c>
      <c r="K45" s="11">
        <f t="shared" si="0"/>
        <v>3.1077887699499491E-3</v>
      </c>
      <c r="L45" s="12">
        <f t="shared" si="5"/>
        <v>0.32321003207479443</v>
      </c>
      <c r="M45" t="str">
        <f t="shared" si="1"/>
        <v>A</v>
      </c>
      <c r="N45" t="str">
        <f t="shared" si="2"/>
        <v>AAA</v>
      </c>
      <c r="O45" s="11">
        <f>VLOOKUP(A45,XYZ!A44:G847,2,FALSE)</f>
        <v>1</v>
      </c>
      <c r="P45" t="str">
        <f t="shared" si="3"/>
        <v>Z</v>
      </c>
      <c r="Q45" t="str">
        <f t="shared" si="4"/>
        <v>AAAZ</v>
      </c>
    </row>
    <row r="46" spans="1:17" x14ac:dyDescent="0.15">
      <c r="A46" t="s">
        <v>722</v>
      </c>
      <c r="B46" s="9">
        <v>5</v>
      </c>
      <c r="C46" s="13">
        <v>0</v>
      </c>
      <c r="D46" s="13">
        <v>0.32</v>
      </c>
      <c r="E46" s="9" t="s">
        <v>1240</v>
      </c>
      <c r="F46">
        <v>372</v>
      </c>
      <c r="G46" s="11">
        <v>1.0106165332223417E-3</v>
      </c>
      <c r="H46" s="12">
        <v>0.77221015615442434</v>
      </c>
      <c r="I46" t="s">
        <v>1240</v>
      </c>
      <c r="J46">
        <v>30</v>
      </c>
      <c r="K46" s="11">
        <f t="shared" si="0"/>
        <v>3.1077887699499491E-3</v>
      </c>
      <c r="L46" s="12">
        <f t="shared" si="5"/>
        <v>0.32631782084474437</v>
      </c>
      <c r="M46" t="str">
        <f t="shared" si="1"/>
        <v>A</v>
      </c>
      <c r="N46" t="str">
        <f t="shared" si="2"/>
        <v>AAA</v>
      </c>
      <c r="O46" s="11">
        <f>VLOOKUP(A46,XYZ!A45:G848,2,FALSE)</f>
        <v>1</v>
      </c>
      <c r="P46" t="str">
        <f t="shared" si="3"/>
        <v>Z</v>
      </c>
      <c r="Q46" t="str">
        <f t="shared" si="4"/>
        <v>AAAZ</v>
      </c>
    </row>
    <row r="47" spans="1:17" x14ac:dyDescent="0.15">
      <c r="A47" t="s">
        <v>260</v>
      </c>
      <c r="B47" s="9">
        <v>5</v>
      </c>
      <c r="C47" s="13">
        <v>0</v>
      </c>
      <c r="D47" s="13">
        <v>0.33</v>
      </c>
      <c r="E47" s="9" t="s">
        <v>1240</v>
      </c>
      <c r="F47">
        <v>350</v>
      </c>
      <c r="G47" s="11">
        <v>9.508488887844613E-4</v>
      </c>
      <c r="H47" s="12">
        <v>0.7977636613869008</v>
      </c>
      <c r="I47" t="s">
        <v>1240</v>
      </c>
      <c r="J47">
        <v>30</v>
      </c>
      <c r="K47" s="11">
        <f t="shared" si="0"/>
        <v>3.1077887699499491E-3</v>
      </c>
      <c r="L47" s="12">
        <f t="shared" si="5"/>
        <v>0.3294256096146943</v>
      </c>
      <c r="M47" t="str">
        <f t="shared" si="1"/>
        <v>A</v>
      </c>
      <c r="N47" t="str">
        <f t="shared" si="2"/>
        <v>AAA</v>
      </c>
      <c r="O47" s="11">
        <f>VLOOKUP(A47,XYZ!A46:G849,2,FALSE)</f>
        <v>0.70710678118654757</v>
      </c>
      <c r="P47" t="str">
        <f t="shared" si="3"/>
        <v>Z</v>
      </c>
      <c r="Q47" t="str">
        <f t="shared" si="4"/>
        <v>AAAZ</v>
      </c>
    </row>
    <row r="48" spans="1:17" x14ac:dyDescent="0.15">
      <c r="A48" t="s">
        <v>229</v>
      </c>
      <c r="B48" s="9">
        <v>5</v>
      </c>
      <c r="C48" s="13">
        <v>0</v>
      </c>
      <c r="D48" s="13">
        <v>0.36</v>
      </c>
      <c r="E48" s="9" t="s">
        <v>1240</v>
      </c>
      <c r="F48">
        <v>343</v>
      </c>
      <c r="G48" s="11">
        <v>9.3183191100877215E-4</v>
      </c>
      <c r="H48" s="12">
        <v>0.80058904094214611</v>
      </c>
      <c r="I48" t="s">
        <v>1241</v>
      </c>
      <c r="J48">
        <v>30</v>
      </c>
      <c r="K48" s="11">
        <f t="shared" si="0"/>
        <v>3.1077887699499491E-3</v>
      </c>
      <c r="L48" s="12">
        <f t="shared" si="5"/>
        <v>0.33253339838464424</v>
      </c>
      <c r="M48" t="str">
        <f t="shared" si="1"/>
        <v>A</v>
      </c>
      <c r="N48" t="str">
        <f t="shared" si="2"/>
        <v>ABA</v>
      </c>
      <c r="O48" s="11">
        <f>VLOOKUP(A48,XYZ!A47:G850,2,FALSE)</f>
        <v>1</v>
      </c>
      <c r="P48" t="str">
        <f t="shared" si="3"/>
        <v>Z</v>
      </c>
      <c r="Q48" t="str">
        <f t="shared" si="4"/>
        <v>ABAZ</v>
      </c>
    </row>
    <row r="49" spans="1:17" x14ac:dyDescent="0.15">
      <c r="A49" t="s">
        <v>555</v>
      </c>
      <c r="B49" s="9">
        <v>5</v>
      </c>
      <c r="C49" s="13">
        <v>0</v>
      </c>
      <c r="D49" s="13">
        <v>0.34</v>
      </c>
      <c r="E49" s="9" t="s">
        <v>1240</v>
      </c>
      <c r="F49">
        <v>305</v>
      </c>
      <c r="G49" s="11">
        <v>8.2859688879788774E-4</v>
      </c>
      <c r="H49" s="12">
        <v>0.82942334332475676</v>
      </c>
      <c r="I49" t="s">
        <v>1241</v>
      </c>
      <c r="J49">
        <v>30</v>
      </c>
      <c r="K49" s="11">
        <f t="shared" si="0"/>
        <v>3.1077887699499491E-3</v>
      </c>
      <c r="L49" s="12">
        <f t="shared" si="5"/>
        <v>0.33564118715459418</v>
      </c>
      <c r="M49" t="str">
        <f t="shared" si="1"/>
        <v>A</v>
      </c>
      <c r="N49" t="str">
        <f t="shared" si="2"/>
        <v>ABA</v>
      </c>
      <c r="O49" s="11">
        <f>VLOOKUP(A49,XYZ!A48:G851,2,FALSE)</f>
        <v>1.4142135623730951</v>
      </c>
      <c r="P49" t="str">
        <f t="shared" si="3"/>
        <v>Z</v>
      </c>
      <c r="Q49" t="str">
        <f t="shared" si="4"/>
        <v>ABAZ</v>
      </c>
    </row>
    <row r="50" spans="1:17" x14ac:dyDescent="0.15">
      <c r="A50" t="s">
        <v>866</v>
      </c>
      <c r="B50" s="9">
        <v>5</v>
      </c>
      <c r="C50" s="13">
        <v>0</v>
      </c>
      <c r="D50" s="13">
        <v>0.35</v>
      </c>
      <c r="E50" s="9" t="s">
        <v>1240</v>
      </c>
      <c r="F50">
        <v>265</v>
      </c>
      <c r="G50" s="11">
        <v>7.1992844436537782E-4</v>
      </c>
      <c r="H50" s="12">
        <v>0.86919933557880502</v>
      </c>
      <c r="I50" t="s">
        <v>1241</v>
      </c>
      <c r="J50">
        <v>30</v>
      </c>
      <c r="K50" s="11">
        <f t="shared" si="0"/>
        <v>3.1077887699499491E-3</v>
      </c>
      <c r="L50" s="12">
        <f t="shared" si="5"/>
        <v>0.33874897592454412</v>
      </c>
      <c r="M50" t="str">
        <f t="shared" si="1"/>
        <v>A</v>
      </c>
      <c r="N50" t="str">
        <f t="shared" si="2"/>
        <v>ABA</v>
      </c>
      <c r="O50" s="11">
        <f>VLOOKUP(A50,XYZ!A49:G852,2,FALSE)</f>
        <v>1.4142135623730951</v>
      </c>
      <c r="P50" t="str">
        <f t="shared" si="3"/>
        <v>Z</v>
      </c>
      <c r="Q50" t="str">
        <f t="shared" si="4"/>
        <v>ABAZ</v>
      </c>
    </row>
    <row r="51" spans="1:17" x14ac:dyDescent="0.15">
      <c r="A51" t="s">
        <v>520</v>
      </c>
      <c r="B51" s="9">
        <v>5</v>
      </c>
      <c r="C51" s="13">
        <v>0</v>
      </c>
      <c r="D51" s="13">
        <v>0.34</v>
      </c>
      <c r="E51" s="9" t="s">
        <v>1240</v>
      </c>
      <c r="F51">
        <v>245</v>
      </c>
      <c r="G51" s="11">
        <v>6.6559422214912292E-4</v>
      </c>
      <c r="H51" s="12">
        <v>0.8823205069018083</v>
      </c>
      <c r="I51" t="s">
        <v>1241</v>
      </c>
      <c r="J51">
        <v>30</v>
      </c>
      <c r="K51" s="11">
        <f t="shared" si="0"/>
        <v>3.1077887699499491E-3</v>
      </c>
      <c r="L51" s="12">
        <f t="shared" si="5"/>
        <v>0.34185676469449405</v>
      </c>
      <c r="M51" t="str">
        <f t="shared" si="1"/>
        <v>A</v>
      </c>
      <c r="N51" t="str">
        <f t="shared" si="2"/>
        <v>ABA</v>
      </c>
      <c r="O51" s="11">
        <f>VLOOKUP(A51,XYZ!A50:G853,2,FALSE)</f>
        <v>1.4142135623730951</v>
      </c>
      <c r="P51" t="str">
        <f t="shared" si="3"/>
        <v>Z</v>
      </c>
      <c r="Q51" t="str">
        <f t="shared" si="4"/>
        <v>ABAZ</v>
      </c>
    </row>
    <row r="52" spans="1:17" x14ac:dyDescent="0.15">
      <c r="A52" t="s">
        <v>670</v>
      </c>
      <c r="B52" s="9">
        <v>5</v>
      </c>
      <c r="C52" s="13">
        <v>0</v>
      </c>
      <c r="D52" s="13">
        <v>0.33</v>
      </c>
      <c r="E52" s="9" t="s">
        <v>1240</v>
      </c>
      <c r="F52">
        <v>230</v>
      </c>
      <c r="G52" s="11">
        <v>6.2484355548693177E-4</v>
      </c>
      <c r="H52" s="12">
        <v>0.89262227543401018</v>
      </c>
      <c r="I52" t="s">
        <v>1241</v>
      </c>
      <c r="J52">
        <v>30</v>
      </c>
      <c r="K52" s="11">
        <f t="shared" si="0"/>
        <v>3.1077887699499491E-3</v>
      </c>
      <c r="L52" s="12">
        <f t="shared" si="5"/>
        <v>0.34496455346444399</v>
      </c>
      <c r="M52" t="str">
        <f t="shared" si="1"/>
        <v>A</v>
      </c>
      <c r="N52" t="str">
        <f t="shared" si="2"/>
        <v>ABA</v>
      </c>
      <c r="O52" s="11">
        <f>VLOOKUP(A52,XYZ!A51:G854,2,FALSE)</f>
        <v>2.2360679774997898</v>
      </c>
      <c r="P52" t="str">
        <f t="shared" si="3"/>
        <v>Z</v>
      </c>
      <c r="Q52" t="str">
        <f t="shared" si="4"/>
        <v>ABAZ</v>
      </c>
    </row>
    <row r="53" spans="1:17" x14ac:dyDescent="0.15">
      <c r="A53" t="s">
        <v>674</v>
      </c>
      <c r="B53" s="9">
        <v>5</v>
      </c>
      <c r="C53" s="13">
        <v>0</v>
      </c>
      <c r="D53" s="13">
        <v>0.33</v>
      </c>
      <c r="E53" s="9" t="s">
        <v>1240</v>
      </c>
      <c r="F53">
        <v>129</v>
      </c>
      <c r="G53" s="11">
        <v>3.5045573329484434E-4</v>
      </c>
      <c r="H53" s="12">
        <v>0.95154692442425781</v>
      </c>
      <c r="I53" t="s">
        <v>1242</v>
      </c>
      <c r="J53">
        <v>30</v>
      </c>
      <c r="K53" s="11">
        <f t="shared" si="0"/>
        <v>3.1077887699499491E-3</v>
      </c>
      <c r="L53" s="12">
        <f t="shared" si="5"/>
        <v>0.34807234223439393</v>
      </c>
      <c r="M53" t="str">
        <f t="shared" si="1"/>
        <v>A</v>
      </c>
      <c r="N53" t="str">
        <f t="shared" si="2"/>
        <v>ACA</v>
      </c>
      <c r="O53" s="11">
        <f>VLOOKUP(A53,XYZ!A52:G855,2,FALSE)</f>
        <v>1</v>
      </c>
      <c r="P53" t="str">
        <f t="shared" si="3"/>
        <v>Z</v>
      </c>
      <c r="Q53" t="str">
        <f t="shared" si="4"/>
        <v>ACAZ</v>
      </c>
    </row>
    <row r="54" spans="1:17" x14ac:dyDescent="0.15">
      <c r="A54" t="s">
        <v>979</v>
      </c>
      <c r="B54" s="9">
        <v>5</v>
      </c>
      <c r="C54" s="13">
        <v>0</v>
      </c>
      <c r="D54" s="13">
        <v>0.34</v>
      </c>
      <c r="E54" s="9" t="s">
        <v>1240</v>
      </c>
      <c r="F54">
        <v>125</v>
      </c>
      <c r="G54" s="11">
        <v>3.3958888885159334E-4</v>
      </c>
      <c r="H54" s="12">
        <v>0.95534629924695169</v>
      </c>
      <c r="I54" t="s">
        <v>1242</v>
      </c>
      <c r="J54">
        <v>30</v>
      </c>
      <c r="K54" s="11">
        <f t="shared" si="0"/>
        <v>3.1077887699499491E-3</v>
      </c>
      <c r="L54" s="12">
        <f t="shared" si="5"/>
        <v>0.35118013100434387</v>
      </c>
      <c r="M54" t="str">
        <f t="shared" si="1"/>
        <v>A</v>
      </c>
      <c r="N54" t="str">
        <f t="shared" si="2"/>
        <v>ACA</v>
      </c>
      <c r="O54" s="11">
        <f>VLOOKUP(A54,XYZ!A53:G856,2,FALSE)</f>
        <v>1.4142135623730951</v>
      </c>
      <c r="P54" t="str">
        <f t="shared" si="3"/>
        <v>Z</v>
      </c>
      <c r="Q54" t="str">
        <f t="shared" si="4"/>
        <v>ACAZ</v>
      </c>
    </row>
    <row r="55" spans="1:17" x14ac:dyDescent="0.15">
      <c r="A55" t="s">
        <v>595</v>
      </c>
      <c r="B55" s="9">
        <v>5</v>
      </c>
      <c r="C55" s="13">
        <v>0</v>
      </c>
      <c r="D55" s="13">
        <v>0.35</v>
      </c>
      <c r="E55" s="9" t="s">
        <v>1240</v>
      </c>
      <c r="F55">
        <v>120</v>
      </c>
      <c r="G55" s="11">
        <v>3.2600533329752958E-4</v>
      </c>
      <c r="H55" s="12">
        <v>0.95900027569099455</v>
      </c>
      <c r="I55" t="s">
        <v>1242</v>
      </c>
      <c r="J55">
        <v>30</v>
      </c>
      <c r="K55" s="11">
        <f t="shared" si="0"/>
        <v>3.1077887699499491E-3</v>
      </c>
      <c r="L55" s="12">
        <f t="shared" si="5"/>
        <v>0.3542879197742938</v>
      </c>
      <c r="M55" t="str">
        <f t="shared" si="1"/>
        <v>A</v>
      </c>
      <c r="N55" t="str">
        <f t="shared" si="2"/>
        <v>ACA</v>
      </c>
      <c r="O55" s="11">
        <f>VLOOKUP(A55,XYZ!A54:G857,2,FALSE)</f>
        <v>2.2360679774997898</v>
      </c>
      <c r="P55" t="str">
        <f t="shared" si="3"/>
        <v>Z</v>
      </c>
      <c r="Q55" t="str">
        <f t="shared" si="4"/>
        <v>ACAZ</v>
      </c>
    </row>
    <row r="56" spans="1:17" x14ac:dyDescent="0.15">
      <c r="A56" t="s">
        <v>1110</v>
      </c>
      <c r="B56" s="9">
        <v>5</v>
      </c>
      <c r="C56" s="13">
        <v>0</v>
      </c>
      <c r="D56" s="13">
        <v>0.34</v>
      </c>
      <c r="E56" s="9" t="s">
        <v>1240</v>
      </c>
      <c r="F56">
        <v>78</v>
      </c>
      <c r="G56" s="11">
        <v>2.1190346664339425E-4</v>
      </c>
      <c r="H56" s="12">
        <v>0.98454779230330025</v>
      </c>
      <c r="I56" t="s">
        <v>1242</v>
      </c>
      <c r="J56">
        <v>30</v>
      </c>
      <c r="K56" s="11">
        <f t="shared" si="0"/>
        <v>3.1077887699499491E-3</v>
      </c>
      <c r="L56" s="12">
        <f t="shared" si="5"/>
        <v>0.35739570854424374</v>
      </c>
      <c r="M56" t="str">
        <f t="shared" si="1"/>
        <v>A</v>
      </c>
      <c r="N56" t="str">
        <f t="shared" si="2"/>
        <v>ACA</v>
      </c>
      <c r="O56" s="11">
        <f>VLOOKUP(A56,XYZ!A55:G858,2,FALSE)</f>
        <v>2.2360679774997898</v>
      </c>
      <c r="P56" t="str">
        <f t="shared" si="3"/>
        <v>Z</v>
      </c>
      <c r="Q56" t="str">
        <f t="shared" si="4"/>
        <v>ACAZ</v>
      </c>
    </row>
    <row r="57" spans="1:17" x14ac:dyDescent="0.15">
      <c r="A57" t="s">
        <v>762</v>
      </c>
      <c r="B57" s="9">
        <v>4</v>
      </c>
      <c r="C57" s="13">
        <v>0</v>
      </c>
      <c r="D57" s="13">
        <v>0.37</v>
      </c>
      <c r="E57" s="9" t="s">
        <v>1240</v>
      </c>
      <c r="F57">
        <v>11948</v>
      </c>
      <c r="G57" s="11">
        <v>3.2459264351990695E-2</v>
      </c>
      <c r="H57" s="12">
        <v>3.2459264351990695E-2</v>
      </c>
      <c r="I57" t="s">
        <v>1240</v>
      </c>
      <c r="J57">
        <v>24</v>
      </c>
      <c r="K57" s="11">
        <f t="shared" si="0"/>
        <v>2.4862310159599593E-3</v>
      </c>
      <c r="L57" s="12">
        <f t="shared" si="5"/>
        <v>0.3598819395602037</v>
      </c>
      <c r="M57" t="str">
        <f t="shared" si="1"/>
        <v>A</v>
      </c>
      <c r="N57" t="str">
        <f t="shared" si="2"/>
        <v>AAA</v>
      </c>
      <c r="O57" s="11">
        <f>VLOOKUP(A57,XYZ!A56:G859,2,FALSE)</f>
        <v>1.6298006013006621</v>
      </c>
      <c r="P57" t="str">
        <f t="shared" si="3"/>
        <v>Z</v>
      </c>
      <c r="Q57" t="str">
        <f t="shared" si="4"/>
        <v>AAAZ</v>
      </c>
    </row>
    <row r="58" spans="1:17" x14ac:dyDescent="0.15">
      <c r="A58" t="s">
        <v>427</v>
      </c>
      <c r="B58" s="9">
        <v>4</v>
      </c>
      <c r="C58" s="13">
        <v>0</v>
      </c>
      <c r="D58" s="13">
        <v>0.39</v>
      </c>
      <c r="E58" s="9" t="s">
        <v>1240</v>
      </c>
      <c r="F58">
        <v>2350</v>
      </c>
      <c r="G58" s="11">
        <v>6.384271110409955E-3</v>
      </c>
      <c r="H58" s="12">
        <v>0.15050911888833213</v>
      </c>
      <c r="I58" t="s">
        <v>1240</v>
      </c>
      <c r="J58">
        <v>24</v>
      </c>
      <c r="K58" s="11">
        <f t="shared" si="0"/>
        <v>2.4862310159599593E-3</v>
      </c>
      <c r="L58" s="12">
        <f t="shared" si="5"/>
        <v>0.36236817057616366</v>
      </c>
      <c r="M58" t="str">
        <f t="shared" si="1"/>
        <v>A</v>
      </c>
      <c r="N58" t="str">
        <f t="shared" si="2"/>
        <v>AAA</v>
      </c>
      <c r="O58" s="11">
        <f>VLOOKUP(A58,XYZ!A57:G860,2,FALSE)</f>
        <v>1.0458250331675945</v>
      </c>
      <c r="P58" t="str">
        <f t="shared" si="3"/>
        <v>Z</v>
      </c>
      <c r="Q58" t="str">
        <f t="shared" si="4"/>
        <v>AAAZ</v>
      </c>
    </row>
    <row r="59" spans="1:17" x14ac:dyDescent="0.15">
      <c r="A59" t="s">
        <v>31</v>
      </c>
      <c r="B59" s="9">
        <v>4</v>
      </c>
      <c r="C59" s="13">
        <v>0</v>
      </c>
      <c r="D59" s="13">
        <v>0.36</v>
      </c>
      <c r="E59" s="9" t="s">
        <v>1240</v>
      </c>
      <c r="F59">
        <v>2158</v>
      </c>
      <c r="G59" s="11">
        <v>5.8626625771339078E-3</v>
      </c>
      <c r="H59" s="12">
        <v>0.18087735786544135</v>
      </c>
      <c r="I59" t="s">
        <v>1240</v>
      </c>
      <c r="J59">
        <v>24</v>
      </c>
      <c r="K59" s="11">
        <f t="shared" si="0"/>
        <v>2.4862310159599593E-3</v>
      </c>
      <c r="L59" s="12">
        <f t="shared" si="5"/>
        <v>0.36485440159212362</v>
      </c>
      <c r="M59" t="str">
        <f t="shared" si="1"/>
        <v>A</v>
      </c>
      <c r="N59" t="str">
        <f t="shared" si="2"/>
        <v>AAA</v>
      </c>
      <c r="O59" s="11">
        <f>VLOOKUP(A59,XYZ!A58:G861,2,FALSE)</f>
        <v>1.0458250331675945</v>
      </c>
      <c r="P59" t="str">
        <f t="shared" si="3"/>
        <v>Z</v>
      </c>
      <c r="Q59" t="str">
        <f t="shared" si="4"/>
        <v>AAAZ</v>
      </c>
    </row>
    <row r="60" spans="1:17" x14ac:dyDescent="0.15">
      <c r="A60" t="s">
        <v>36</v>
      </c>
      <c r="B60" s="9">
        <v>4</v>
      </c>
      <c r="C60" s="13">
        <v>0</v>
      </c>
      <c r="D60" s="13">
        <v>0.38</v>
      </c>
      <c r="E60" s="9" t="s">
        <v>1240</v>
      </c>
      <c r="F60">
        <v>1850</v>
      </c>
      <c r="G60" s="11">
        <v>5.025915555003581E-3</v>
      </c>
      <c r="H60" s="12">
        <v>0.20228775812975661</v>
      </c>
      <c r="I60" t="s">
        <v>1240</v>
      </c>
      <c r="J60">
        <v>24</v>
      </c>
      <c r="K60" s="11">
        <f t="shared" si="0"/>
        <v>2.4862310159599593E-3</v>
      </c>
      <c r="L60" s="12">
        <f t="shared" si="5"/>
        <v>0.36734063260808358</v>
      </c>
      <c r="M60" t="str">
        <f t="shared" si="1"/>
        <v>A</v>
      </c>
      <c r="N60" t="str">
        <f t="shared" si="2"/>
        <v>AAA</v>
      </c>
      <c r="O60" s="11">
        <f>VLOOKUP(A60,XYZ!A59:G862,2,FALSE)</f>
        <v>0.55901699437494734</v>
      </c>
      <c r="P60" t="str">
        <f t="shared" si="3"/>
        <v>Z</v>
      </c>
      <c r="Q60" t="str">
        <f t="shared" si="4"/>
        <v>AAAZ</v>
      </c>
    </row>
    <row r="61" spans="1:17" x14ac:dyDescent="0.15">
      <c r="A61" t="s">
        <v>642</v>
      </c>
      <c r="B61" s="9">
        <v>4</v>
      </c>
      <c r="C61" s="13">
        <v>0</v>
      </c>
      <c r="D61" s="13">
        <v>0.39</v>
      </c>
      <c r="E61" s="9" t="s">
        <v>1240</v>
      </c>
      <c r="F61">
        <v>1534</v>
      </c>
      <c r="G61" s="11">
        <v>4.1674348439867531E-3</v>
      </c>
      <c r="H61" s="12">
        <v>0.2795034407830318</v>
      </c>
      <c r="I61" t="s">
        <v>1240</v>
      </c>
      <c r="J61">
        <v>24</v>
      </c>
      <c r="K61" s="11">
        <f t="shared" si="0"/>
        <v>2.4862310159599593E-3</v>
      </c>
      <c r="L61" s="12">
        <f t="shared" si="5"/>
        <v>0.36982686362404354</v>
      </c>
      <c r="M61" t="str">
        <f t="shared" si="1"/>
        <v>A</v>
      </c>
      <c r="N61" t="str">
        <f t="shared" si="2"/>
        <v>AAA</v>
      </c>
      <c r="O61" s="11">
        <f>VLOOKUP(A61,XYZ!A60:G863,2,FALSE)</f>
        <v>1.0458250331675945</v>
      </c>
      <c r="P61" t="str">
        <f t="shared" si="3"/>
        <v>Z</v>
      </c>
      <c r="Q61" t="str">
        <f t="shared" si="4"/>
        <v>AAAZ</v>
      </c>
    </row>
    <row r="62" spans="1:17" x14ac:dyDescent="0.15">
      <c r="A62" t="s">
        <v>231</v>
      </c>
      <c r="B62" s="9">
        <v>4</v>
      </c>
      <c r="C62" s="13">
        <v>0</v>
      </c>
      <c r="D62" s="13">
        <v>0.4</v>
      </c>
      <c r="E62" s="9" t="s">
        <v>1240</v>
      </c>
      <c r="F62">
        <v>1507</v>
      </c>
      <c r="G62" s="11">
        <v>4.094083643994809E-3</v>
      </c>
      <c r="H62" s="12">
        <v>0.29189028509278253</v>
      </c>
      <c r="I62" t="s">
        <v>1240</v>
      </c>
      <c r="J62">
        <v>24</v>
      </c>
      <c r="K62" s="11">
        <f t="shared" si="0"/>
        <v>2.4862310159599593E-3</v>
      </c>
      <c r="L62" s="12">
        <f t="shared" si="5"/>
        <v>0.37231309464000351</v>
      </c>
      <c r="M62" t="str">
        <f t="shared" si="1"/>
        <v>A</v>
      </c>
      <c r="N62" t="str">
        <f t="shared" si="2"/>
        <v>AAA</v>
      </c>
      <c r="O62" s="11">
        <f>VLOOKUP(A62,XYZ!A61:G864,2,FALSE)</f>
        <v>1.0458250331675945</v>
      </c>
      <c r="P62" t="str">
        <f t="shared" si="3"/>
        <v>Z</v>
      </c>
      <c r="Q62" t="str">
        <f t="shared" si="4"/>
        <v>AAAZ</v>
      </c>
    </row>
    <row r="63" spans="1:17" x14ac:dyDescent="0.15">
      <c r="A63" t="s">
        <v>68</v>
      </c>
      <c r="B63" s="9">
        <v>4</v>
      </c>
      <c r="C63" s="13">
        <v>0</v>
      </c>
      <c r="D63" s="13">
        <v>0.39</v>
      </c>
      <c r="E63" s="9" t="s">
        <v>1240</v>
      </c>
      <c r="F63">
        <v>1206</v>
      </c>
      <c r="G63" s="11">
        <v>3.2763535996401727E-3</v>
      </c>
      <c r="H63" s="12">
        <v>0.36113110117406699</v>
      </c>
      <c r="I63" t="s">
        <v>1240</v>
      </c>
      <c r="J63">
        <v>24</v>
      </c>
      <c r="K63" s="11">
        <f t="shared" si="0"/>
        <v>2.4862310159599593E-3</v>
      </c>
      <c r="L63" s="12">
        <f t="shared" si="5"/>
        <v>0.37479932565596347</v>
      </c>
      <c r="M63" t="str">
        <f t="shared" si="1"/>
        <v>A</v>
      </c>
      <c r="N63" t="str">
        <f t="shared" si="2"/>
        <v>AAA</v>
      </c>
      <c r="O63" s="11">
        <f>VLOOKUP(A63,XYZ!A62:G865,2,FALSE)</f>
        <v>1.0458250331675945</v>
      </c>
      <c r="P63" t="str">
        <f t="shared" si="3"/>
        <v>Z</v>
      </c>
      <c r="Q63" t="str">
        <f t="shared" si="4"/>
        <v>AAAZ</v>
      </c>
    </row>
    <row r="64" spans="1:17" x14ac:dyDescent="0.15">
      <c r="A64" t="s">
        <v>241</v>
      </c>
      <c r="B64" s="9">
        <v>4</v>
      </c>
      <c r="C64" s="13">
        <v>0</v>
      </c>
      <c r="D64" s="13">
        <v>0.38</v>
      </c>
      <c r="E64" s="9" t="s">
        <v>1240</v>
      </c>
      <c r="F64">
        <v>720</v>
      </c>
      <c r="G64" s="11">
        <v>1.9560319997851778E-3</v>
      </c>
      <c r="H64" s="12">
        <v>0.5263163643958122</v>
      </c>
      <c r="I64" t="s">
        <v>1240</v>
      </c>
      <c r="J64">
        <v>24</v>
      </c>
      <c r="K64" s="11">
        <f t="shared" si="0"/>
        <v>2.4862310159599593E-3</v>
      </c>
      <c r="L64" s="12">
        <f t="shared" si="5"/>
        <v>0.37728555667192343</v>
      </c>
      <c r="M64" t="str">
        <f t="shared" si="1"/>
        <v>A</v>
      </c>
      <c r="N64" t="str">
        <f t="shared" si="2"/>
        <v>AAA</v>
      </c>
      <c r="O64" s="11">
        <f>VLOOKUP(A64,XYZ!A63:G866,2,FALSE)</f>
        <v>0.55901699437494734</v>
      </c>
      <c r="P64" t="str">
        <f t="shared" si="3"/>
        <v>Z</v>
      </c>
      <c r="Q64" t="str">
        <f t="shared" si="4"/>
        <v>AAAZ</v>
      </c>
    </row>
    <row r="65" spans="1:17" x14ac:dyDescent="0.15">
      <c r="A65" t="s">
        <v>160</v>
      </c>
      <c r="B65" s="9">
        <v>4</v>
      </c>
      <c r="C65" s="13">
        <v>0</v>
      </c>
      <c r="D65" s="13">
        <v>0.4</v>
      </c>
      <c r="E65" s="9" t="s">
        <v>1240</v>
      </c>
      <c r="F65">
        <v>488</v>
      </c>
      <c r="G65" s="11">
        <v>1.3257550220766203E-3</v>
      </c>
      <c r="H65" s="12">
        <v>0.680129949764537</v>
      </c>
      <c r="I65" t="s">
        <v>1240</v>
      </c>
      <c r="J65">
        <v>24</v>
      </c>
      <c r="K65" s="11">
        <f t="shared" si="0"/>
        <v>2.4862310159599593E-3</v>
      </c>
      <c r="L65" s="12">
        <f t="shared" si="5"/>
        <v>0.37977178768788339</v>
      </c>
      <c r="M65" t="str">
        <f t="shared" si="1"/>
        <v>A</v>
      </c>
      <c r="N65" t="str">
        <f t="shared" si="2"/>
        <v>AAA</v>
      </c>
      <c r="O65" s="11">
        <f>VLOOKUP(A65,XYZ!A64:G867,2,FALSE)</f>
        <v>1.3693063937629151</v>
      </c>
      <c r="P65" t="str">
        <f t="shared" si="3"/>
        <v>Z</v>
      </c>
      <c r="Q65" t="str">
        <f t="shared" si="4"/>
        <v>AAAZ</v>
      </c>
    </row>
    <row r="66" spans="1:17" x14ac:dyDescent="0.15">
      <c r="A66" t="s">
        <v>745</v>
      </c>
      <c r="B66" s="9">
        <v>4</v>
      </c>
      <c r="C66" s="13">
        <v>0</v>
      </c>
      <c r="D66" s="13">
        <v>0.37</v>
      </c>
      <c r="E66" s="9" t="s">
        <v>1240</v>
      </c>
      <c r="F66">
        <v>264</v>
      </c>
      <c r="G66" s="11">
        <v>7.1721173325456518E-4</v>
      </c>
      <c r="H66" s="12">
        <v>0.86991654731205958</v>
      </c>
      <c r="I66" t="s">
        <v>1241</v>
      </c>
      <c r="J66">
        <v>24</v>
      </c>
      <c r="K66" s="11">
        <f t="shared" si="0"/>
        <v>2.4862310159599593E-3</v>
      </c>
      <c r="L66" s="12">
        <f t="shared" si="5"/>
        <v>0.38225801870384335</v>
      </c>
      <c r="M66" t="str">
        <f t="shared" si="1"/>
        <v>A</v>
      </c>
      <c r="N66" t="str">
        <f t="shared" si="2"/>
        <v>ABA</v>
      </c>
      <c r="O66" s="11">
        <f>VLOOKUP(A66,XYZ!A65:G868,2,FALSE)</f>
        <v>2.2360679774997894</v>
      </c>
      <c r="P66" t="str">
        <f t="shared" si="3"/>
        <v>Z</v>
      </c>
      <c r="Q66" t="str">
        <f t="shared" si="4"/>
        <v>ABAZ</v>
      </c>
    </row>
    <row r="67" spans="1:17" x14ac:dyDescent="0.15">
      <c r="A67" t="s">
        <v>47</v>
      </c>
      <c r="B67" s="9">
        <v>4</v>
      </c>
      <c r="C67" s="13">
        <v>0</v>
      </c>
      <c r="D67" s="13">
        <v>0.41</v>
      </c>
      <c r="E67" s="9" t="s">
        <v>1240</v>
      </c>
      <c r="F67">
        <v>232</v>
      </c>
      <c r="G67" s="11">
        <v>6.3027697770855727E-4</v>
      </c>
      <c r="H67" s="12">
        <v>0.89136987161192549</v>
      </c>
      <c r="I67" t="s">
        <v>1241</v>
      </c>
      <c r="J67">
        <v>24</v>
      </c>
      <c r="K67" s="11">
        <f t="shared" ref="K67:K130" si="6">J67/SUM(J:J)</f>
        <v>2.4862310159599593E-3</v>
      </c>
      <c r="L67" s="12">
        <f t="shared" si="5"/>
        <v>0.38474424971980331</v>
      </c>
      <c r="M67" t="str">
        <f t="shared" ref="M67:M130" si="7">IF(L67&lt;0.8,"A",IF(L67&lt;0.95,"B","C"))</f>
        <v>A</v>
      </c>
      <c r="N67" t="str">
        <f t="shared" ref="N67:N130" si="8">E67&amp;I67&amp;M67</f>
        <v>ABA</v>
      </c>
      <c r="O67" s="11">
        <f>VLOOKUP(A67,XYZ!A66:G869,2,FALSE)</f>
        <v>1.0458250331675945</v>
      </c>
      <c r="P67" t="str">
        <f t="shared" ref="P67:P130" si="9">IF(O67&lt;0.1,"A",IF(O67&lt;0.25,"Y","Z"))</f>
        <v>Z</v>
      </c>
      <c r="Q67" t="str">
        <f t="shared" ref="Q67:Q130" si="10">N67&amp;P67</f>
        <v>ABAZ</v>
      </c>
    </row>
    <row r="68" spans="1:17" x14ac:dyDescent="0.15">
      <c r="A68" t="s">
        <v>989</v>
      </c>
      <c r="B68" s="9">
        <v>4</v>
      </c>
      <c r="C68" s="13">
        <v>0</v>
      </c>
      <c r="D68" s="13">
        <v>0.38</v>
      </c>
      <c r="E68" s="9" t="s">
        <v>1240</v>
      </c>
      <c r="F68">
        <v>204</v>
      </c>
      <c r="G68" s="11">
        <v>5.5420906660580036E-4</v>
      </c>
      <c r="H68" s="12">
        <v>0.91071013800980116</v>
      </c>
      <c r="I68" t="s">
        <v>1241</v>
      </c>
      <c r="J68">
        <v>24</v>
      </c>
      <c r="K68" s="11">
        <f t="shared" si="6"/>
        <v>2.4862310159599593E-3</v>
      </c>
      <c r="L68" s="12">
        <f t="shared" ref="L68:L131" si="11">K68+L67</f>
        <v>0.38723048073576327</v>
      </c>
      <c r="M68" t="str">
        <f t="shared" si="7"/>
        <v>A</v>
      </c>
      <c r="N68" t="str">
        <f t="shared" si="8"/>
        <v>ABA</v>
      </c>
      <c r="O68" s="11">
        <f>VLOOKUP(A68,XYZ!A67:G870,2,FALSE)</f>
        <v>1.3693063937629151</v>
      </c>
      <c r="P68" t="str">
        <f t="shared" si="9"/>
        <v>Z</v>
      </c>
      <c r="Q68" t="str">
        <f t="shared" si="10"/>
        <v>ABAZ</v>
      </c>
    </row>
    <row r="69" spans="1:17" x14ac:dyDescent="0.15">
      <c r="A69" t="s">
        <v>268</v>
      </c>
      <c r="B69" s="9">
        <v>4</v>
      </c>
      <c r="C69" s="13">
        <v>0</v>
      </c>
      <c r="D69" s="13">
        <v>0.38</v>
      </c>
      <c r="E69" s="9" t="s">
        <v>1240</v>
      </c>
      <c r="F69">
        <v>192</v>
      </c>
      <c r="G69" s="11">
        <v>5.2160853327604736E-4</v>
      </c>
      <c r="H69" s="12">
        <v>0.91501069169821792</v>
      </c>
      <c r="I69" t="s">
        <v>1241</v>
      </c>
      <c r="J69">
        <v>24</v>
      </c>
      <c r="K69" s="11">
        <f t="shared" si="6"/>
        <v>2.4862310159599593E-3</v>
      </c>
      <c r="L69" s="12">
        <f t="shared" si="11"/>
        <v>0.38971671175172323</v>
      </c>
      <c r="M69" t="str">
        <f t="shared" si="7"/>
        <v>A</v>
      </c>
      <c r="N69" t="str">
        <f t="shared" si="8"/>
        <v>ABA</v>
      </c>
      <c r="O69" s="11">
        <f>VLOOKUP(A69,XYZ!A68:G871,2,FALSE)</f>
        <v>0.55901699437494734</v>
      </c>
      <c r="P69" t="str">
        <f t="shared" si="9"/>
        <v>Z</v>
      </c>
      <c r="Q69" t="str">
        <f t="shared" si="10"/>
        <v>ABAZ</v>
      </c>
    </row>
    <row r="70" spans="1:17" x14ac:dyDescent="0.15">
      <c r="A70" t="s">
        <v>667</v>
      </c>
      <c r="B70" s="9">
        <v>4</v>
      </c>
      <c r="C70" s="13">
        <v>0</v>
      </c>
      <c r="D70" s="13">
        <v>0.41</v>
      </c>
      <c r="E70" s="9" t="s">
        <v>1240</v>
      </c>
      <c r="F70">
        <v>188</v>
      </c>
      <c r="G70" s="11">
        <v>5.1074168883279635E-4</v>
      </c>
      <c r="H70" s="12">
        <v>0.91811589249787706</v>
      </c>
      <c r="I70" t="s">
        <v>1241</v>
      </c>
      <c r="J70">
        <v>24</v>
      </c>
      <c r="K70" s="11">
        <f t="shared" si="6"/>
        <v>2.4862310159599593E-3</v>
      </c>
      <c r="L70" s="12">
        <f t="shared" si="11"/>
        <v>0.39220294276768319</v>
      </c>
      <c r="M70" t="str">
        <f t="shared" si="7"/>
        <v>A</v>
      </c>
      <c r="N70" t="str">
        <f t="shared" si="8"/>
        <v>ABA</v>
      </c>
      <c r="O70" s="11">
        <f>VLOOKUP(A70,XYZ!A69:G872,2,FALSE)</f>
        <v>1.6298006013006621</v>
      </c>
      <c r="P70" t="str">
        <f t="shared" si="9"/>
        <v>Z</v>
      </c>
      <c r="Q70" t="str">
        <f t="shared" si="10"/>
        <v>ABAZ</v>
      </c>
    </row>
    <row r="71" spans="1:17" x14ac:dyDescent="0.15">
      <c r="A71" t="s">
        <v>807</v>
      </c>
      <c r="B71" s="9">
        <v>4</v>
      </c>
      <c r="C71" s="13">
        <v>0</v>
      </c>
      <c r="D71" s="13">
        <v>0.37</v>
      </c>
      <c r="E71" s="9" t="s">
        <v>1240</v>
      </c>
      <c r="F71">
        <v>133</v>
      </c>
      <c r="G71" s="11">
        <v>3.6132257773809529E-4</v>
      </c>
      <c r="H71" s="12">
        <v>0.94904211678008832</v>
      </c>
      <c r="I71" t="s">
        <v>1241</v>
      </c>
      <c r="J71">
        <v>24</v>
      </c>
      <c r="K71" s="11">
        <f t="shared" si="6"/>
        <v>2.4862310159599593E-3</v>
      </c>
      <c r="L71" s="12">
        <f t="shared" si="11"/>
        <v>0.39468917378364315</v>
      </c>
      <c r="M71" t="str">
        <f t="shared" si="7"/>
        <v>A</v>
      </c>
      <c r="N71" t="str">
        <f t="shared" si="8"/>
        <v>ABA</v>
      </c>
      <c r="O71" s="11">
        <f>VLOOKUP(A71,XYZ!A70:G873,2,FALSE)</f>
        <v>1.0458250331675945</v>
      </c>
      <c r="P71" t="str">
        <f t="shared" si="9"/>
        <v>Z</v>
      </c>
      <c r="Q71" t="str">
        <f t="shared" si="10"/>
        <v>ABAZ</v>
      </c>
    </row>
    <row r="72" spans="1:17" x14ac:dyDescent="0.15">
      <c r="A72" t="s">
        <v>767</v>
      </c>
      <c r="B72" s="9">
        <v>4</v>
      </c>
      <c r="C72" s="13">
        <v>0</v>
      </c>
      <c r="D72" s="13">
        <v>0.4</v>
      </c>
      <c r="E72" s="9" t="s">
        <v>1240</v>
      </c>
      <c r="F72">
        <v>132</v>
      </c>
      <c r="G72" s="11">
        <v>3.5860586662728259E-4</v>
      </c>
      <c r="H72" s="12">
        <v>0.95048469037993</v>
      </c>
      <c r="I72" t="s">
        <v>1242</v>
      </c>
      <c r="J72">
        <v>24</v>
      </c>
      <c r="K72" s="11">
        <f t="shared" si="6"/>
        <v>2.4862310159599593E-3</v>
      </c>
      <c r="L72" s="12">
        <f t="shared" si="11"/>
        <v>0.39717540479960312</v>
      </c>
      <c r="M72" t="str">
        <f t="shared" si="7"/>
        <v>A</v>
      </c>
      <c r="N72" t="str">
        <f t="shared" si="8"/>
        <v>ACA</v>
      </c>
      <c r="O72" s="11">
        <f>VLOOKUP(A72,XYZ!A71:G874,2,FALSE)</f>
        <v>1.0458250331675945</v>
      </c>
      <c r="P72" t="str">
        <f t="shared" si="9"/>
        <v>Z</v>
      </c>
      <c r="Q72" t="str">
        <f t="shared" si="10"/>
        <v>ACAZ</v>
      </c>
    </row>
    <row r="73" spans="1:17" x14ac:dyDescent="0.15">
      <c r="A73" t="s">
        <v>121</v>
      </c>
      <c r="B73" s="9">
        <v>4</v>
      </c>
      <c r="C73" s="13">
        <v>0</v>
      </c>
      <c r="D73" s="13">
        <v>0.4</v>
      </c>
      <c r="E73" s="9" t="s">
        <v>1240</v>
      </c>
      <c r="F73">
        <v>100</v>
      </c>
      <c r="G73" s="11">
        <v>2.7167111108127468E-4</v>
      </c>
      <c r="H73" s="12">
        <v>0.97167821559626921</v>
      </c>
      <c r="I73" t="s">
        <v>1242</v>
      </c>
      <c r="J73">
        <v>24</v>
      </c>
      <c r="K73" s="11">
        <f t="shared" si="6"/>
        <v>2.4862310159599593E-3</v>
      </c>
      <c r="L73" s="12">
        <f t="shared" si="11"/>
        <v>0.39966163581556308</v>
      </c>
      <c r="M73" t="str">
        <f t="shared" si="7"/>
        <v>A</v>
      </c>
      <c r="N73" t="str">
        <f t="shared" si="8"/>
        <v>ACA</v>
      </c>
      <c r="O73" s="11">
        <f>VLOOKUP(A73,XYZ!A72:G875,2,FALSE)</f>
        <v>1.0458250331675945</v>
      </c>
      <c r="P73" t="str">
        <f t="shared" si="9"/>
        <v>Z</v>
      </c>
      <c r="Q73" t="str">
        <f t="shared" si="10"/>
        <v>ACAZ</v>
      </c>
    </row>
    <row r="74" spans="1:17" x14ac:dyDescent="0.15">
      <c r="A74" t="s">
        <v>75</v>
      </c>
      <c r="B74" s="9">
        <v>4</v>
      </c>
      <c r="C74" s="13">
        <v>0</v>
      </c>
      <c r="D74" s="13">
        <v>0.41</v>
      </c>
      <c r="E74" s="9" t="s">
        <v>1240</v>
      </c>
      <c r="F74">
        <v>100</v>
      </c>
      <c r="G74" s="11">
        <v>2.7167111108127468E-4</v>
      </c>
      <c r="H74" s="12">
        <v>0.9719498867073505</v>
      </c>
      <c r="I74" t="s">
        <v>1242</v>
      </c>
      <c r="J74">
        <v>24</v>
      </c>
      <c r="K74" s="11">
        <f t="shared" si="6"/>
        <v>2.4862310159599593E-3</v>
      </c>
      <c r="L74" s="12">
        <f t="shared" si="11"/>
        <v>0.40214786683152304</v>
      </c>
      <c r="M74" t="str">
        <f t="shared" si="7"/>
        <v>A</v>
      </c>
      <c r="N74" t="str">
        <f t="shared" si="8"/>
        <v>ACA</v>
      </c>
      <c r="O74" s="11">
        <f>VLOOKUP(A74,XYZ!A73:G876,2,FALSE)</f>
        <v>1.6298006013006621</v>
      </c>
      <c r="P74" t="str">
        <f t="shared" si="9"/>
        <v>Z</v>
      </c>
      <c r="Q74" t="str">
        <f t="shared" si="10"/>
        <v>ACAZ</v>
      </c>
    </row>
    <row r="75" spans="1:17" x14ac:dyDescent="0.15">
      <c r="A75" t="s">
        <v>384</v>
      </c>
      <c r="B75" s="9">
        <v>4</v>
      </c>
      <c r="C75" s="13">
        <v>0</v>
      </c>
      <c r="D75" s="13">
        <v>0.37</v>
      </c>
      <c r="E75" s="9" t="s">
        <v>1240</v>
      </c>
      <c r="F75">
        <v>76</v>
      </c>
      <c r="G75" s="11">
        <v>2.0647004442176875E-4</v>
      </c>
      <c r="H75" s="12">
        <v>0.98580834625871727</v>
      </c>
      <c r="I75" t="s">
        <v>1242</v>
      </c>
      <c r="J75">
        <v>24</v>
      </c>
      <c r="K75" s="11">
        <f t="shared" si="6"/>
        <v>2.4862310159599593E-3</v>
      </c>
      <c r="L75" s="12">
        <f t="shared" si="11"/>
        <v>0.404634097847483</v>
      </c>
      <c r="M75" t="str">
        <f t="shared" si="7"/>
        <v>A</v>
      </c>
      <c r="N75" t="str">
        <f t="shared" si="8"/>
        <v>ACA</v>
      </c>
      <c r="O75" s="11">
        <f>VLOOKUP(A75,XYZ!A74:G877,2,FALSE)</f>
        <v>0.55901699437494734</v>
      </c>
      <c r="P75" t="str">
        <f t="shared" si="9"/>
        <v>Z</v>
      </c>
      <c r="Q75" t="str">
        <f t="shared" si="10"/>
        <v>ACAZ</v>
      </c>
    </row>
    <row r="76" spans="1:17" x14ac:dyDescent="0.15">
      <c r="A76" t="s">
        <v>986</v>
      </c>
      <c r="B76" s="9">
        <v>4</v>
      </c>
      <c r="C76" s="13">
        <v>0</v>
      </c>
      <c r="D76" s="13">
        <v>0.36</v>
      </c>
      <c r="E76" s="9" t="s">
        <v>1240</v>
      </c>
      <c r="F76">
        <v>64</v>
      </c>
      <c r="G76" s="11">
        <v>1.7386951109201579E-4</v>
      </c>
      <c r="H76" s="12">
        <v>0.99179945493717048</v>
      </c>
      <c r="I76" t="s">
        <v>1242</v>
      </c>
      <c r="J76">
        <v>24</v>
      </c>
      <c r="K76" s="11">
        <f t="shared" si="6"/>
        <v>2.4862310159599593E-3</v>
      </c>
      <c r="L76" s="12">
        <f t="shared" si="11"/>
        <v>0.40712032886344296</v>
      </c>
      <c r="M76" t="str">
        <f t="shared" si="7"/>
        <v>A</v>
      </c>
      <c r="N76" t="str">
        <f t="shared" si="8"/>
        <v>ACA</v>
      </c>
      <c r="O76" s="11">
        <f>VLOOKUP(A76,XYZ!A75:G878,2,FALSE)</f>
        <v>1.6298006013006621</v>
      </c>
      <c r="P76" t="str">
        <f t="shared" si="9"/>
        <v>Z</v>
      </c>
      <c r="Q76" t="str">
        <f t="shared" si="10"/>
        <v>ACAZ</v>
      </c>
    </row>
    <row r="77" spans="1:17" x14ac:dyDescent="0.15">
      <c r="A77" t="s">
        <v>1227</v>
      </c>
      <c r="B77" s="9">
        <v>4</v>
      </c>
      <c r="C77" s="13">
        <v>0</v>
      </c>
      <c r="D77" s="13">
        <v>0.39</v>
      </c>
      <c r="E77" s="9" t="s">
        <v>1240</v>
      </c>
      <c r="F77">
        <v>48</v>
      </c>
      <c r="G77" s="11">
        <v>1.3040213331901184E-4</v>
      </c>
      <c r="H77" s="12">
        <v>0.99581438492526131</v>
      </c>
      <c r="I77" t="s">
        <v>1242</v>
      </c>
      <c r="J77">
        <v>24</v>
      </c>
      <c r="K77" s="11">
        <f t="shared" si="6"/>
        <v>2.4862310159599593E-3</v>
      </c>
      <c r="L77" s="12">
        <f t="shared" si="11"/>
        <v>0.40960655987940292</v>
      </c>
      <c r="M77" t="str">
        <f t="shared" si="7"/>
        <v>A</v>
      </c>
      <c r="N77" t="str">
        <f t="shared" si="8"/>
        <v>ACA</v>
      </c>
      <c r="O77" s="11">
        <f>VLOOKUP(A77,XYZ!A76:G879,2,FALSE)</f>
        <v>2.2360679774997894</v>
      </c>
      <c r="P77" t="str">
        <f t="shared" si="9"/>
        <v>Z</v>
      </c>
      <c r="Q77" t="str">
        <f t="shared" si="10"/>
        <v>ACAZ</v>
      </c>
    </row>
    <row r="78" spans="1:17" x14ac:dyDescent="0.15">
      <c r="A78" t="s">
        <v>834</v>
      </c>
      <c r="B78" s="9">
        <v>4</v>
      </c>
      <c r="C78" s="13">
        <v>0</v>
      </c>
      <c r="D78" s="13">
        <v>0.36</v>
      </c>
      <c r="E78" s="9" t="s">
        <v>1240</v>
      </c>
      <c r="F78">
        <v>44</v>
      </c>
      <c r="G78" s="11">
        <v>1.1953528887576085E-4</v>
      </c>
      <c r="H78" s="12">
        <v>0.99655876376962393</v>
      </c>
      <c r="I78" t="s">
        <v>1242</v>
      </c>
      <c r="J78">
        <v>24</v>
      </c>
      <c r="K78" s="11">
        <f t="shared" si="6"/>
        <v>2.4862310159599593E-3</v>
      </c>
      <c r="L78" s="12">
        <f t="shared" si="11"/>
        <v>0.41209279089536288</v>
      </c>
      <c r="M78" t="str">
        <f t="shared" si="7"/>
        <v>A</v>
      </c>
      <c r="N78" t="str">
        <f t="shared" si="8"/>
        <v>ACA</v>
      </c>
      <c r="O78" s="11">
        <f>VLOOKUP(A78,XYZ!A77:G880,2,FALSE)</f>
        <v>1.0458250331675945</v>
      </c>
      <c r="P78" t="str">
        <f t="shared" si="9"/>
        <v>Z</v>
      </c>
      <c r="Q78" t="str">
        <f t="shared" si="10"/>
        <v>ACAZ</v>
      </c>
    </row>
    <row r="79" spans="1:17" x14ac:dyDescent="0.15">
      <c r="A79" t="s">
        <v>551</v>
      </c>
      <c r="B79" s="9">
        <v>3</v>
      </c>
      <c r="C79" s="13">
        <v>0</v>
      </c>
      <c r="D79" s="13">
        <v>0.44</v>
      </c>
      <c r="E79" s="9" t="s">
        <v>1240</v>
      </c>
      <c r="F79">
        <v>2703.89</v>
      </c>
      <c r="G79" s="11">
        <v>7.3456880054154775E-3</v>
      </c>
      <c r="H79" s="12">
        <v>0.11608295569211301</v>
      </c>
      <c r="I79" t="s">
        <v>1240</v>
      </c>
      <c r="J79">
        <v>18</v>
      </c>
      <c r="K79" s="11">
        <f t="shared" si="6"/>
        <v>1.8646732619699697E-3</v>
      </c>
      <c r="L79" s="12">
        <f t="shared" si="11"/>
        <v>0.41395746415733287</v>
      </c>
      <c r="M79" t="str">
        <f t="shared" si="7"/>
        <v>A</v>
      </c>
      <c r="N79" t="str">
        <f t="shared" si="8"/>
        <v>AAA</v>
      </c>
      <c r="O79" s="11">
        <f>VLOOKUP(A79,XYZ!A78:G881,2,FALSE)</f>
        <v>2.2360679774997898</v>
      </c>
      <c r="P79" t="str">
        <f t="shared" si="9"/>
        <v>Z</v>
      </c>
      <c r="Q79" t="str">
        <f t="shared" si="10"/>
        <v>AAAZ</v>
      </c>
    </row>
    <row r="80" spans="1:17" x14ac:dyDescent="0.15">
      <c r="A80" t="s">
        <v>128</v>
      </c>
      <c r="B80" s="9">
        <v>3</v>
      </c>
      <c r="C80" s="13">
        <v>0</v>
      </c>
      <c r="D80" s="13">
        <v>0.45</v>
      </c>
      <c r="E80" s="9" t="s">
        <v>1240</v>
      </c>
      <c r="F80">
        <v>2217</v>
      </c>
      <c r="G80" s="11">
        <v>6.0229485326718591E-3</v>
      </c>
      <c r="H80" s="12">
        <v>0.1690379308445194</v>
      </c>
      <c r="I80" t="s">
        <v>1240</v>
      </c>
      <c r="J80">
        <v>18</v>
      </c>
      <c r="K80" s="11">
        <f t="shared" si="6"/>
        <v>1.8646732619699697E-3</v>
      </c>
      <c r="L80" s="12">
        <f t="shared" si="11"/>
        <v>0.41582213741930285</v>
      </c>
      <c r="M80" t="str">
        <f t="shared" si="7"/>
        <v>A</v>
      </c>
      <c r="N80" t="str">
        <f t="shared" si="8"/>
        <v>AAA</v>
      </c>
      <c r="O80" s="11">
        <f>VLOOKUP(A80,XYZ!A79:G882,2,FALSE)</f>
        <v>0.91287092917527679</v>
      </c>
      <c r="P80" t="str">
        <f t="shared" si="9"/>
        <v>Z</v>
      </c>
      <c r="Q80" t="str">
        <f t="shared" si="10"/>
        <v>AAAZ</v>
      </c>
    </row>
    <row r="81" spans="1:17" x14ac:dyDescent="0.15">
      <c r="A81" t="s">
        <v>571</v>
      </c>
      <c r="B81" s="9">
        <v>3</v>
      </c>
      <c r="C81" s="13">
        <v>0</v>
      </c>
      <c r="D81" s="13">
        <v>0.51</v>
      </c>
      <c r="E81" s="9" t="s">
        <v>1240</v>
      </c>
      <c r="F81">
        <v>1590</v>
      </c>
      <c r="G81" s="11">
        <v>4.3195706661922672E-3</v>
      </c>
      <c r="H81" s="12">
        <v>0.25423399127960711</v>
      </c>
      <c r="I81" t="s">
        <v>1240</v>
      </c>
      <c r="J81">
        <v>18</v>
      </c>
      <c r="K81" s="11">
        <f t="shared" si="6"/>
        <v>1.8646732619699697E-3</v>
      </c>
      <c r="L81" s="12">
        <f t="shared" si="11"/>
        <v>0.41768681068127284</v>
      </c>
      <c r="M81" t="str">
        <f t="shared" si="7"/>
        <v>A</v>
      </c>
      <c r="N81" t="str">
        <f t="shared" si="8"/>
        <v>AAA</v>
      </c>
      <c r="O81" s="11">
        <f>VLOOKUP(A81,XYZ!A80:G883,2,FALSE)</f>
        <v>0.91287092917527679</v>
      </c>
      <c r="P81" t="str">
        <f t="shared" si="9"/>
        <v>Z</v>
      </c>
      <c r="Q81" t="str">
        <f t="shared" si="10"/>
        <v>AAAZ</v>
      </c>
    </row>
    <row r="82" spans="1:17" x14ac:dyDescent="0.15">
      <c r="A82" t="s">
        <v>829</v>
      </c>
      <c r="B82" s="9">
        <v>3</v>
      </c>
      <c r="C82" s="13">
        <v>0</v>
      </c>
      <c r="D82" s="13">
        <v>0.46</v>
      </c>
      <c r="E82" s="9" t="s">
        <v>1240</v>
      </c>
      <c r="F82">
        <v>1468</v>
      </c>
      <c r="G82" s="11">
        <v>3.9881319106731122E-3</v>
      </c>
      <c r="H82" s="12">
        <v>0.29587841700345563</v>
      </c>
      <c r="I82" t="s">
        <v>1240</v>
      </c>
      <c r="J82">
        <v>18</v>
      </c>
      <c r="K82" s="11">
        <f t="shared" si="6"/>
        <v>1.8646732619699697E-3</v>
      </c>
      <c r="L82" s="12">
        <f t="shared" si="11"/>
        <v>0.41955148394324282</v>
      </c>
      <c r="M82" t="str">
        <f t="shared" si="7"/>
        <v>A</v>
      </c>
      <c r="N82" t="str">
        <f t="shared" si="8"/>
        <v>AAA</v>
      </c>
      <c r="O82" s="11">
        <f>VLOOKUP(A82,XYZ!A81:G884,2,FALSE)</f>
        <v>1.4907119849998598</v>
      </c>
      <c r="P82" t="str">
        <f t="shared" si="9"/>
        <v>Z</v>
      </c>
      <c r="Q82" t="str">
        <f t="shared" si="10"/>
        <v>AAAZ</v>
      </c>
    </row>
    <row r="83" spans="1:17" x14ac:dyDescent="0.15">
      <c r="A83" t="s">
        <v>998</v>
      </c>
      <c r="B83" s="9">
        <v>3</v>
      </c>
      <c r="C83" s="13">
        <v>0</v>
      </c>
      <c r="D83" s="13">
        <v>0.48</v>
      </c>
      <c r="E83" s="9" t="s">
        <v>1240</v>
      </c>
      <c r="F83">
        <v>1451</v>
      </c>
      <c r="G83" s="11">
        <v>3.9419478217892958E-3</v>
      </c>
      <c r="H83" s="12">
        <v>0.303794913180364</v>
      </c>
      <c r="I83" t="s">
        <v>1240</v>
      </c>
      <c r="J83">
        <v>18</v>
      </c>
      <c r="K83" s="11">
        <f t="shared" si="6"/>
        <v>1.8646732619699697E-3</v>
      </c>
      <c r="L83" s="12">
        <f t="shared" si="11"/>
        <v>0.4214161572052128</v>
      </c>
      <c r="M83" t="str">
        <f t="shared" si="7"/>
        <v>A</v>
      </c>
      <c r="N83" t="str">
        <f t="shared" si="8"/>
        <v>AAA</v>
      </c>
      <c r="O83" s="11">
        <f>VLOOKUP(A83,XYZ!A82:G885,2,FALSE)</f>
        <v>1.4907119849998598</v>
      </c>
      <c r="P83" t="str">
        <f t="shared" si="9"/>
        <v>Z</v>
      </c>
      <c r="Q83" t="str">
        <f t="shared" si="10"/>
        <v>AAAZ</v>
      </c>
    </row>
    <row r="84" spans="1:17" x14ac:dyDescent="0.15">
      <c r="A84" t="s">
        <v>307</v>
      </c>
      <c r="B84" s="9">
        <v>3</v>
      </c>
      <c r="C84" s="13">
        <v>0</v>
      </c>
      <c r="D84" s="13">
        <v>0.46</v>
      </c>
      <c r="E84" s="9" t="s">
        <v>1240</v>
      </c>
      <c r="F84">
        <v>1362</v>
      </c>
      <c r="G84" s="11">
        <v>3.7001605329269609E-3</v>
      </c>
      <c r="H84" s="12">
        <v>0.32285264162271543</v>
      </c>
      <c r="I84" t="s">
        <v>1240</v>
      </c>
      <c r="J84">
        <v>18</v>
      </c>
      <c r="K84" s="11">
        <f t="shared" si="6"/>
        <v>1.8646732619699697E-3</v>
      </c>
      <c r="L84" s="12">
        <f t="shared" si="11"/>
        <v>0.42328083046718279</v>
      </c>
      <c r="M84" t="str">
        <f t="shared" si="7"/>
        <v>A</v>
      </c>
      <c r="N84" t="str">
        <f t="shared" si="8"/>
        <v>AAA</v>
      </c>
      <c r="O84" s="11">
        <f>VLOOKUP(A84,XYZ!A83:G886,2,FALSE)</f>
        <v>1.4907119849998598</v>
      </c>
      <c r="P84" t="str">
        <f t="shared" si="9"/>
        <v>Z</v>
      </c>
      <c r="Q84" t="str">
        <f t="shared" si="10"/>
        <v>AAAZ</v>
      </c>
    </row>
    <row r="85" spans="1:17" x14ac:dyDescent="0.15">
      <c r="A85" t="s">
        <v>553</v>
      </c>
      <c r="B85" s="9">
        <v>3</v>
      </c>
      <c r="C85" s="13">
        <v>0</v>
      </c>
      <c r="D85" s="13">
        <v>0.44</v>
      </c>
      <c r="E85" s="9" t="s">
        <v>1240</v>
      </c>
      <c r="F85">
        <v>1254</v>
      </c>
      <c r="G85" s="11">
        <v>3.4067557329591843E-3</v>
      </c>
      <c r="H85" s="12">
        <v>0.35454307673034607</v>
      </c>
      <c r="I85" t="s">
        <v>1240</v>
      </c>
      <c r="J85">
        <v>18</v>
      </c>
      <c r="K85" s="11">
        <f t="shared" si="6"/>
        <v>1.8646732619699697E-3</v>
      </c>
      <c r="L85" s="12">
        <f t="shared" si="11"/>
        <v>0.42514550372915277</v>
      </c>
      <c r="M85" t="str">
        <f t="shared" si="7"/>
        <v>A</v>
      </c>
      <c r="N85" t="str">
        <f t="shared" si="8"/>
        <v>AAA</v>
      </c>
      <c r="O85" s="11">
        <f>VLOOKUP(A85,XYZ!A84:G887,2,FALSE)</f>
        <v>0.91287092917527679</v>
      </c>
      <c r="P85" t="str">
        <f t="shared" si="9"/>
        <v>Z</v>
      </c>
      <c r="Q85" t="str">
        <f t="shared" si="10"/>
        <v>AAAZ</v>
      </c>
    </row>
    <row r="86" spans="1:17" x14ac:dyDescent="0.15">
      <c r="A86" t="s">
        <v>385</v>
      </c>
      <c r="B86" s="9">
        <v>3</v>
      </c>
      <c r="C86" s="13">
        <v>0</v>
      </c>
      <c r="D86" s="13">
        <v>0.47</v>
      </c>
      <c r="E86" s="9" t="s">
        <v>1240</v>
      </c>
      <c r="F86">
        <v>996</v>
      </c>
      <c r="G86" s="11">
        <v>2.7058442663694957E-3</v>
      </c>
      <c r="H86" s="12">
        <v>0.43548177007169431</v>
      </c>
      <c r="I86" t="s">
        <v>1240</v>
      </c>
      <c r="J86">
        <v>18</v>
      </c>
      <c r="K86" s="11">
        <f t="shared" si="6"/>
        <v>1.8646732619699697E-3</v>
      </c>
      <c r="L86" s="12">
        <f t="shared" si="11"/>
        <v>0.42701017699112276</v>
      </c>
      <c r="M86" t="str">
        <f t="shared" si="7"/>
        <v>A</v>
      </c>
      <c r="N86" t="str">
        <f t="shared" si="8"/>
        <v>AAA</v>
      </c>
      <c r="O86" s="11">
        <f>VLOOKUP(A86,XYZ!A85:G888,2,FALSE)</f>
        <v>0.91287092917527679</v>
      </c>
      <c r="P86" t="str">
        <f t="shared" si="9"/>
        <v>Z</v>
      </c>
      <c r="Q86" t="str">
        <f t="shared" si="10"/>
        <v>AAAZ</v>
      </c>
    </row>
    <row r="87" spans="1:17" x14ac:dyDescent="0.15">
      <c r="A87" t="s">
        <v>821</v>
      </c>
      <c r="B87" s="9">
        <v>3</v>
      </c>
      <c r="C87" s="13">
        <v>0</v>
      </c>
      <c r="D87" s="13">
        <v>0.52</v>
      </c>
      <c r="E87" s="9" t="s">
        <v>1240</v>
      </c>
      <c r="F87">
        <v>870</v>
      </c>
      <c r="G87" s="11">
        <v>2.3635386664070898E-3</v>
      </c>
      <c r="H87" s="12">
        <v>0.47332691420087136</v>
      </c>
      <c r="I87" t="s">
        <v>1240</v>
      </c>
      <c r="J87">
        <v>18</v>
      </c>
      <c r="K87" s="11">
        <f t="shared" si="6"/>
        <v>1.8646732619699697E-3</v>
      </c>
      <c r="L87" s="12">
        <f t="shared" si="11"/>
        <v>0.42887485025309274</v>
      </c>
      <c r="M87" t="str">
        <f t="shared" si="7"/>
        <v>A</v>
      </c>
      <c r="N87" t="str">
        <f t="shared" si="8"/>
        <v>AAA</v>
      </c>
      <c r="O87" s="11">
        <f>VLOOKUP(A87,XYZ!A86:G889,2,FALSE)</f>
        <v>1.4907119849998598</v>
      </c>
      <c r="P87" t="str">
        <f t="shared" si="9"/>
        <v>Z</v>
      </c>
      <c r="Q87" t="str">
        <f t="shared" si="10"/>
        <v>AAAZ</v>
      </c>
    </row>
    <row r="88" spans="1:17" x14ac:dyDescent="0.15">
      <c r="A88" t="s">
        <v>312</v>
      </c>
      <c r="B88" s="9">
        <v>3</v>
      </c>
      <c r="C88" s="13">
        <v>0</v>
      </c>
      <c r="D88" s="13">
        <v>0.44</v>
      </c>
      <c r="E88" s="9" t="s">
        <v>1240</v>
      </c>
      <c r="F88">
        <v>717</v>
      </c>
      <c r="G88" s="11">
        <v>1.9478818664527395E-3</v>
      </c>
      <c r="H88" s="12">
        <v>0.53411875874502412</v>
      </c>
      <c r="I88" t="s">
        <v>1240</v>
      </c>
      <c r="J88">
        <v>18</v>
      </c>
      <c r="K88" s="11">
        <f t="shared" si="6"/>
        <v>1.8646732619699697E-3</v>
      </c>
      <c r="L88" s="12">
        <f t="shared" si="11"/>
        <v>0.43073952351506273</v>
      </c>
      <c r="M88" t="str">
        <f t="shared" si="7"/>
        <v>A</v>
      </c>
      <c r="N88" t="str">
        <f t="shared" si="8"/>
        <v>AAA</v>
      </c>
      <c r="O88" s="11">
        <f>VLOOKUP(A88,XYZ!A87:G890,2,FALSE)</f>
        <v>0.91287092917527679</v>
      </c>
      <c r="P88" t="str">
        <f t="shared" si="9"/>
        <v>Z</v>
      </c>
      <c r="Q88" t="str">
        <f t="shared" si="10"/>
        <v>AAAZ</v>
      </c>
    </row>
    <row r="89" spans="1:17" x14ac:dyDescent="0.15">
      <c r="A89" t="s">
        <v>433</v>
      </c>
      <c r="B89" s="9">
        <v>3</v>
      </c>
      <c r="C89" s="13">
        <v>0</v>
      </c>
      <c r="D89" s="13">
        <v>0.46</v>
      </c>
      <c r="E89" s="9" t="s">
        <v>1240</v>
      </c>
      <c r="F89">
        <v>706</v>
      </c>
      <c r="G89" s="11">
        <v>1.9179980442337991E-3</v>
      </c>
      <c r="H89" s="12">
        <v>0.53992437038883101</v>
      </c>
      <c r="I89" t="s">
        <v>1240</v>
      </c>
      <c r="J89">
        <v>18</v>
      </c>
      <c r="K89" s="11">
        <f t="shared" si="6"/>
        <v>1.8646732619699697E-3</v>
      </c>
      <c r="L89" s="12">
        <f t="shared" si="11"/>
        <v>0.43260419677703271</v>
      </c>
      <c r="M89" t="str">
        <f t="shared" si="7"/>
        <v>A</v>
      </c>
      <c r="N89" t="str">
        <f t="shared" si="8"/>
        <v>AAA</v>
      </c>
      <c r="O89" s="11">
        <f>VLOOKUP(A89,XYZ!A88:G891,2,FALSE)</f>
        <v>1.4907119849998598</v>
      </c>
      <c r="P89" t="str">
        <f t="shared" si="9"/>
        <v>Z</v>
      </c>
      <c r="Q89" t="str">
        <f t="shared" si="10"/>
        <v>AAAZ</v>
      </c>
    </row>
    <row r="90" spans="1:17" x14ac:dyDescent="0.15">
      <c r="A90" t="s">
        <v>392</v>
      </c>
      <c r="B90" s="9">
        <v>3</v>
      </c>
      <c r="C90" s="13">
        <v>0</v>
      </c>
      <c r="D90" s="13">
        <v>0.43</v>
      </c>
      <c r="E90" s="9" t="s">
        <v>1240</v>
      </c>
      <c r="F90">
        <v>645</v>
      </c>
      <c r="G90" s="11">
        <v>1.7522786664742216E-3</v>
      </c>
      <c r="H90" s="12">
        <v>0.57802262145508998</v>
      </c>
      <c r="I90" t="s">
        <v>1240</v>
      </c>
      <c r="J90">
        <v>18</v>
      </c>
      <c r="K90" s="11">
        <f t="shared" si="6"/>
        <v>1.8646732619699697E-3</v>
      </c>
      <c r="L90" s="12">
        <f t="shared" si="11"/>
        <v>0.4344688700390027</v>
      </c>
      <c r="M90" t="str">
        <f t="shared" si="7"/>
        <v>A</v>
      </c>
      <c r="N90" t="str">
        <f t="shared" si="8"/>
        <v>AAA</v>
      </c>
      <c r="O90" s="11">
        <f>VLOOKUP(A90,XYZ!A89:G892,2,FALSE)</f>
        <v>1.4907119849998598</v>
      </c>
      <c r="P90" t="str">
        <f t="shared" si="9"/>
        <v>Z</v>
      </c>
      <c r="Q90" t="str">
        <f t="shared" si="10"/>
        <v>AAAZ</v>
      </c>
    </row>
    <row r="91" spans="1:17" x14ac:dyDescent="0.15">
      <c r="A91" t="s">
        <v>364</v>
      </c>
      <c r="B91" s="9">
        <v>3</v>
      </c>
      <c r="C91" s="13">
        <v>0</v>
      </c>
      <c r="D91" s="13">
        <v>0.44</v>
      </c>
      <c r="E91" s="9" t="s">
        <v>1240</v>
      </c>
      <c r="F91">
        <v>624</v>
      </c>
      <c r="G91" s="11">
        <v>1.695227733147154E-3</v>
      </c>
      <c r="H91" s="12">
        <v>0.59688202998635209</v>
      </c>
      <c r="I91" t="s">
        <v>1240</v>
      </c>
      <c r="J91">
        <v>18</v>
      </c>
      <c r="K91" s="11">
        <f t="shared" si="6"/>
        <v>1.8646732619699697E-3</v>
      </c>
      <c r="L91" s="12">
        <f t="shared" si="11"/>
        <v>0.43633354330097268</v>
      </c>
      <c r="M91" t="str">
        <f t="shared" si="7"/>
        <v>A</v>
      </c>
      <c r="N91" t="str">
        <f t="shared" si="8"/>
        <v>AAA</v>
      </c>
      <c r="O91" s="11">
        <f>VLOOKUP(A91,XYZ!A90:G893,2,FALSE)</f>
        <v>1.4907119849998598</v>
      </c>
      <c r="P91" t="str">
        <f t="shared" si="9"/>
        <v>Z</v>
      </c>
      <c r="Q91" t="str">
        <f t="shared" si="10"/>
        <v>AAAZ</v>
      </c>
    </row>
    <row r="92" spans="1:17" x14ac:dyDescent="0.15">
      <c r="A92" t="s">
        <v>395</v>
      </c>
      <c r="B92" s="9">
        <v>3</v>
      </c>
      <c r="C92" s="13">
        <v>0</v>
      </c>
      <c r="D92" s="13">
        <v>0.46</v>
      </c>
      <c r="E92" s="9" t="s">
        <v>1240</v>
      </c>
      <c r="F92">
        <v>621</v>
      </c>
      <c r="G92" s="11">
        <v>1.6870775998147156E-3</v>
      </c>
      <c r="H92" s="12">
        <v>0.60026433531931389</v>
      </c>
      <c r="I92" t="s">
        <v>1240</v>
      </c>
      <c r="J92">
        <v>18</v>
      </c>
      <c r="K92" s="11">
        <f t="shared" si="6"/>
        <v>1.8646732619699697E-3</v>
      </c>
      <c r="L92" s="12">
        <f t="shared" si="11"/>
        <v>0.43819821656294267</v>
      </c>
      <c r="M92" t="str">
        <f t="shared" si="7"/>
        <v>A</v>
      </c>
      <c r="N92" t="str">
        <f t="shared" si="8"/>
        <v>AAA</v>
      </c>
      <c r="O92" s="11">
        <f>VLOOKUP(A92,XYZ!A91:G894,2,FALSE)</f>
        <v>1.4907119849998598</v>
      </c>
      <c r="P92" t="str">
        <f t="shared" si="9"/>
        <v>Z</v>
      </c>
      <c r="Q92" t="str">
        <f t="shared" si="10"/>
        <v>AAAZ</v>
      </c>
    </row>
    <row r="93" spans="1:17" x14ac:dyDescent="0.15">
      <c r="A93" t="s">
        <v>107</v>
      </c>
      <c r="B93" s="9">
        <v>3</v>
      </c>
      <c r="C93" s="13">
        <v>0</v>
      </c>
      <c r="D93" s="13">
        <v>0.43</v>
      </c>
      <c r="E93" s="9" t="s">
        <v>1240</v>
      </c>
      <c r="F93">
        <v>585</v>
      </c>
      <c r="G93" s="11">
        <v>1.5892759998254568E-3</v>
      </c>
      <c r="H93" s="12">
        <v>0.62465496767219064</v>
      </c>
      <c r="I93" t="s">
        <v>1240</v>
      </c>
      <c r="J93">
        <v>18</v>
      </c>
      <c r="K93" s="11">
        <f t="shared" si="6"/>
        <v>1.8646732619699697E-3</v>
      </c>
      <c r="L93" s="12">
        <f t="shared" si="11"/>
        <v>0.44006288982491265</v>
      </c>
      <c r="M93" t="str">
        <f t="shared" si="7"/>
        <v>A</v>
      </c>
      <c r="N93" t="str">
        <f t="shared" si="8"/>
        <v>AAA</v>
      </c>
      <c r="O93" s="11">
        <f>VLOOKUP(A93,XYZ!A92:G895,2,FALSE)</f>
        <v>1.4907119849998598</v>
      </c>
      <c r="P93" t="str">
        <f t="shared" si="9"/>
        <v>Z</v>
      </c>
      <c r="Q93" t="str">
        <f t="shared" si="10"/>
        <v>AAAZ</v>
      </c>
    </row>
    <row r="94" spans="1:17" x14ac:dyDescent="0.15">
      <c r="A94" t="s">
        <v>337</v>
      </c>
      <c r="B94" s="9">
        <v>3</v>
      </c>
      <c r="C94" s="13">
        <v>0</v>
      </c>
      <c r="D94" s="13">
        <v>0.45</v>
      </c>
      <c r="E94" s="9" t="s">
        <v>1240</v>
      </c>
      <c r="F94">
        <v>522</v>
      </c>
      <c r="G94" s="11">
        <v>1.4181231998442539E-3</v>
      </c>
      <c r="H94" s="12">
        <v>0.65001158484725285</v>
      </c>
      <c r="I94" t="s">
        <v>1240</v>
      </c>
      <c r="J94">
        <v>18</v>
      </c>
      <c r="K94" s="11">
        <f t="shared" si="6"/>
        <v>1.8646732619699697E-3</v>
      </c>
      <c r="L94" s="12">
        <f t="shared" si="11"/>
        <v>0.44192756308688264</v>
      </c>
      <c r="M94" t="str">
        <f t="shared" si="7"/>
        <v>A</v>
      </c>
      <c r="N94" t="str">
        <f t="shared" si="8"/>
        <v>AAA</v>
      </c>
      <c r="O94" s="11">
        <f>VLOOKUP(A94,XYZ!A93:G896,2,FALSE)</f>
        <v>2.2360679774997898</v>
      </c>
      <c r="P94" t="str">
        <f t="shared" si="9"/>
        <v>Z</v>
      </c>
      <c r="Q94" t="str">
        <f t="shared" si="10"/>
        <v>AAAZ</v>
      </c>
    </row>
    <row r="95" spans="1:17" x14ac:dyDescent="0.15">
      <c r="A95" t="s">
        <v>434</v>
      </c>
      <c r="B95" s="9">
        <v>3</v>
      </c>
      <c r="C95" s="13">
        <v>0</v>
      </c>
      <c r="D95" s="13">
        <v>0.5</v>
      </c>
      <c r="E95" s="9" t="s">
        <v>1240</v>
      </c>
      <c r="F95">
        <v>498</v>
      </c>
      <c r="G95" s="11">
        <v>1.3529221331847478E-3</v>
      </c>
      <c r="H95" s="12">
        <v>0.67344955714304844</v>
      </c>
      <c r="I95" t="s">
        <v>1240</v>
      </c>
      <c r="J95">
        <v>18</v>
      </c>
      <c r="K95" s="11">
        <f t="shared" si="6"/>
        <v>1.8646732619699697E-3</v>
      </c>
      <c r="L95" s="12">
        <f t="shared" si="11"/>
        <v>0.44379223634885262</v>
      </c>
      <c r="M95" t="str">
        <f t="shared" si="7"/>
        <v>A</v>
      </c>
      <c r="N95" t="str">
        <f t="shared" si="8"/>
        <v>AAA</v>
      </c>
      <c r="O95" s="11">
        <f>VLOOKUP(A95,XYZ!A94:G897,2,FALSE)</f>
        <v>2.2360679774997898</v>
      </c>
      <c r="P95" t="str">
        <f t="shared" si="9"/>
        <v>Z</v>
      </c>
      <c r="Q95" t="str">
        <f t="shared" si="10"/>
        <v>AAAZ</v>
      </c>
    </row>
    <row r="96" spans="1:17" x14ac:dyDescent="0.15">
      <c r="A96" t="s">
        <v>138</v>
      </c>
      <c r="B96" s="9">
        <v>3</v>
      </c>
      <c r="C96" s="13">
        <v>0</v>
      </c>
      <c r="D96" s="13">
        <v>0.44</v>
      </c>
      <c r="E96" s="9" t="s">
        <v>1240</v>
      </c>
      <c r="F96">
        <v>474</v>
      </c>
      <c r="G96" s="11">
        <v>1.2877210665252418E-3</v>
      </c>
      <c r="H96" s="12">
        <v>0.68795407776367756</v>
      </c>
      <c r="I96" t="s">
        <v>1240</v>
      </c>
      <c r="J96">
        <v>18</v>
      </c>
      <c r="K96" s="11">
        <f t="shared" si="6"/>
        <v>1.8646732619699697E-3</v>
      </c>
      <c r="L96" s="12">
        <f t="shared" si="11"/>
        <v>0.4456569096108226</v>
      </c>
      <c r="M96" t="str">
        <f t="shared" si="7"/>
        <v>A</v>
      </c>
      <c r="N96" t="str">
        <f t="shared" si="8"/>
        <v>AAA</v>
      </c>
      <c r="O96" s="11">
        <f>VLOOKUP(A96,XYZ!A95:G898,2,FALSE)</f>
        <v>0.91287092917527679</v>
      </c>
      <c r="P96" t="str">
        <f t="shared" si="9"/>
        <v>Z</v>
      </c>
      <c r="Q96" t="str">
        <f t="shared" si="10"/>
        <v>AAAZ</v>
      </c>
    </row>
    <row r="97" spans="1:17" x14ac:dyDescent="0.15">
      <c r="A97" t="s">
        <v>1013</v>
      </c>
      <c r="B97" s="9">
        <v>3</v>
      </c>
      <c r="C97" s="13">
        <v>0</v>
      </c>
      <c r="D97" s="13">
        <v>0.42</v>
      </c>
      <c r="E97" s="9" t="s">
        <v>1240</v>
      </c>
      <c r="F97">
        <v>444</v>
      </c>
      <c r="G97" s="11">
        <v>1.2062197332008595E-3</v>
      </c>
      <c r="H97" s="12">
        <v>0.71652301180498446</v>
      </c>
      <c r="I97" t="s">
        <v>1240</v>
      </c>
      <c r="J97">
        <v>18</v>
      </c>
      <c r="K97" s="11">
        <f t="shared" si="6"/>
        <v>1.8646732619699697E-3</v>
      </c>
      <c r="L97" s="12">
        <f t="shared" si="11"/>
        <v>0.44752158287279259</v>
      </c>
      <c r="M97" t="str">
        <f t="shared" si="7"/>
        <v>A</v>
      </c>
      <c r="N97" t="str">
        <f t="shared" si="8"/>
        <v>AAA</v>
      </c>
      <c r="O97" s="11">
        <f>VLOOKUP(A97,XYZ!A96:G899,2,FALSE)</f>
        <v>1.4907119849998598</v>
      </c>
      <c r="P97" t="str">
        <f t="shared" si="9"/>
        <v>Z</v>
      </c>
      <c r="Q97" t="str">
        <f t="shared" si="10"/>
        <v>AAAZ</v>
      </c>
    </row>
    <row r="98" spans="1:17" x14ac:dyDescent="0.15">
      <c r="A98" t="s">
        <v>235</v>
      </c>
      <c r="B98" s="9">
        <v>3</v>
      </c>
      <c r="C98" s="13">
        <v>0</v>
      </c>
      <c r="D98" s="13">
        <v>0.51</v>
      </c>
      <c r="E98" s="9" t="s">
        <v>1240</v>
      </c>
      <c r="F98">
        <v>435</v>
      </c>
      <c r="G98" s="11">
        <v>1.1817693332035449E-3</v>
      </c>
      <c r="H98" s="12">
        <v>0.72485244807073634</v>
      </c>
      <c r="I98" t="s">
        <v>1240</v>
      </c>
      <c r="J98">
        <v>18</v>
      </c>
      <c r="K98" s="11">
        <f t="shared" si="6"/>
        <v>1.8646732619699697E-3</v>
      </c>
      <c r="L98" s="12">
        <f t="shared" si="11"/>
        <v>0.44938625613476257</v>
      </c>
      <c r="M98" t="str">
        <f t="shared" si="7"/>
        <v>A</v>
      </c>
      <c r="N98" t="str">
        <f t="shared" si="8"/>
        <v>AAA</v>
      </c>
      <c r="O98" s="11">
        <f>VLOOKUP(A98,XYZ!A97:G900,2,FALSE)</f>
        <v>0.91287092917527679</v>
      </c>
      <c r="P98" t="str">
        <f t="shared" si="9"/>
        <v>Z</v>
      </c>
      <c r="Q98" t="str">
        <f t="shared" si="10"/>
        <v>AAAZ</v>
      </c>
    </row>
    <row r="99" spans="1:17" x14ac:dyDescent="0.15">
      <c r="A99" t="s">
        <v>180</v>
      </c>
      <c r="B99" s="9">
        <v>3</v>
      </c>
      <c r="C99" s="13">
        <v>0</v>
      </c>
      <c r="D99" s="13">
        <v>0.52</v>
      </c>
      <c r="E99" s="9" t="s">
        <v>1240</v>
      </c>
      <c r="F99">
        <v>432</v>
      </c>
      <c r="G99" s="11">
        <v>1.1736191998711065E-3</v>
      </c>
      <c r="H99" s="12">
        <v>0.72602606727060748</v>
      </c>
      <c r="I99" t="s">
        <v>1240</v>
      </c>
      <c r="J99">
        <v>18</v>
      </c>
      <c r="K99" s="11">
        <f t="shared" si="6"/>
        <v>1.8646732619699697E-3</v>
      </c>
      <c r="L99" s="12">
        <f t="shared" si="11"/>
        <v>0.45125092939673256</v>
      </c>
      <c r="M99" t="str">
        <f t="shared" si="7"/>
        <v>A</v>
      </c>
      <c r="N99" t="str">
        <f t="shared" si="8"/>
        <v>AAA</v>
      </c>
      <c r="O99" s="11">
        <f>VLOOKUP(A99,XYZ!A98:G901,2,FALSE)</f>
        <v>1.4907119849998598</v>
      </c>
      <c r="P99" t="str">
        <f t="shared" si="9"/>
        <v>Z</v>
      </c>
      <c r="Q99" t="str">
        <f t="shared" si="10"/>
        <v>AAAZ</v>
      </c>
    </row>
    <row r="100" spans="1:17" x14ac:dyDescent="0.15">
      <c r="A100" t="s">
        <v>592</v>
      </c>
      <c r="B100" s="9">
        <v>3</v>
      </c>
      <c r="C100" s="13">
        <v>0</v>
      </c>
      <c r="D100" s="13">
        <v>0.47</v>
      </c>
      <c r="E100" s="9" t="s">
        <v>1240</v>
      </c>
      <c r="F100">
        <v>417</v>
      </c>
      <c r="G100" s="11">
        <v>1.1328685332089154E-3</v>
      </c>
      <c r="H100" s="12">
        <v>0.74332336691315237</v>
      </c>
      <c r="I100" t="s">
        <v>1240</v>
      </c>
      <c r="J100">
        <v>18</v>
      </c>
      <c r="K100" s="11">
        <f t="shared" si="6"/>
        <v>1.8646732619699697E-3</v>
      </c>
      <c r="L100" s="12">
        <f t="shared" si="11"/>
        <v>0.45311560265870254</v>
      </c>
      <c r="M100" t="str">
        <f t="shared" si="7"/>
        <v>A</v>
      </c>
      <c r="N100" t="str">
        <f t="shared" si="8"/>
        <v>AAA</v>
      </c>
      <c r="O100" s="11">
        <f>VLOOKUP(A100,XYZ!A99:G902,2,FALSE)</f>
        <v>0.91287092917527679</v>
      </c>
      <c r="P100" t="str">
        <f t="shared" si="9"/>
        <v>Z</v>
      </c>
      <c r="Q100" t="str">
        <f t="shared" si="10"/>
        <v>AAAZ</v>
      </c>
    </row>
    <row r="101" spans="1:17" x14ac:dyDescent="0.15">
      <c r="A101" t="s">
        <v>288</v>
      </c>
      <c r="B101" s="9">
        <v>3</v>
      </c>
      <c r="C101" s="13">
        <v>0</v>
      </c>
      <c r="D101" s="13">
        <v>0.48</v>
      </c>
      <c r="E101" s="9" t="s">
        <v>1240</v>
      </c>
      <c r="F101">
        <v>378</v>
      </c>
      <c r="G101" s="11">
        <v>1.0269167998872182E-3</v>
      </c>
      <c r="H101" s="12">
        <v>0.76506520593298688</v>
      </c>
      <c r="I101" t="s">
        <v>1240</v>
      </c>
      <c r="J101">
        <v>18</v>
      </c>
      <c r="K101" s="11">
        <f t="shared" si="6"/>
        <v>1.8646732619699697E-3</v>
      </c>
      <c r="L101" s="12">
        <f t="shared" si="11"/>
        <v>0.45498027592067253</v>
      </c>
      <c r="M101" t="str">
        <f t="shared" si="7"/>
        <v>A</v>
      </c>
      <c r="N101" t="str">
        <f t="shared" si="8"/>
        <v>AAA</v>
      </c>
      <c r="O101" s="11">
        <f>VLOOKUP(A101,XYZ!A100:G903,2,FALSE)</f>
        <v>1.4907119849998598</v>
      </c>
      <c r="P101" t="str">
        <f t="shared" si="9"/>
        <v>Z</v>
      </c>
      <c r="Q101" t="str">
        <f t="shared" si="10"/>
        <v>AAAZ</v>
      </c>
    </row>
    <row r="102" spans="1:17" x14ac:dyDescent="0.15">
      <c r="A102" t="s">
        <v>150</v>
      </c>
      <c r="B102" s="9">
        <v>3</v>
      </c>
      <c r="C102" s="13">
        <v>0</v>
      </c>
      <c r="D102" s="13">
        <v>0.48</v>
      </c>
      <c r="E102" s="9" t="s">
        <v>1240</v>
      </c>
      <c r="F102">
        <v>365.15999999999997</v>
      </c>
      <c r="G102" s="11">
        <v>9.9203422922438246E-4</v>
      </c>
      <c r="H102" s="12">
        <v>0.78223189796105097</v>
      </c>
      <c r="I102" t="s">
        <v>1240</v>
      </c>
      <c r="J102">
        <v>18</v>
      </c>
      <c r="K102" s="11">
        <f t="shared" si="6"/>
        <v>1.8646732619699697E-3</v>
      </c>
      <c r="L102" s="12">
        <f t="shared" si="11"/>
        <v>0.45684494918264251</v>
      </c>
      <c r="M102" t="str">
        <f t="shared" si="7"/>
        <v>A</v>
      </c>
      <c r="N102" t="str">
        <f t="shared" si="8"/>
        <v>AAA</v>
      </c>
      <c r="O102" s="11">
        <f>VLOOKUP(A102,XYZ!A101:G904,2,FALSE)</f>
        <v>1.4907119849998598</v>
      </c>
      <c r="P102" t="str">
        <f t="shared" si="9"/>
        <v>Z</v>
      </c>
      <c r="Q102" t="str">
        <f t="shared" si="10"/>
        <v>AAAZ</v>
      </c>
    </row>
    <row r="103" spans="1:17" x14ac:dyDescent="0.15">
      <c r="A103" t="s">
        <v>522</v>
      </c>
      <c r="B103" s="9">
        <v>3</v>
      </c>
      <c r="C103" s="13">
        <v>0</v>
      </c>
      <c r="D103" s="13">
        <v>0.48</v>
      </c>
      <c r="E103" s="9" t="s">
        <v>1240</v>
      </c>
      <c r="F103">
        <v>363</v>
      </c>
      <c r="G103" s="11">
        <v>9.8616613322502706E-4</v>
      </c>
      <c r="H103" s="12">
        <v>0.78519582978294766</v>
      </c>
      <c r="I103" t="s">
        <v>1240</v>
      </c>
      <c r="J103">
        <v>18</v>
      </c>
      <c r="K103" s="11">
        <f t="shared" si="6"/>
        <v>1.8646732619699697E-3</v>
      </c>
      <c r="L103" s="12">
        <f t="shared" si="11"/>
        <v>0.4587096224446125</v>
      </c>
      <c r="M103" t="str">
        <f t="shared" si="7"/>
        <v>A</v>
      </c>
      <c r="N103" t="str">
        <f t="shared" si="8"/>
        <v>AAA</v>
      </c>
      <c r="O103" s="11">
        <f>VLOOKUP(A103,XYZ!A102:G905,2,FALSE)</f>
        <v>1.4907119849998598</v>
      </c>
      <c r="P103" t="str">
        <f t="shared" si="9"/>
        <v>Z</v>
      </c>
      <c r="Q103" t="str">
        <f t="shared" si="10"/>
        <v>AAAZ</v>
      </c>
    </row>
    <row r="104" spans="1:17" x14ac:dyDescent="0.15">
      <c r="A104" t="s">
        <v>149</v>
      </c>
      <c r="B104" s="9">
        <v>3</v>
      </c>
      <c r="C104" s="13">
        <v>0</v>
      </c>
      <c r="D104" s="13">
        <v>0.49</v>
      </c>
      <c r="E104" s="9" t="s">
        <v>1240</v>
      </c>
      <c r="F104">
        <v>309</v>
      </c>
      <c r="G104" s="11">
        <v>8.3946373324113874E-4</v>
      </c>
      <c r="H104" s="12">
        <v>0.8219197872366919</v>
      </c>
      <c r="I104" t="s">
        <v>1241</v>
      </c>
      <c r="J104">
        <v>18</v>
      </c>
      <c r="K104" s="11">
        <f t="shared" si="6"/>
        <v>1.8646732619699697E-3</v>
      </c>
      <c r="L104" s="12">
        <f t="shared" si="11"/>
        <v>0.46057429570658248</v>
      </c>
      <c r="M104" t="str">
        <f t="shared" si="7"/>
        <v>A</v>
      </c>
      <c r="N104" t="str">
        <f t="shared" si="8"/>
        <v>ABA</v>
      </c>
      <c r="O104" s="11">
        <f>VLOOKUP(A104,XYZ!A103:G906,2,FALSE)</f>
        <v>1.4907119849998598</v>
      </c>
      <c r="P104" t="str">
        <f t="shared" si="9"/>
        <v>Z</v>
      </c>
      <c r="Q104" t="str">
        <f t="shared" si="10"/>
        <v>ABAZ</v>
      </c>
    </row>
    <row r="105" spans="1:17" x14ac:dyDescent="0.15">
      <c r="A105" t="s">
        <v>610</v>
      </c>
      <c r="B105" s="9">
        <v>3</v>
      </c>
      <c r="C105" s="13">
        <v>0</v>
      </c>
      <c r="D105" s="13">
        <v>0.41</v>
      </c>
      <c r="E105" s="9" t="s">
        <v>1240</v>
      </c>
      <c r="F105">
        <v>303</v>
      </c>
      <c r="G105" s="11">
        <v>8.2316346657626224E-4</v>
      </c>
      <c r="H105" s="12">
        <v>0.83024650679133305</v>
      </c>
      <c r="I105" t="s">
        <v>1241</v>
      </c>
      <c r="J105">
        <v>18</v>
      </c>
      <c r="K105" s="11">
        <f t="shared" si="6"/>
        <v>1.8646732619699697E-3</v>
      </c>
      <c r="L105" s="12">
        <f t="shared" si="11"/>
        <v>0.46243896896855247</v>
      </c>
      <c r="M105" t="str">
        <f t="shared" si="7"/>
        <v>A</v>
      </c>
      <c r="N105" t="str">
        <f t="shared" si="8"/>
        <v>ABA</v>
      </c>
      <c r="O105" s="11">
        <f>VLOOKUP(A105,XYZ!A104:G907,2,FALSE)</f>
        <v>1.4907119849998598</v>
      </c>
      <c r="P105" t="str">
        <f t="shared" si="9"/>
        <v>Z</v>
      </c>
      <c r="Q105" t="str">
        <f t="shared" si="10"/>
        <v>ABAZ</v>
      </c>
    </row>
    <row r="106" spans="1:17" x14ac:dyDescent="0.15">
      <c r="A106" t="s">
        <v>281</v>
      </c>
      <c r="B106" s="9">
        <v>3</v>
      </c>
      <c r="C106" s="13">
        <v>0</v>
      </c>
      <c r="D106" s="13">
        <v>0.49</v>
      </c>
      <c r="E106" s="9" t="s">
        <v>1240</v>
      </c>
      <c r="F106">
        <v>300</v>
      </c>
      <c r="G106" s="11">
        <v>8.1501333324382399E-4</v>
      </c>
      <c r="H106" s="12">
        <v>0.83188196688004235</v>
      </c>
      <c r="I106" t="s">
        <v>1241</v>
      </c>
      <c r="J106">
        <v>18</v>
      </c>
      <c r="K106" s="11">
        <f t="shared" si="6"/>
        <v>1.8646732619699697E-3</v>
      </c>
      <c r="L106" s="12">
        <f t="shared" si="11"/>
        <v>0.46430364223052245</v>
      </c>
      <c r="M106" t="str">
        <f t="shared" si="7"/>
        <v>A</v>
      </c>
      <c r="N106" t="str">
        <f t="shared" si="8"/>
        <v>ABA</v>
      </c>
      <c r="O106" s="11">
        <f>VLOOKUP(A106,XYZ!A105:G908,2,FALSE)</f>
        <v>0.91287092917527679</v>
      </c>
      <c r="P106" t="str">
        <f t="shared" si="9"/>
        <v>Z</v>
      </c>
      <c r="Q106" t="str">
        <f t="shared" si="10"/>
        <v>ABAZ</v>
      </c>
    </row>
    <row r="107" spans="1:17" x14ac:dyDescent="0.15">
      <c r="A107" t="s">
        <v>1074</v>
      </c>
      <c r="B107" s="9">
        <v>3</v>
      </c>
      <c r="C107" s="13">
        <v>0</v>
      </c>
      <c r="D107" s="13">
        <v>0.5</v>
      </c>
      <c r="E107" s="9" t="s">
        <v>1240</v>
      </c>
      <c r="F107">
        <v>295.23</v>
      </c>
      <c r="G107" s="11">
        <v>8.0205462124524726E-4</v>
      </c>
      <c r="H107" s="12">
        <v>0.83592505785648719</v>
      </c>
      <c r="I107" t="s">
        <v>1241</v>
      </c>
      <c r="J107">
        <v>18</v>
      </c>
      <c r="K107" s="11">
        <f t="shared" si="6"/>
        <v>1.8646732619699697E-3</v>
      </c>
      <c r="L107" s="12">
        <f t="shared" si="11"/>
        <v>0.46616831549249244</v>
      </c>
      <c r="M107" t="str">
        <f t="shared" si="7"/>
        <v>A</v>
      </c>
      <c r="N107" t="str">
        <f t="shared" si="8"/>
        <v>ABA</v>
      </c>
      <c r="O107" s="11">
        <f>VLOOKUP(A107,XYZ!A106:G909,2,FALSE)</f>
        <v>2.2360679774997898</v>
      </c>
      <c r="P107" t="str">
        <f t="shared" si="9"/>
        <v>Z</v>
      </c>
      <c r="Q107" t="str">
        <f t="shared" si="10"/>
        <v>ABAZ</v>
      </c>
    </row>
    <row r="108" spans="1:17" x14ac:dyDescent="0.15">
      <c r="A108" t="s">
        <v>944</v>
      </c>
      <c r="B108" s="9">
        <v>3</v>
      </c>
      <c r="C108" s="13">
        <v>0</v>
      </c>
      <c r="D108" s="13">
        <v>0.43</v>
      </c>
      <c r="E108" s="9" t="s">
        <v>1240</v>
      </c>
      <c r="F108">
        <v>291</v>
      </c>
      <c r="G108" s="11">
        <v>7.9056293324650934E-4</v>
      </c>
      <c r="H108" s="12">
        <v>0.83910360985613797</v>
      </c>
      <c r="I108" t="s">
        <v>1241</v>
      </c>
      <c r="J108">
        <v>18</v>
      </c>
      <c r="K108" s="11">
        <f t="shared" si="6"/>
        <v>1.8646732619699697E-3</v>
      </c>
      <c r="L108" s="12">
        <f t="shared" si="11"/>
        <v>0.46803298875446242</v>
      </c>
      <c r="M108" t="str">
        <f t="shared" si="7"/>
        <v>A</v>
      </c>
      <c r="N108" t="str">
        <f t="shared" si="8"/>
        <v>ABA</v>
      </c>
      <c r="O108" s="11">
        <f>VLOOKUP(A108,XYZ!A107:G910,2,FALSE)</f>
        <v>1.4907119849998598</v>
      </c>
      <c r="P108" t="str">
        <f t="shared" si="9"/>
        <v>Z</v>
      </c>
      <c r="Q108" t="str">
        <f t="shared" si="10"/>
        <v>ABAZ</v>
      </c>
    </row>
    <row r="109" spans="1:17" x14ac:dyDescent="0.15">
      <c r="A109" t="s">
        <v>55</v>
      </c>
      <c r="B109" s="9">
        <v>3</v>
      </c>
      <c r="C109" s="13">
        <v>0</v>
      </c>
      <c r="D109" s="13">
        <v>0.49</v>
      </c>
      <c r="E109" s="9" t="s">
        <v>1240</v>
      </c>
      <c r="F109">
        <v>288</v>
      </c>
      <c r="G109" s="11">
        <v>7.8241279991407109E-4</v>
      </c>
      <c r="H109" s="12">
        <v>0.84145899838921256</v>
      </c>
      <c r="I109" t="s">
        <v>1241</v>
      </c>
      <c r="J109">
        <v>18</v>
      </c>
      <c r="K109" s="11">
        <f t="shared" si="6"/>
        <v>1.8646732619699697E-3</v>
      </c>
      <c r="L109" s="12">
        <f t="shared" si="11"/>
        <v>0.4698976620164324</v>
      </c>
      <c r="M109" t="str">
        <f t="shared" si="7"/>
        <v>A</v>
      </c>
      <c r="N109" t="str">
        <f t="shared" si="8"/>
        <v>ABA</v>
      </c>
      <c r="O109" s="11">
        <f>VLOOKUP(A109,XYZ!A108:G911,2,FALSE)</f>
        <v>1.4907119849998598</v>
      </c>
      <c r="P109" t="str">
        <f t="shared" si="9"/>
        <v>Z</v>
      </c>
      <c r="Q109" t="str">
        <f t="shared" si="10"/>
        <v>ABAZ</v>
      </c>
    </row>
    <row r="110" spans="1:17" x14ac:dyDescent="0.15">
      <c r="A110" t="s">
        <v>293</v>
      </c>
      <c r="B110" s="9">
        <v>3</v>
      </c>
      <c r="C110" s="13">
        <v>0</v>
      </c>
      <c r="D110" s="13">
        <v>0.51</v>
      </c>
      <c r="E110" s="9" t="s">
        <v>1240</v>
      </c>
      <c r="F110">
        <v>270</v>
      </c>
      <c r="G110" s="11">
        <v>7.3351199991944158E-4</v>
      </c>
      <c r="H110" s="12">
        <v>0.86263032811285978</v>
      </c>
      <c r="I110" t="s">
        <v>1241</v>
      </c>
      <c r="J110">
        <v>18</v>
      </c>
      <c r="K110" s="11">
        <f t="shared" si="6"/>
        <v>1.8646732619699697E-3</v>
      </c>
      <c r="L110" s="12">
        <f t="shared" si="11"/>
        <v>0.47176233527840239</v>
      </c>
      <c r="M110" t="str">
        <f t="shared" si="7"/>
        <v>A</v>
      </c>
      <c r="N110" t="str">
        <f t="shared" si="8"/>
        <v>ABA</v>
      </c>
      <c r="O110" s="11">
        <f>VLOOKUP(A110,XYZ!A109:G912,2,FALSE)</f>
        <v>0.91287092917527679</v>
      </c>
      <c r="P110" t="str">
        <f t="shared" si="9"/>
        <v>Z</v>
      </c>
      <c r="Q110" t="str">
        <f t="shared" si="10"/>
        <v>ABAZ</v>
      </c>
    </row>
    <row r="111" spans="1:17" x14ac:dyDescent="0.15">
      <c r="A111" t="s">
        <v>885</v>
      </c>
      <c r="B111" s="9">
        <v>3</v>
      </c>
      <c r="C111" s="13">
        <v>0</v>
      </c>
      <c r="D111" s="13">
        <v>0.43</v>
      </c>
      <c r="E111" s="9" t="s">
        <v>1240</v>
      </c>
      <c r="F111">
        <v>264</v>
      </c>
      <c r="G111" s="11">
        <v>7.1721173325456518E-4</v>
      </c>
      <c r="H111" s="12">
        <v>0.87063375904531415</v>
      </c>
      <c r="I111" t="s">
        <v>1241</v>
      </c>
      <c r="J111">
        <v>18</v>
      </c>
      <c r="K111" s="11">
        <f t="shared" si="6"/>
        <v>1.8646732619699697E-3</v>
      </c>
      <c r="L111" s="12">
        <f t="shared" si="11"/>
        <v>0.47362700854037237</v>
      </c>
      <c r="M111" t="str">
        <f t="shared" si="7"/>
        <v>A</v>
      </c>
      <c r="N111" t="str">
        <f t="shared" si="8"/>
        <v>ABA</v>
      </c>
      <c r="O111" s="11">
        <f>VLOOKUP(A111,XYZ!A110:G913,2,FALSE)</f>
        <v>1.4907119849998598</v>
      </c>
      <c r="P111" t="str">
        <f t="shared" si="9"/>
        <v>Z</v>
      </c>
      <c r="Q111" t="str">
        <f t="shared" si="10"/>
        <v>ABAZ</v>
      </c>
    </row>
    <row r="112" spans="1:17" x14ac:dyDescent="0.15">
      <c r="A112" t="s">
        <v>349</v>
      </c>
      <c r="B112" s="9">
        <v>3</v>
      </c>
      <c r="C112" s="13">
        <v>0</v>
      </c>
      <c r="D112" s="13">
        <v>0.42</v>
      </c>
      <c r="E112" s="9" t="s">
        <v>1240</v>
      </c>
      <c r="F112">
        <v>252</v>
      </c>
      <c r="G112" s="11">
        <v>6.8461119992481217E-4</v>
      </c>
      <c r="H112" s="12">
        <v>0.87827532405780817</v>
      </c>
      <c r="I112" t="s">
        <v>1241</v>
      </c>
      <c r="J112">
        <v>18</v>
      </c>
      <c r="K112" s="11">
        <f t="shared" si="6"/>
        <v>1.8646732619699697E-3</v>
      </c>
      <c r="L112" s="12">
        <f t="shared" si="11"/>
        <v>0.47549168180234236</v>
      </c>
      <c r="M112" t="str">
        <f t="shared" si="7"/>
        <v>A</v>
      </c>
      <c r="N112" t="str">
        <f t="shared" si="8"/>
        <v>ABA</v>
      </c>
      <c r="O112" s="11">
        <f>VLOOKUP(A112,XYZ!A111:G914,2,FALSE)</f>
        <v>2.2360679774997898</v>
      </c>
      <c r="P112" t="str">
        <f t="shared" si="9"/>
        <v>Z</v>
      </c>
      <c r="Q112" t="str">
        <f t="shared" si="10"/>
        <v>ABAZ</v>
      </c>
    </row>
    <row r="113" spans="1:17" x14ac:dyDescent="0.15">
      <c r="A113" t="s">
        <v>529</v>
      </c>
      <c r="B113" s="9">
        <v>3</v>
      </c>
      <c r="C113" s="13">
        <v>0</v>
      </c>
      <c r="D113" s="13">
        <v>0.46</v>
      </c>
      <c r="E113" s="9" t="s">
        <v>1240</v>
      </c>
      <c r="F113">
        <v>234</v>
      </c>
      <c r="G113" s="11">
        <v>6.3571039993018277E-4</v>
      </c>
      <c r="H113" s="12">
        <v>0.89010660094539751</v>
      </c>
      <c r="I113" t="s">
        <v>1241</v>
      </c>
      <c r="J113">
        <v>18</v>
      </c>
      <c r="K113" s="11">
        <f t="shared" si="6"/>
        <v>1.8646732619699697E-3</v>
      </c>
      <c r="L113" s="12">
        <f t="shared" si="11"/>
        <v>0.47735635506431234</v>
      </c>
      <c r="M113" t="str">
        <f t="shared" si="7"/>
        <v>A</v>
      </c>
      <c r="N113" t="str">
        <f t="shared" si="8"/>
        <v>ABA</v>
      </c>
      <c r="O113" s="11">
        <f>VLOOKUP(A113,XYZ!A112:G915,2,FALSE)</f>
        <v>0.91287092917527679</v>
      </c>
      <c r="P113" t="str">
        <f t="shared" si="9"/>
        <v>Z</v>
      </c>
      <c r="Q113" t="str">
        <f t="shared" si="10"/>
        <v>ABAZ</v>
      </c>
    </row>
    <row r="114" spans="1:17" x14ac:dyDescent="0.15">
      <c r="A114" t="s">
        <v>521</v>
      </c>
      <c r="B114" s="9">
        <v>3</v>
      </c>
      <c r="C114" s="13">
        <v>0</v>
      </c>
      <c r="D114" s="13">
        <v>0.45</v>
      </c>
      <c r="E114" s="9" t="s">
        <v>1240</v>
      </c>
      <c r="F114">
        <v>219</v>
      </c>
      <c r="G114" s="11">
        <v>5.9495973326799151E-4</v>
      </c>
      <c r="H114" s="12">
        <v>0.89806656450007893</v>
      </c>
      <c r="I114" t="s">
        <v>1241</v>
      </c>
      <c r="J114">
        <v>18</v>
      </c>
      <c r="K114" s="11">
        <f t="shared" si="6"/>
        <v>1.8646732619699697E-3</v>
      </c>
      <c r="L114" s="12">
        <f t="shared" si="11"/>
        <v>0.47922102832628233</v>
      </c>
      <c r="M114" t="str">
        <f t="shared" si="7"/>
        <v>A</v>
      </c>
      <c r="N114" t="str">
        <f t="shared" si="8"/>
        <v>ABA</v>
      </c>
      <c r="O114" s="11">
        <f>VLOOKUP(A114,XYZ!A113:G916,2,FALSE)</f>
        <v>1.4907119849998598</v>
      </c>
      <c r="P114" t="str">
        <f t="shared" si="9"/>
        <v>Z</v>
      </c>
      <c r="Q114" t="str">
        <f t="shared" si="10"/>
        <v>ABAZ</v>
      </c>
    </row>
    <row r="115" spans="1:17" x14ac:dyDescent="0.15">
      <c r="A115" t="s">
        <v>783</v>
      </c>
      <c r="B115" s="9">
        <v>3</v>
      </c>
      <c r="C115" s="13">
        <v>0</v>
      </c>
      <c r="D115" s="13">
        <v>0.43</v>
      </c>
      <c r="E115" s="9" t="s">
        <v>1240</v>
      </c>
      <c r="F115">
        <v>213</v>
      </c>
      <c r="G115" s="11">
        <v>5.7865946660311501E-4</v>
      </c>
      <c r="H115" s="12">
        <v>0.90334513418838802</v>
      </c>
      <c r="I115" t="s">
        <v>1241</v>
      </c>
      <c r="J115">
        <v>18</v>
      </c>
      <c r="K115" s="11">
        <f t="shared" si="6"/>
        <v>1.8646732619699697E-3</v>
      </c>
      <c r="L115" s="12">
        <f t="shared" si="11"/>
        <v>0.48108570158825231</v>
      </c>
      <c r="M115" t="str">
        <f t="shared" si="7"/>
        <v>A</v>
      </c>
      <c r="N115" t="str">
        <f t="shared" si="8"/>
        <v>ABA</v>
      </c>
      <c r="O115" s="11">
        <f>VLOOKUP(A115,XYZ!A114:G917,2,FALSE)</f>
        <v>2.2360679774997898</v>
      </c>
      <c r="P115" t="str">
        <f t="shared" si="9"/>
        <v>Z</v>
      </c>
      <c r="Q115" t="str">
        <f t="shared" si="10"/>
        <v>ABAZ</v>
      </c>
    </row>
    <row r="116" spans="1:17" x14ac:dyDescent="0.15">
      <c r="A116" t="s">
        <v>304</v>
      </c>
      <c r="B116" s="9">
        <v>3</v>
      </c>
      <c r="C116" s="13">
        <v>0</v>
      </c>
      <c r="D116" s="13">
        <v>0.5</v>
      </c>
      <c r="E116" s="9" t="s">
        <v>1240</v>
      </c>
      <c r="F116">
        <v>210</v>
      </c>
      <c r="G116" s="11">
        <v>5.7050933327067676E-4</v>
      </c>
      <c r="H116" s="12">
        <v>0.90621398112140616</v>
      </c>
      <c r="I116" t="s">
        <v>1241</v>
      </c>
      <c r="J116">
        <v>18</v>
      </c>
      <c r="K116" s="11">
        <f t="shared" si="6"/>
        <v>1.8646732619699697E-3</v>
      </c>
      <c r="L116" s="12">
        <f t="shared" si="11"/>
        <v>0.4829503748502223</v>
      </c>
      <c r="M116" t="str">
        <f t="shared" si="7"/>
        <v>A</v>
      </c>
      <c r="N116" t="str">
        <f t="shared" si="8"/>
        <v>ABA</v>
      </c>
      <c r="O116" s="11">
        <f>VLOOKUP(A116,XYZ!A115:G918,2,FALSE)</f>
        <v>1.4907119849998598</v>
      </c>
      <c r="P116" t="str">
        <f t="shared" si="9"/>
        <v>Z</v>
      </c>
      <c r="Q116" t="str">
        <f t="shared" si="10"/>
        <v>ABAZ</v>
      </c>
    </row>
    <row r="117" spans="1:17" x14ac:dyDescent="0.15">
      <c r="A117" t="s">
        <v>324</v>
      </c>
      <c r="B117" s="9">
        <v>3</v>
      </c>
      <c r="C117" s="13">
        <v>0</v>
      </c>
      <c r="D117" s="13">
        <v>0.45</v>
      </c>
      <c r="E117" s="9" t="s">
        <v>1240</v>
      </c>
      <c r="F117">
        <v>186</v>
      </c>
      <c r="G117" s="11">
        <v>5.0530826661117085E-4</v>
      </c>
      <c r="H117" s="12">
        <v>0.91913194245332108</v>
      </c>
      <c r="I117" t="s">
        <v>1241</v>
      </c>
      <c r="J117">
        <v>18</v>
      </c>
      <c r="K117" s="11">
        <f t="shared" si="6"/>
        <v>1.8646732619699697E-3</v>
      </c>
      <c r="L117" s="12">
        <f t="shared" si="11"/>
        <v>0.48481504811219228</v>
      </c>
      <c r="M117" t="str">
        <f t="shared" si="7"/>
        <v>A</v>
      </c>
      <c r="N117" t="str">
        <f t="shared" si="8"/>
        <v>ABA</v>
      </c>
      <c r="O117" s="11">
        <f>VLOOKUP(A117,XYZ!A116:G919,2,FALSE)</f>
        <v>1.4907119849998598</v>
      </c>
      <c r="P117" t="str">
        <f t="shared" si="9"/>
        <v>Z</v>
      </c>
      <c r="Q117" t="str">
        <f t="shared" si="10"/>
        <v>ABAZ</v>
      </c>
    </row>
    <row r="118" spans="1:17" x14ac:dyDescent="0.15">
      <c r="A118" t="s">
        <v>1004</v>
      </c>
      <c r="B118" s="9">
        <v>3</v>
      </c>
      <c r="C118" s="13">
        <v>0</v>
      </c>
      <c r="D118" s="13">
        <v>0.52</v>
      </c>
      <c r="E118" s="9" t="s">
        <v>1240</v>
      </c>
      <c r="F118">
        <v>177</v>
      </c>
      <c r="G118" s="11">
        <v>4.8085786661385615E-4</v>
      </c>
      <c r="H118" s="12">
        <v>0.92258759899632681</v>
      </c>
      <c r="I118" t="s">
        <v>1241</v>
      </c>
      <c r="J118">
        <v>18</v>
      </c>
      <c r="K118" s="11">
        <f t="shared" si="6"/>
        <v>1.8646732619699697E-3</v>
      </c>
      <c r="L118" s="12">
        <f t="shared" si="11"/>
        <v>0.48667972137416227</v>
      </c>
      <c r="M118" t="str">
        <f t="shared" si="7"/>
        <v>A</v>
      </c>
      <c r="N118" t="str">
        <f t="shared" si="8"/>
        <v>ABA</v>
      </c>
      <c r="O118" s="11">
        <f>VLOOKUP(A118,XYZ!A117:G920,2,FALSE)</f>
        <v>1.4907119849998598</v>
      </c>
      <c r="P118" t="str">
        <f t="shared" si="9"/>
        <v>Z</v>
      </c>
      <c r="Q118" t="str">
        <f t="shared" si="10"/>
        <v>ABAZ</v>
      </c>
    </row>
    <row r="119" spans="1:17" x14ac:dyDescent="0.15">
      <c r="A119" t="s">
        <v>574</v>
      </c>
      <c r="B119" s="9">
        <v>3</v>
      </c>
      <c r="C119" s="13">
        <v>0</v>
      </c>
      <c r="D119" s="13">
        <v>0.51</v>
      </c>
      <c r="E119" s="9" t="s">
        <v>1240</v>
      </c>
      <c r="F119">
        <v>174</v>
      </c>
      <c r="G119" s="11">
        <v>4.7270773328141795E-4</v>
      </c>
      <c r="H119" s="12">
        <v>0.92544693744045725</v>
      </c>
      <c r="I119" t="s">
        <v>1241</v>
      </c>
      <c r="J119">
        <v>18</v>
      </c>
      <c r="K119" s="11">
        <f t="shared" si="6"/>
        <v>1.8646732619699697E-3</v>
      </c>
      <c r="L119" s="12">
        <f t="shared" si="11"/>
        <v>0.48854439463613225</v>
      </c>
      <c r="M119" t="str">
        <f t="shared" si="7"/>
        <v>A</v>
      </c>
      <c r="N119" t="str">
        <f t="shared" si="8"/>
        <v>ABA</v>
      </c>
      <c r="O119" s="11">
        <f>VLOOKUP(A119,XYZ!A118:G921,2,FALSE)</f>
        <v>1.4907119849998598</v>
      </c>
      <c r="P119" t="str">
        <f t="shared" si="9"/>
        <v>Z</v>
      </c>
      <c r="Q119" t="str">
        <f t="shared" si="10"/>
        <v>ABAZ</v>
      </c>
    </row>
    <row r="120" spans="1:17" x14ac:dyDescent="0.15">
      <c r="A120" t="s">
        <v>257</v>
      </c>
      <c r="B120" s="9">
        <v>3</v>
      </c>
      <c r="C120" s="13">
        <v>0</v>
      </c>
      <c r="D120" s="13">
        <v>0.42</v>
      </c>
      <c r="E120" s="9" t="s">
        <v>1240</v>
      </c>
      <c r="F120">
        <v>173</v>
      </c>
      <c r="G120" s="11">
        <v>4.699910221706052E-4</v>
      </c>
      <c r="H120" s="12">
        <v>0.92591692846262785</v>
      </c>
      <c r="I120" t="s">
        <v>1241</v>
      </c>
      <c r="J120">
        <v>18</v>
      </c>
      <c r="K120" s="11">
        <f t="shared" si="6"/>
        <v>1.8646732619699697E-3</v>
      </c>
      <c r="L120" s="12">
        <f t="shared" si="11"/>
        <v>0.49040906789810224</v>
      </c>
      <c r="M120" t="str">
        <f t="shared" si="7"/>
        <v>A</v>
      </c>
      <c r="N120" t="str">
        <f t="shared" si="8"/>
        <v>ABA</v>
      </c>
      <c r="O120" s="11">
        <f>VLOOKUP(A120,XYZ!A119:G922,2,FALSE)</f>
        <v>2.2360679774997898</v>
      </c>
      <c r="P120" t="str">
        <f t="shared" si="9"/>
        <v>Z</v>
      </c>
      <c r="Q120" t="str">
        <f t="shared" si="10"/>
        <v>ABAZ</v>
      </c>
    </row>
    <row r="121" spans="1:17" x14ac:dyDescent="0.15">
      <c r="A121" t="s">
        <v>641</v>
      </c>
      <c r="B121" s="9">
        <v>3</v>
      </c>
      <c r="C121" s="13">
        <v>0</v>
      </c>
      <c r="D121" s="13">
        <v>0.5</v>
      </c>
      <c r="E121" s="9" t="s">
        <v>1240</v>
      </c>
      <c r="F121">
        <v>173</v>
      </c>
      <c r="G121" s="11">
        <v>4.699910221706052E-4</v>
      </c>
      <c r="H121" s="12">
        <v>0.92638691948479845</v>
      </c>
      <c r="I121" t="s">
        <v>1241</v>
      </c>
      <c r="J121">
        <v>18</v>
      </c>
      <c r="K121" s="11">
        <f t="shared" si="6"/>
        <v>1.8646732619699697E-3</v>
      </c>
      <c r="L121" s="12">
        <f t="shared" si="11"/>
        <v>0.49227374116007222</v>
      </c>
      <c r="M121" t="str">
        <f t="shared" si="7"/>
        <v>A</v>
      </c>
      <c r="N121" t="str">
        <f t="shared" si="8"/>
        <v>ABA</v>
      </c>
      <c r="O121" s="11">
        <f>VLOOKUP(A121,XYZ!A120:G923,2,FALSE)</f>
        <v>2.2360679774997898</v>
      </c>
      <c r="P121" t="str">
        <f t="shared" si="9"/>
        <v>Z</v>
      </c>
      <c r="Q121" t="str">
        <f t="shared" si="10"/>
        <v>ABAZ</v>
      </c>
    </row>
    <row r="122" spans="1:17" x14ac:dyDescent="0.15">
      <c r="A122" t="s">
        <v>618</v>
      </c>
      <c r="B122" s="9">
        <v>3</v>
      </c>
      <c r="C122" s="13">
        <v>0</v>
      </c>
      <c r="D122" s="13">
        <v>0.43</v>
      </c>
      <c r="E122" s="9" t="s">
        <v>1240</v>
      </c>
      <c r="F122">
        <v>132</v>
      </c>
      <c r="G122" s="11">
        <v>3.5860586662728259E-4</v>
      </c>
      <c r="H122" s="12">
        <v>0.95084329624655728</v>
      </c>
      <c r="I122" t="s">
        <v>1242</v>
      </c>
      <c r="J122">
        <v>18</v>
      </c>
      <c r="K122" s="11">
        <f t="shared" si="6"/>
        <v>1.8646732619699697E-3</v>
      </c>
      <c r="L122" s="12">
        <f t="shared" si="11"/>
        <v>0.4941384144220422</v>
      </c>
      <c r="M122" t="str">
        <f t="shared" si="7"/>
        <v>A</v>
      </c>
      <c r="N122" t="str">
        <f t="shared" si="8"/>
        <v>ACA</v>
      </c>
      <c r="O122" s="11">
        <f>VLOOKUP(A122,XYZ!A121:G924,2,FALSE)</f>
        <v>2.2360679774997898</v>
      </c>
      <c r="P122" t="str">
        <f t="shared" si="9"/>
        <v>Z</v>
      </c>
      <c r="Q122" t="str">
        <f t="shared" si="10"/>
        <v>ACAZ</v>
      </c>
    </row>
    <row r="123" spans="1:17" x14ac:dyDescent="0.15">
      <c r="A123" t="s">
        <v>707</v>
      </c>
      <c r="B123" s="9">
        <v>3</v>
      </c>
      <c r="C123" s="13">
        <v>0</v>
      </c>
      <c r="D123" s="13">
        <v>0.42</v>
      </c>
      <c r="E123" s="9" t="s">
        <v>1240</v>
      </c>
      <c r="F123">
        <v>129</v>
      </c>
      <c r="G123" s="11">
        <v>3.5045573329484434E-4</v>
      </c>
      <c r="H123" s="12">
        <v>0.95189738015755265</v>
      </c>
      <c r="I123" t="s">
        <v>1242</v>
      </c>
      <c r="J123">
        <v>18</v>
      </c>
      <c r="K123" s="11">
        <f t="shared" si="6"/>
        <v>1.8646732619699697E-3</v>
      </c>
      <c r="L123" s="12">
        <f t="shared" si="11"/>
        <v>0.49600308768401219</v>
      </c>
      <c r="M123" t="str">
        <f t="shared" si="7"/>
        <v>A</v>
      </c>
      <c r="N123" t="str">
        <f t="shared" si="8"/>
        <v>ACA</v>
      </c>
      <c r="O123" s="11">
        <f>VLOOKUP(A123,XYZ!A122:G925,2,FALSE)</f>
        <v>1.4907119849998598</v>
      </c>
      <c r="P123" t="str">
        <f t="shared" si="9"/>
        <v>Z</v>
      </c>
      <c r="Q123" t="str">
        <f t="shared" si="10"/>
        <v>ACAZ</v>
      </c>
    </row>
    <row r="124" spans="1:17" x14ac:dyDescent="0.15">
      <c r="A124" t="s">
        <v>819</v>
      </c>
      <c r="B124" s="9">
        <v>3</v>
      </c>
      <c r="C124" s="13">
        <v>0</v>
      </c>
      <c r="D124" s="13">
        <v>0.47</v>
      </c>
      <c r="E124" s="9" t="s">
        <v>1240</v>
      </c>
      <c r="F124">
        <v>126</v>
      </c>
      <c r="G124" s="11">
        <v>3.4230559996240609E-4</v>
      </c>
      <c r="H124" s="12">
        <v>0.95466440475813774</v>
      </c>
      <c r="I124" t="s">
        <v>1242</v>
      </c>
      <c r="J124">
        <v>18</v>
      </c>
      <c r="K124" s="11">
        <f t="shared" si="6"/>
        <v>1.8646732619699697E-3</v>
      </c>
      <c r="L124" s="12">
        <f t="shared" si="11"/>
        <v>0.49786776094598217</v>
      </c>
      <c r="M124" t="str">
        <f t="shared" si="7"/>
        <v>A</v>
      </c>
      <c r="N124" t="str">
        <f t="shared" si="8"/>
        <v>ACA</v>
      </c>
      <c r="O124" s="11">
        <f>VLOOKUP(A124,XYZ!A123:G926,2,FALSE)</f>
        <v>1.4907119849998598</v>
      </c>
      <c r="P124" t="str">
        <f t="shared" si="9"/>
        <v>Z</v>
      </c>
      <c r="Q124" t="str">
        <f t="shared" si="10"/>
        <v>ACAZ</v>
      </c>
    </row>
    <row r="125" spans="1:17" x14ac:dyDescent="0.15">
      <c r="A125" t="s">
        <v>291</v>
      </c>
      <c r="B125" s="9">
        <v>3</v>
      </c>
      <c r="C125" s="13">
        <v>0</v>
      </c>
      <c r="D125" s="13">
        <v>0.48</v>
      </c>
      <c r="E125" s="9" t="s">
        <v>1240</v>
      </c>
      <c r="F125">
        <v>125</v>
      </c>
      <c r="G125" s="11">
        <v>3.3958888885159334E-4</v>
      </c>
      <c r="H125" s="12">
        <v>0.95568588813580324</v>
      </c>
      <c r="I125" t="s">
        <v>1242</v>
      </c>
      <c r="J125">
        <v>18</v>
      </c>
      <c r="K125" s="11">
        <f t="shared" si="6"/>
        <v>1.8646732619699697E-3</v>
      </c>
      <c r="L125" s="12">
        <f t="shared" si="11"/>
        <v>0.49973243420795216</v>
      </c>
      <c r="M125" t="str">
        <f t="shared" si="7"/>
        <v>A</v>
      </c>
      <c r="N125" t="str">
        <f t="shared" si="8"/>
        <v>ACA</v>
      </c>
      <c r="O125" s="11">
        <f>VLOOKUP(A125,XYZ!A124:G927,2,FALSE)</f>
        <v>1.4907119849998598</v>
      </c>
      <c r="P125" t="str">
        <f t="shared" si="9"/>
        <v>Z</v>
      </c>
      <c r="Q125" t="str">
        <f t="shared" si="10"/>
        <v>ACAZ</v>
      </c>
    </row>
    <row r="126" spans="1:17" x14ac:dyDescent="0.15">
      <c r="A126" t="s">
        <v>715</v>
      </c>
      <c r="B126" s="9">
        <v>3</v>
      </c>
      <c r="C126" s="13">
        <v>0</v>
      </c>
      <c r="D126" s="13">
        <v>0.51</v>
      </c>
      <c r="E126" s="9" t="s">
        <v>1240</v>
      </c>
      <c r="F126">
        <v>117</v>
      </c>
      <c r="G126" s="11">
        <v>3.1785519996509139E-4</v>
      </c>
      <c r="H126" s="12">
        <v>0.96158492747471069</v>
      </c>
      <c r="I126" t="s">
        <v>1242</v>
      </c>
      <c r="J126">
        <v>18</v>
      </c>
      <c r="K126" s="11">
        <f t="shared" si="6"/>
        <v>1.8646732619699697E-3</v>
      </c>
      <c r="L126" s="12">
        <f t="shared" si="11"/>
        <v>0.50159710746992214</v>
      </c>
      <c r="M126" t="str">
        <f t="shared" si="7"/>
        <v>A</v>
      </c>
      <c r="N126" t="str">
        <f t="shared" si="8"/>
        <v>ACA</v>
      </c>
      <c r="O126" s="11">
        <f>VLOOKUP(A126,XYZ!A125:G928,2,FALSE)</f>
        <v>2.2360679774997898</v>
      </c>
      <c r="P126" t="str">
        <f t="shared" si="9"/>
        <v>Z</v>
      </c>
      <c r="Q126" t="str">
        <f t="shared" si="10"/>
        <v>ACAZ</v>
      </c>
    </row>
    <row r="127" spans="1:17" x14ac:dyDescent="0.15">
      <c r="A127" t="s">
        <v>389</v>
      </c>
      <c r="B127" s="9">
        <v>3</v>
      </c>
      <c r="C127" s="13">
        <v>0</v>
      </c>
      <c r="D127" s="13">
        <v>0.47</v>
      </c>
      <c r="E127" s="9" t="s">
        <v>1240</v>
      </c>
      <c r="F127">
        <v>111</v>
      </c>
      <c r="G127" s="11">
        <v>3.0155493330021488E-4</v>
      </c>
      <c r="H127" s="12">
        <v>0.96313888623009558</v>
      </c>
      <c r="I127" t="s">
        <v>1242</v>
      </c>
      <c r="J127">
        <v>18</v>
      </c>
      <c r="K127" s="11">
        <f t="shared" si="6"/>
        <v>1.8646732619699697E-3</v>
      </c>
      <c r="L127" s="12">
        <f t="shared" si="11"/>
        <v>0.50346178073189207</v>
      </c>
      <c r="M127" t="str">
        <f t="shared" si="7"/>
        <v>A</v>
      </c>
      <c r="N127" t="str">
        <f t="shared" si="8"/>
        <v>ACA</v>
      </c>
      <c r="O127" s="11">
        <f>VLOOKUP(A127,XYZ!A126:G929,2,FALSE)</f>
        <v>1.4907119849998598</v>
      </c>
      <c r="P127" t="str">
        <f t="shared" si="9"/>
        <v>Z</v>
      </c>
      <c r="Q127" t="str">
        <f t="shared" si="10"/>
        <v>ACAZ</v>
      </c>
    </row>
    <row r="128" spans="1:17" x14ac:dyDescent="0.15">
      <c r="A128" t="s">
        <v>333</v>
      </c>
      <c r="B128" s="9">
        <v>3</v>
      </c>
      <c r="C128" s="13">
        <v>0</v>
      </c>
      <c r="D128" s="13">
        <v>0.45</v>
      </c>
      <c r="E128" s="9" t="s">
        <v>1240</v>
      </c>
      <c r="F128">
        <v>102</v>
      </c>
      <c r="G128" s="11">
        <v>2.7710453330290018E-4</v>
      </c>
      <c r="H128" s="12">
        <v>0.96892347052990502</v>
      </c>
      <c r="I128" t="s">
        <v>1242</v>
      </c>
      <c r="J128">
        <v>18</v>
      </c>
      <c r="K128" s="11">
        <f t="shared" si="6"/>
        <v>1.8646732619699697E-3</v>
      </c>
      <c r="L128" s="12">
        <f t="shared" si="11"/>
        <v>0.505326453993862</v>
      </c>
      <c r="M128" t="str">
        <f t="shared" si="7"/>
        <v>A</v>
      </c>
      <c r="N128" t="str">
        <f t="shared" si="8"/>
        <v>ACA</v>
      </c>
      <c r="O128" s="11">
        <f>VLOOKUP(A128,XYZ!A127:G930,2,FALSE)</f>
        <v>1.4907119849998598</v>
      </c>
      <c r="P128" t="str">
        <f t="shared" si="9"/>
        <v>Z</v>
      </c>
      <c r="Q128" t="str">
        <f t="shared" si="10"/>
        <v>ACAZ</v>
      </c>
    </row>
    <row r="129" spans="1:17" x14ac:dyDescent="0.15">
      <c r="A129" t="s">
        <v>676</v>
      </c>
      <c r="B129" s="9">
        <v>3</v>
      </c>
      <c r="C129" s="13">
        <v>0</v>
      </c>
      <c r="D129" s="13">
        <v>0.49</v>
      </c>
      <c r="E129" s="9" t="s">
        <v>1240</v>
      </c>
      <c r="F129">
        <v>96</v>
      </c>
      <c r="G129" s="11">
        <v>2.6080426663802368E-4</v>
      </c>
      <c r="H129" s="12">
        <v>0.97541912679585852</v>
      </c>
      <c r="I129" t="s">
        <v>1242</v>
      </c>
      <c r="J129">
        <v>18</v>
      </c>
      <c r="K129" s="11">
        <f t="shared" si="6"/>
        <v>1.8646732619699697E-3</v>
      </c>
      <c r="L129" s="12">
        <f t="shared" si="11"/>
        <v>0.50719112725583193</v>
      </c>
      <c r="M129" t="str">
        <f t="shared" si="7"/>
        <v>A</v>
      </c>
      <c r="N129" t="str">
        <f t="shared" si="8"/>
        <v>ACA</v>
      </c>
      <c r="O129" s="11">
        <f>VLOOKUP(A129,XYZ!A128:G931,2,FALSE)</f>
        <v>1.4907119849998598</v>
      </c>
      <c r="P129" t="str">
        <f t="shared" si="9"/>
        <v>Z</v>
      </c>
      <c r="Q129" t="str">
        <f t="shared" si="10"/>
        <v>ACAZ</v>
      </c>
    </row>
    <row r="130" spans="1:17" x14ac:dyDescent="0.15">
      <c r="A130" t="s">
        <v>590</v>
      </c>
      <c r="B130" s="9">
        <v>3</v>
      </c>
      <c r="C130" s="13">
        <v>0</v>
      </c>
      <c r="D130" s="13">
        <v>0.48</v>
      </c>
      <c r="E130" s="9" t="s">
        <v>1240</v>
      </c>
      <c r="F130">
        <v>93</v>
      </c>
      <c r="G130" s="11">
        <v>2.5265413330558543E-4</v>
      </c>
      <c r="H130" s="12">
        <v>0.97670709236638364</v>
      </c>
      <c r="I130" t="s">
        <v>1242</v>
      </c>
      <c r="J130">
        <v>18</v>
      </c>
      <c r="K130" s="11">
        <f t="shared" si="6"/>
        <v>1.8646732619699697E-3</v>
      </c>
      <c r="L130" s="12">
        <f t="shared" si="11"/>
        <v>0.50905580051780186</v>
      </c>
      <c r="M130" t="str">
        <f t="shared" si="7"/>
        <v>A</v>
      </c>
      <c r="N130" t="str">
        <f t="shared" si="8"/>
        <v>ACA</v>
      </c>
      <c r="O130" s="11">
        <f>VLOOKUP(A130,XYZ!A129:G932,2,FALSE)</f>
        <v>2.2360679774997898</v>
      </c>
      <c r="P130" t="str">
        <f t="shared" si="9"/>
        <v>Z</v>
      </c>
      <c r="Q130" t="str">
        <f t="shared" si="10"/>
        <v>ACAZ</v>
      </c>
    </row>
    <row r="131" spans="1:17" x14ac:dyDescent="0.15">
      <c r="A131" t="s">
        <v>1072</v>
      </c>
      <c r="B131" s="9">
        <v>3</v>
      </c>
      <c r="C131" s="13">
        <v>0</v>
      </c>
      <c r="D131" s="13">
        <v>0.47</v>
      </c>
      <c r="E131" s="9" t="s">
        <v>1240</v>
      </c>
      <c r="F131">
        <v>78</v>
      </c>
      <c r="G131" s="11">
        <v>2.1190346664339425E-4</v>
      </c>
      <c r="H131" s="12">
        <v>0.9847596957699436</v>
      </c>
      <c r="I131" t="s">
        <v>1242</v>
      </c>
      <c r="J131">
        <v>18</v>
      </c>
      <c r="K131" s="11">
        <f t="shared" ref="K131:K194" si="12">J131/SUM(J:J)</f>
        <v>1.8646732619699697E-3</v>
      </c>
      <c r="L131" s="12">
        <f t="shared" si="11"/>
        <v>0.51092047377977179</v>
      </c>
      <c r="M131" t="str">
        <f t="shared" ref="M131:M194" si="13">IF(L131&lt;0.8,"A",IF(L131&lt;0.95,"B","C"))</f>
        <v>A</v>
      </c>
      <c r="N131" t="str">
        <f t="shared" ref="N131:N194" si="14">E131&amp;I131&amp;M131</f>
        <v>ACA</v>
      </c>
      <c r="O131" s="11">
        <f>VLOOKUP(A131,XYZ!A130:G933,2,FALSE)</f>
        <v>2.2360679774997898</v>
      </c>
      <c r="P131" t="str">
        <f t="shared" ref="P131:P194" si="15">IF(O131&lt;0.1,"A",IF(O131&lt;0.25,"Y","Z"))</f>
        <v>Z</v>
      </c>
      <c r="Q131" t="str">
        <f t="shared" ref="Q131:Q194" si="16">N131&amp;P131</f>
        <v>ACAZ</v>
      </c>
    </row>
    <row r="132" spans="1:17" x14ac:dyDescent="0.15">
      <c r="A132" t="s">
        <v>617</v>
      </c>
      <c r="B132" s="9">
        <v>3</v>
      </c>
      <c r="C132" s="13">
        <v>0</v>
      </c>
      <c r="D132" s="13">
        <v>0.49</v>
      </c>
      <c r="E132" s="9" t="s">
        <v>1240</v>
      </c>
      <c r="F132">
        <v>75</v>
      </c>
      <c r="G132" s="11">
        <v>2.03753333310956E-4</v>
      </c>
      <c r="H132" s="12">
        <v>0.98725064818744768</v>
      </c>
      <c r="I132" t="s">
        <v>1242</v>
      </c>
      <c r="J132">
        <v>18</v>
      </c>
      <c r="K132" s="11">
        <f t="shared" si="12"/>
        <v>1.8646732619699697E-3</v>
      </c>
      <c r="L132" s="12">
        <f t="shared" ref="L132:L195" si="17">K132+L131</f>
        <v>0.51278514704174172</v>
      </c>
      <c r="M132" t="str">
        <f t="shared" si="13"/>
        <v>A</v>
      </c>
      <c r="N132" t="str">
        <f t="shared" si="14"/>
        <v>ACA</v>
      </c>
      <c r="O132" s="11">
        <f>VLOOKUP(A132,XYZ!A131:G934,2,FALSE)</f>
        <v>1.4907119849998598</v>
      </c>
      <c r="P132" t="str">
        <f t="shared" si="15"/>
        <v>Z</v>
      </c>
      <c r="Q132" t="str">
        <f t="shared" si="16"/>
        <v>ACAZ</v>
      </c>
    </row>
    <row r="133" spans="1:17" x14ac:dyDescent="0.15">
      <c r="A133" t="s">
        <v>408</v>
      </c>
      <c r="B133" s="9">
        <v>3</v>
      </c>
      <c r="C133" s="13">
        <v>0</v>
      </c>
      <c r="D133" s="13">
        <v>0.51</v>
      </c>
      <c r="E133" s="9" t="s">
        <v>1240</v>
      </c>
      <c r="F133">
        <v>72</v>
      </c>
      <c r="G133" s="11">
        <v>1.9560319997851777E-4</v>
      </c>
      <c r="H133" s="12">
        <v>0.98904775258725031</v>
      </c>
      <c r="I133" t="s">
        <v>1242</v>
      </c>
      <c r="J133">
        <v>18</v>
      </c>
      <c r="K133" s="11">
        <f t="shared" si="12"/>
        <v>1.8646732619699697E-3</v>
      </c>
      <c r="L133" s="12">
        <f t="shared" si="17"/>
        <v>0.51464982030371165</v>
      </c>
      <c r="M133" t="str">
        <f t="shared" si="13"/>
        <v>A</v>
      </c>
      <c r="N133" t="str">
        <f t="shared" si="14"/>
        <v>ACA</v>
      </c>
      <c r="O133" s="11">
        <f>VLOOKUP(A133,XYZ!A132:G935,2,FALSE)</f>
        <v>1.4907119849998598</v>
      </c>
      <c r="P133" t="str">
        <f t="shared" si="15"/>
        <v>Z</v>
      </c>
      <c r="Q133" t="str">
        <f t="shared" si="16"/>
        <v>ACAZ</v>
      </c>
    </row>
    <row r="134" spans="1:17" x14ac:dyDescent="0.15">
      <c r="A134" t="s">
        <v>237</v>
      </c>
      <c r="B134" s="9">
        <v>3</v>
      </c>
      <c r="C134" s="13">
        <v>0</v>
      </c>
      <c r="D134" s="13">
        <v>0.5</v>
      </c>
      <c r="E134" s="9" t="s">
        <v>1240</v>
      </c>
      <c r="F134">
        <v>66</v>
      </c>
      <c r="G134" s="11">
        <v>1.793029333136413E-4</v>
      </c>
      <c r="H134" s="12">
        <v>0.99073901392217567</v>
      </c>
      <c r="I134" t="s">
        <v>1242</v>
      </c>
      <c r="J134">
        <v>18</v>
      </c>
      <c r="K134" s="11">
        <f t="shared" si="12"/>
        <v>1.8646732619699697E-3</v>
      </c>
      <c r="L134" s="12">
        <f t="shared" si="17"/>
        <v>0.51651449356568158</v>
      </c>
      <c r="M134" t="str">
        <f t="shared" si="13"/>
        <v>A</v>
      </c>
      <c r="N134" t="str">
        <f t="shared" si="14"/>
        <v>ACA</v>
      </c>
      <c r="O134" s="11">
        <f>VLOOKUP(A134,XYZ!A133:G936,2,FALSE)</f>
        <v>1.4907119849998598</v>
      </c>
      <c r="P134" t="str">
        <f t="shared" si="15"/>
        <v>Z</v>
      </c>
      <c r="Q134" t="str">
        <f t="shared" si="16"/>
        <v>ACAZ</v>
      </c>
    </row>
    <row r="135" spans="1:17" x14ac:dyDescent="0.15">
      <c r="A135" t="s">
        <v>508</v>
      </c>
      <c r="B135" s="9">
        <v>3</v>
      </c>
      <c r="C135" s="13">
        <v>0</v>
      </c>
      <c r="D135" s="13">
        <v>0.42</v>
      </c>
      <c r="E135" s="9" t="s">
        <v>1240</v>
      </c>
      <c r="F135">
        <v>36</v>
      </c>
      <c r="G135" s="11">
        <v>9.7801599989258886E-5</v>
      </c>
      <c r="H135" s="12">
        <v>0.99818300927486769</v>
      </c>
      <c r="I135" t="s">
        <v>1242</v>
      </c>
      <c r="J135">
        <v>18</v>
      </c>
      <c r="K135" s="11">
        <f t="shared" si="12"/>
        <v>1.8646732619699697E-3</v>
      </c>
      <c r="L135" s="12">
        <f t="shared" si="17"/>
        <v>0.51837916682765151</v>
      </c>
      <c r="M135" t="str">
        <f t="shared" si="13"/>
        <v>A</v>
      </c>
      <c r="N135" t="str">
        <f t="shared" si="14"/>
        <v>ACA</v>
      </c>
      <c r="O135" s="11">
        <f>VLOOKUP(A135,XYZ!A134:G937,2,FALSE)</f>
        <v>0.91287092917527679</v>
      </c>
      <c r="P135" t="str">
        <f t="shared" si="15"/>
        <v>Z</v>
      </c>
      <c r="Q135" t="str">
        <f t="shared" si="16"/>
        <v>ACAZ</v>
      </c>
    </row>
    <row r="136" spans="1:17" x14ac:dyDescent="0.15">
      <c r="A136" t="s">
        <v>223</v>
      </c>
      <c r="B136" s="9">
        <v>3</v>
      </c>
      <c r="C136" s="13">
        <v>0</v>
      </c>
      <c r="D136" s="13">
        <v>0.45</v>
      </c>
      <c r="E136" s="9" t="s">
        <v>1240</v>
      </c>
      <c r="F136">
        <v>36</v>
      </c>
      <c r="G136" s="11">
        <v>9.7801599989258886E-5</v>
      </c>
      <c r="H136" s="12">
        <v>0.99828081087485698</v>
      </c>
      <c r="I136" t="s">
        <v>1242</v>
      </c>
      <c r="J136">
        <v>18</v>
      </c>
      <c r="K136" s="11">
        <f t="shared" si="12"/>
        <v>1.8646732619699697E-3</v>
      </c>
      <c r="L136" s="12">
        <f t="shared" si="17"/>
        <v>0.52024384008962143</v>
      </c>
      <c r="M136" t="str">
        <f t="shared" si="13"/>
        <v>A</v>
      </c>
      <c r="N136" t="str">
        <f t="shared" si="14"/>
        <v>ACA</v>
      </c>
      <c r="O136" s="11">
        <f>VLOOKUP(A136,XYZ!A135:G938,2,FALSE)</f>
        <v>2.2360679774997898</v>
      </c>
      <c r="P136" t="str">
        <f t="shared" si="15"/>
        <v>Z</v>
      </c>
      <c r="Q136" t="str">
        <f t="shared" si="16"/>
        <v>ACAZ</v>
      </c>
    </row>
    <row r="137" spans="1:17" x14ac:dyDescent="0.15">
      <c r="A137" t="s">
        <v>28</v>
      </c>
      <c r="B137" s="9">
        <v>2</v>
      </c>
      <c r="C137" s="13">
        <v>0</v>
      </c>
      <c r="D137" s="13">
        <v>0.68</v>
      </c>
      <c r="E137" s="9" t="s">
        <v>1240</v>
      </c>
      <c r="F137">
        <v>5126</v>
      </c>
      <c r="G137" s="11">
        <v>1.392586115402614E-2</v>
      </c>
      <c r="H137" s="12">
        <v>4.6385125506016839E-2</v>
      </c>
      <c r="I137" t="s">
        <v>1240</v>
      </c>
      <c r="J137">
        <v>12</v>
      </c>
      <c r="K137" s="11">
        <f t="shared" si="12"/>
        <v>1.2431155079799796E-3</v>
      </c>
      <c r="L137" s="12">
        <f t="shared" si="17"/>
        <v>0.52148695559760139</v>
      </c>
      <c r="M137" t="str">
        <f t="shared" si="13"/>
        <v>A</v>
      </c>
      <c r="N137" t="str">
        <f t="shared" si="14"/>
        <v>AAA</v>
      </c>
      <c r="O137" s="11">
        <f>VLOOKUP(A137,XYZ!A136:G939,2,FALSE)</f>
        <v>1.3693063937629151</v>
      </c>
      <c r="P137" t="str">
        <f t="shared" si="15"/>
        <v>Z</v>
      </c>
      <c r="Q137" t="str">
        <f t="shared" si="16"/>
        <v>AAAZ</v>
      </c>
    </row>
    <row r="138" spans="1:17" x14ac:dyDescent="0.15">
      <c r="A138" t="s">
        <v>428</v>
      </c>
      <c r="B138" s="9">
        <v>2</v>
      </c>
      <c r="C138" s="13">
        <v>0</v>
      </c>
      <c r="D138" s="13">
        <v>0.57999999999999996</v>
      </c>
      <c r="E138" s="9" t="s">
        <v>1240</v>
      </c>
      <c r="F138">
        <v>3697</v>
      </c>
      <c r="G138" s="11">
        <v>1.0043680976674725E-2</v>
      </c>
      <c r="H138" s="12">
        <v>8.0382048346727561E-2</v>
      </c>
      <c r="I138" t="s">
        <v>1240</v>
      </c>
      <c r="J138">
        <v>12</v>
      </c>
      <c r="K138" s="11">
        <f t="shared" si="12"/>
        <v>1.2431155079799796E-3</v>
      </c>
      <c r="L138" s="12">
        <f t="shared" si="17"/>
        <v>0.52273007110558134</v>
      </c>
      <c r="M138" t="str">
        <f t="shared" si="13"/>
        <v>A</v>
      </c>
      <c r="N138" t="str">
        <f t="shared" si="14"/>
        <v>AAA</v>
      </c>
      <c r="O138" s="11">
        <f>VLOOKUP(A138,XYZ!A137:G940,2,FALSE)</f>
        <v>2.2360679774997894</v>
      </c>
      <c r="P138" t="str">
        <f t="shared" si="15"/>
        <v>Z</v>
      </c>
      <c r="Q138" t="str">
        <f t="shared" si="16"/>
        <v>AAAZ</v>
      </c>
    </row>
    <row r="139" spans="1:17" x14ac:dyDescent="0.15">
      <c r="A139" t="s">
        <v>86</v>
      </c>
      <c r="B139" s="9">
        <v>2</v>
      </c>
      <c r="C139" s="13">
        <v>0</v>
      </c>
      <c r="D139" s="13">
        <v>0.52</v>
      </c>
      <c r="E139" s="9" t="s">
        <v>1240</v>
      </c>
      <c r="F139">
        <v>2628</v>
      </c>
      <c r="G139" s="11">
        <v>7.1395167992158986E-3</v>
      </c>
      <c r="H139" s="12">
        <v>0.13040002324609618</v>
      </c>
      <c r="I139" t="s">
        <v>1240</v>
      </c>
      <c r="J139">
        <v>12</v>
      </c>
      <c r="K139" s="11">
        <f t="shared" si="12"/>
        <v>1.2431155079799796E-3</v>
      </c>
      <c r="L139" s="12">
        <f t="shared" si="17"/>
        <v>0.52397318661356129</v>
      </c>
      <c r="M139" t="str">
        <f t="shared" si="13"/>
        <v>A</v>
      </c>
      <c r="N139" t="str">
        <f t="shared" si="14"/>
        <v>AAA</v>
      </c>
      <c r="O139" s="11">
        <f>VLOOKUP(A139,XYZ!A138:G941,2,FALSE)</f>
        <v>1.3693063937629151</v>
      </c>
      <c r="P139" t="str">
        <f t="shared" si="15"/>
        <v>Z</v>
      </c>
      <c r="Q139" t="str">
        <f t="shared" si="16"/>
        <v>AAAZ</v>
      </c>
    </row>
    <row r="140" spans="1:17" x14ac:dyDescent="0.15">
      <c r="A140" t="s">
        <v>465</v>
      </c>
      <c r="B140" s="9">
        <v>2</v>
      </c>
      <c r="C140" s="13">
        <v>0</v>
      </c>
      <c r="D140" s="13">
        <v>0.55000000000000004</v>
      </c>
      <c r="E140" s="9" t="s">
        <v>1240</v>
      </c>
      <c r="F140">
        <v>2596</v>
      </c>
      <c r="G140" s="11">
        <v>7.0525820436698906E-3</v>
      </c>
      <c r="H140" s="12">
        <v>0.13745260528976608</v>
      </c>
      <c r="I140" t="s">
        <v>1240</v>
      </c>
      <c r="J140">
        <v>12</v>
      </c>
      <c r="K140" s="11">
        <f t="shared" si="12"/>
        <v>1.2431155079799796E-3</v>
      </c>
      <c r="L140" s="12">
        <f t="shared" si="17"/>
        <v>0.52521630212154125</v>
      </c>
      <c r="M140" t="str">
        <f t="shared" si="13"/>
        <v>A</v>
      </c>
      <c r="N140" t="str">
        <f t="shared" si="14"/>
        <v>AAA</v>
      </c>
      <c r="O140" s="11">
        <f>VLOOKUP(A140,XYZ!A139:G942,2,FALSE)</f>
        <v>1.3693063937629151</v>
      </c>
      <c r="P140" t="str">
        <f t="shared" si="15"/>
        <v>Z</v>
      </c>
      <c r="Q140" t="str">
        <f t="shared" si="16"/>
        <v>AAAZ</v>
      </c>
    </row>
    <row r="141" spans="1:17" x14ac:dyDescent="0.15">
      <c r="A141" t="s">
        <v>706</v>
      </c>
      <c r="B141" s="9">
        <v>2</v>
      </c>
      <c r="C141" s="13">
        <v>0</v>
      </c>
      <c r="D141" s="13">
        <v>0.67</v>
      </c>
      <c r="E141" s="9" t="s">
        <v>1240</v>
      </c>
      <c r="F141">
        <v>2268</v>
      </c>
      <c r="G141" s="11">
        <v>6.1615007993233092E-3</v>
      </c>
      <c r="H141" s="12">
        <v>0.16301498231184755</v>
      </c>
      <c r="I141" t="s">
        <v>1240</v>
      </c>
      <c r="J141">
        <v>12</v>
      </c>
      <c r="K141" s="11">
        <f t="shared" si="12"/>
        <v>1.2431155079799796E-3</v>
      </c>
      <c r="L141" s="12">
        <f t="shared" si="17"/>
        <v>0.5264594176295212</v>
      </c>
      <c r="M141" t="str">
        <f t="shared" si="13"/>
        <v>A</v>
      </c>
      <c r="N141" t="str">
        <f t="shared" si="14"/>
        <v>AAA</v>
      </c>
      <c r="O141" s="11">
        <f>VLOOKUP(A141,XYZ!A140:G943,2,FALSE)</f>
        <v>1.3693063937629151</v>
      </c>
      <c r="P141" t="str">
        <f t="shared" si="15"/>
        <v>Z</v>
      </c>
      <c r="Q141" t="str">
        <f t="shared" si="16"/>
        <v>AAAZ</v>
      </c>
    </row>
    <row r="142" spans="1:17" x14ac:dyDescent="0.15">
      <c r="A142" t="s">
        <v>479</v>
      </c>
      <c r="B142" s="9">
        <v>2</v>
      </c>
      <c r="C142" s="13">
        <v>0</v>
      </c>
      <c r="D142" s="13">
        <v>0.67</v>
      </c>
      <c r="E142" s="9" t="s">
        <v>1240</v>
      </c>
      <c r="F142">
        <v>1842</v>
      </c>
      <c r="G142" s="11">
        <v>5.004181866117079E-3</v>
      </c>
      <c r="H142" s="12">
        <v>0.2072919399958737</v>
      </c>
      <c r="I142" t="s">
        <v>1240</v>
      </c>
      <c r="J142">
        <v>12</v>
      </c>
      <c r="K142" s="11">
        <f t="shared" si="12"/>
        <v>1.2431155079799796E-3</v>
      </c>
      <c r="L142" s="12">
        <f t="shared" si="17"/>
        <v>0.52770253313750115</v>
      </c>
      <c r="M142" t="str">
        <f t="shared" si="13"/>
        <v>A</v>
      </c>
      <c r="N142" t="str">
        <f t="shared" si="14"/>
        <v>AAA</v>
      </c>
      <c r="O142" s="11">
        <f>VLOOKUP(A142,XYZ!A141:G944,2,FALSE)</f>
        <v>2.2360679774997894</v>
      </c>
      <c r="P142" t="str">
        <f t="shared" si="15"/>
        <v>Z</v>
      </c>
      <c r="Q142" t="str">
        <f t="shared" si="16"/>
        <v>AAAZ</v>
      </c>
    </row>
    <row r="143" spans="1:17" x14ac:dyDescent="0.15">
      <c r="A143" t="s">
        <v>435</v>
      </c>
      <c r="B143" s="9">
        <v>2</v>
      </c>
      <c r="C143" s="13">
        <v>0</v>
      </c>
      <c r="D143" s="13">
        <v>0.62</v>
      </c>
      <c r="E143" s="9" t="s">
        <v>1240</v>
      </c>
      <c r="F143">
        <v>1787</v>
      </c>
      <c r="G143" s="11">
        <v>4.8547627550223783E-3</v>
      </c>
      <c r="H143" s="12">
        <v>0.21706938328368877</v>
      </c>
      <c r="I143" t="s">
        <v>1240</v>
      </c>
      <c r="J143">
        <v>12</v>
      </c>
      <c r="K143" s="11">
        <f t="shared" si="12"/>
        <v>1.2431155079799796E-3</v>
      </c>
      <c r="L143" s="12">
        <f t="shared" si="17"/>
        <v>0.5289456486454811</v>
      </c>
      <c r="M143" t="str">
        <f t="shared" si="13"/>
        <v>A</v>
      </c>
      <c r="N143" t="str">
        <f t="shared" si="14"/>
        <v>AAA</v>
      </c>
      <c r="O143" s="11">
        <f>VLOOKUP(A143,XYZ!A142:G945,2,FALSE)</f>
        <v>1.3693063937629151</v>
      </c>
      <c r="P143" t="str">
        <f t="shared" si="15"/>
        <v>Z</v>
      </c>
      <c r="Q143" t="str">
        <f t="shared" si="16"/>
        <v>AAAZ</v>
      </c>
    </row>
    <row r="144" spans="1:17" x14ac:dyDescent="0.15">
      <c r="A144" t="s">
        <v>1175</v>
      </c>
      <c r="B144" s="9">
        <v>2</v>
      </c>
      <c r="C144" s="13">
        <v>0</v>
      </c>
      <c r="D144" s="13">
        <v>0.65</v>
      </c>
      <c r="E144" s="9" t="s">
        <v>1240</v>
      </c>
      <c r="F144">
        <v>1764</v>
      </c>
      <c r="G144" s="11">
        <v>4.7922783994736855E-3</v>
      </c>
      <c r="H144" s="12">
        <v>0.22186166168316246</v>
      </c>
      <c r="I144" t="s">
        <v>1240</v>
      </c>
      <c r="J144">
        <v>12</v>
      </c>
      <c r="K144" s="11">
        <f t="shared" si="12"/>
        <v>1.2431155079799796E-3</v>
      </c>
      <c r="L144" s="12">
        <f t="shared" si="17"/>
        <v>0.53018876415346106</v>
      </c>
      <c r="M144" t="str">
        <f t="shared" si="13"/>
        <v>A</v>
      </c>
      <c r="N144" t="str">
        <f t="shared" si="14"/>
        <v>AAA</v>
      </c>
      <c r="O144" s="11">
        <f>VLOOKUP(A144,XYZ!A143:G946,2,FALSE)</f>
        <v>2.2360679774997894</v>
      </c>
      <c r="P144" t="str">
        <f t="shared" si="15"/>
        <v>Z</v>
      </c>
      <c r="Q144" t="str">
        <f t="shared" si="16"/>
        <v>AAAZ</v>
      </c>
    </row>
    <row r="145" spans="1:17" x14ac:dyDescent="0.15">
      <c r="A145" t="s">
        <v>342</v>
      </c>
      <c r="B145" s="9">
        <v>2</v>
      </c>
      <c r="C145" s="13">
        <v>0</v>
      </c>
      <c r="D145" s="13">
        <v>0.6</v>
      </c>
      <c r="E145" s="9" t="s">
        <v>1240</v>
      </c>
      <c r="F145">
        <v>1746</v>
      </c>
      <c r="G145" s="11">
        <v>4.7433775994790558E-3</v>
      </c>
      <c r="H145" s="12">
        <v>0.23135928372656381</v>
      </c>
      <c r="I145" t="s">
        <v>1240</v>
      </c>
      <c r="J145">
        <v>12</v>
      </c>
      <c r="K145" s="11">
        <f t="shared" si="12"/>
        <v>1.2431155079799796E-3</v>
      </c>
      <c r="L145" s="12">
        <f t="shared" si="17"/>
        <v>0.53143187966144101</v>
      </c>
      <c r="M145" t="str">
        <f t="shared" si="13"/>
        <v>A</v>
      </c>
      <c r="N145" t="str">
        <f t="shared" si="14"/>
        <v>AAA</v>
      </c>
      <c r="O145" s="11">
        <f>VLOOKUP(A145,XYZ!A144:G947,2,FALSE)</f>
        <v>1.3693063937629151</v>
      </c>
      <c r="P145" t="str">
        <f t="shared" si="15"/>
        <v>Z</v>
      </c>
      <c r="Q145" t="str">
        <f t="shared" si="16"/>
        <v>AAAZ</v>
      </c>
    </row>
    <row r="146" spans="1:17" x14ac:dyDescent="0.15">
      <c r="A146" t="s">
        <v>71</v>
      </c>
      <c r="B146" s="9">
        <v>2</v>
      </c>
      <c r="C146" s="13">
        <v>0</v>
      </c>
      <c r="D146" s="13">
        <v>0.68</v>
      </c>
      <c r="E146" s="9" t="s">
        <v>1240</v>
      </c>
      <c r="F146">
        <v>1724</v>
      </c>
      <c r="G146" s="11">
        <v>4.6836099550411755E-3</v>
      </c>
      <c r="H146" s="12">
        <v>0.24073465376997857</v>
      </c>
      <c r="I146" t="s">
        <v>1240</v>
      </c>
      <c r="J146">
        <v>12</v>
      </c>
      <c r="K146" s="11">
        <f t="shared" si="12"/>
        <v>1.2431155079799796E-3</v>
      </c>
      <c r="L146" s="12">
        <f t="shared" si="17"/>
        <v>0.53267499516942096</v>
      </c>
      <c r="M146" t="str">
        <f t="shared" si="13"/>
        <v>A</v>
      </c>
      <c r="N146" t="str">
        <f t="shared" si="14"/>
        <v>AAA</v>
      </c>
      <c r="O146" s="11">
        <f>VLOOKUP(A146,XYZ!A145:G948,2,FALSE)</f>
        <v>2.2360679774997894</v>
      </c>
      <c r="P146" t="str">
        <f t="shared" si="15"/>
        <v>Z</v>
      </c>
      <c r="Q146" t="str">
        <f t="shared" si="16"/>
        <v>AAAZ</v>
      </c>
    </row>
    <row r="147" spans="1:17" x14ac:dyDescent="0.15">
      <c r="A147" t="s">
        <v>66</v>
      </c>
      <c r="B147" s="9">
        <v>2</v>
      </c>
      <c r="C147" s="13">
        <v>0</v>
      </c>
      <c r="D147" s="13">
        <v>0.61</v>
      </c>
      <c r="E147" s="9" t="s">
        <v>1240</v>
      </c>
      <c r="F147">
        <v>1570</v>
      </c>
      <c r="G147" s="11">
        <v>4.2652364439760126E-3</v>
      </c>
      <c r="H147" s="12">
        <v>0.26278891456755649</v>
      </c>
      <c r="I147" t="s">
        <v>1240</v>
      </c>
      <c r="J147">
        <v>12</v>
      </c>
      <c r="K147" s="11">
        <f t="shared" si="12"/>
        <v>1.2431155079799796E-3</v>
      </c>
      <c r="L147" s="12">
        <f t="shared" si="17"/>
        <v>0.53391811067740091</v>
      </c>
      <c r="M147" t="str">
        <f t="shared" si="13"/>
        <v>A</v>
      </c>
      <c r="N147" t="str">
        <f t="shared" si="14"/>
        <v>AAA</v>
      </c>
      <c r="O147" s="11">
        <f>VLOOKUP(A147,XYZ!A146:G949,2,FALSE)</f>
        <v>1.3693063937629151</v>
      </c>
      <c r="P147" t="str">
        <f t="shared" si="15"/>
        <v>Z</v>
      </c>
      <c r="Q147" t="str">
        <f t="shared" si="16"/>
        <v>AAAZ</v>
      </c>
    </row>
    <row r="148" spans="1:17" x14ac:dyDescent="0.15">
      <c r="A148" t="s">
        <v>784</v>
      </c>
      <c r="B148" s="9">
        <v>2</v>
      </c>
      <c r="C148" s="13">
        <v>0</v>
      </c>
      <c r="D148" s="13">
        <v>0.64</v>
      </c>
      <c r="E148" s="9" t="s">
        <v>1240</v>
      </c>
      <c r="F148">
        <v>1463</v>
      </c>
      <c r="G148" s="11">
        <v>3.9745483551190484E-3</v>
      </c>
      <c r="H148" s="12">
        <v>0.2998529653585747</v>
      </c>
      <c r="I148" t="s">
        <v>1240</v>
      </c>
      <c r="J148">
        <v>12</v>
      </c>
      <c r="K148" s="11">
        <f t="shared" si="12"/>
        <v>1.2431155079799796E-3</v>
      </c>
      <c r="L148" s="12">
        <f t="shared" si="17"/>
        <v>0.53516122618538087</v>
      </c>
      <c r="M148" t="str">
        <f t="shared" si="13"/>
        <v>A</v>
      </c>
      <c r="N148" t="str">
        <f t="shared" si="14"/>
        <v>AAA</v>
      </c>
      <c r="O148" s="11">
        <f>VLOOKUP(A148,XYZ!A147:G950,2,FALSE)</f>
        <v>2.2360679774997894</v>
      </c>
      <c r="P148" t="str">
        <f t="shared" si="15"/>
        <v>Z</v>
      </c>
      <c r="Q148" t="str">
        <f t="shared" si="16"/>
        <v>AAAZ</v>
      </c>
    </row>
    <row r="149" spans="1:17" x14ac:dyDescent="0.15">
      <c r="A149" t="s">
        <v>845</v>
      </c>
      <c r="B149" s="9">
        <v>2</v>
      </c>
      <c r="C149" s="13">
        <v>0</v>
      </c>
      <c r="D149" s="13">
        <v>0.66</v>
      </c>
      <c r="E149" s="9" t="s">
        <v>1240</v>
      </c>
      <c r="F149">
        <v>1440</v>
      </c>
      <c r="G149" s="11">
        <v>3.9120639995703557E-3</v>
      </c>
      <c r="H149" s="12">
        <v>0.30770697717993434</v>
      </c>
      <c r="I149" t="s">
        <v>1240</v>
      </c>
      <c r="J149">
        <v>12</v>
      </c>
      <c r="K149" s="11">
        <f t="shared" si="12"/>
        <v>1.2431155079799796E-3</v>
      </c>
      <c r="L149" s="12">
        <f t="shared" si="17"/>
        <v>0.53640434169336082</v>
      </c>
      <c r="M149" t="str">
        <f t="shared" si="13"/>
        <v>A</v>
      </c>
      <c r="N149" t="str">
        <f t="shared" si="14"/>
        <v>AAA</v>
      </c>
      <c r="O149" s="11">
        <f>VLOOKUP(A149,XYZ!A148:G951,2,FALSE)</f>
        <v>1.3693063937629151</v>
      </c>
      <c r="P149" t="str">
        <f t="shared" si="15"/>
        <v>Z</v>
      </c>
      <c r="Q149" t="str">
        <f t="shared" si="16"/>
        <v>AAAZ</v>
      </c>
    </row>
    <row r="150" spans="1:17" x14ac:dyDescent="0.15">
      <c r="A150" t="s">
        <v>530</v>
      </c>
      <c r="B150" s="9">
        <v>2</v>
      </c>
      <c r="C150" s="13">
        <v>0</v>
      </c>
      <c r="D150" s="13">
        <v>0.68</v>
      </c>
      <c r="E150" s="9" t="s">
        <v>1240</v>
      </c>
      <c r="F150">
        <v>1429</v>
      </c>
      <c r="G150" s="11">
        <v>3.8821801773514151E-3</v>
      </c>
      <c r="H150" s="12">
        <v>0.31158915735728576</v>
      </c>
      <c r="I150" t="s">
        <v>1240</v>
      </c>
      <c r="J150">
        <v>12</v>
      </c>
      <c r="K150" s="11">
        <f t="shared" si="12"/>
        <v>1.2431155079799796E-3</v>
      </c>
      <c r="L150" s="12">
        <f t="shared" si="17"/>
        <v>0.53764745720134077</v>
      </c>
      <c r="M150" t="str">
        <f t="shared" si="13"/>
        <v>A</v>
      </c>
      <c r="N150" t="str">
        <f t="shared" si="14"/>
        <v>AAA</v>
      </c>
      <c r="O150" s="11">
        <f>VLOOKUP(A150,XYZ!A149:G952,2,FALSE)</f>
        <v>1.3693063937629151</v>
      </c>
      <c r="P150" t="str">
        <f t="shared" si="15"/>
        <v>Z</v>
      </c>
      <c r="Q150" t="str">
        <f t="shared" si="16"/>
        <v>AAAZ</v>
      </c>
    </row>
    <row r="151" spans="1:17" x14ac:dyDescent="0.15">
      <c r="A151" t="s">
        <v>162</v>
      </c>
      <c r="B151" s="9">
        <v>2</v>
      </c>
      <c r="C151" s="13">
        <v>0</v>
      </c>
      <c r="D151" s="13">
        <v>0.64</v>
      </c>
      <c r="E151" s="9" t="s">
        <v>1240</v>
      </c>
      <c r="F151">
        <v>1356</v>
      </c>
      <c r="G151" s="11">
        <v>3.6838602662620846E-3</v>
      </c>
      <c r="H151" s="12">
        <v>0.32653650188897754</v>
      </c>
      <c r="I151" t="s">
        <v>1240</v>
      </c>
      <c r="J151">
        <v>12</v>
      </c>
      <c r="K151" s="11">
        <f t="shared" si="12"/>
        <v>1.2431155079799796E-3</v>
      </c>
      <c r="L151" s="12">
        <f t="shared" si="17"/>
        <v>0.53889057270932073</v>
      </c>
      <c r="M151" t="str">
        <f t="shared" si="13"/>
        <v>A</v>
      </c>
      <c r="N151" t="str">
        <f t="shared" si="14"/>
        <v>AAA</v>
      </c>
      <c r="O151" s="11">
        <f>VLOOKUP(A151,XYZ!A150:G953,2,FALSE)</f>
        <v>1.3693063937629151</v>
      </c>
      <c r="P151" t="str">
        <f t="shared" si="15"/>
        <v>Z</v>
      </c>
      <c r="Q151" t="str">
        <f t="shared" si="16"/>
        <v>AAAZ</v>
      </c>
    </row>
    <row r="152" spans="1:17" x14ac:dyDescent="0.15">
      <c r="A152" t="s">
        <v>336</v>
      </c>
      <c r="B152" s="9">
        <v>2</v>
      </c>
      <c r="C152" s="13">
        <v>0</v>
      </c>
      <c r="D152" s="13">
        <v>0.56000000000000005</v>
      </c>
      <c r="E152" s="9" t="s">
        <v>1240</v>
      </c>
      <c r="F152">
        <v>1314</v>
      </c>
      <c r="G152" s="11">
        <v>3.5697583996079493E-3</v>
      </c>
      <c r="H152" s="12">
        <v>0.33735987895445552</v>
      </c>
      <c r="I152" t="s">
        <v>1240</v>
      </c>
      <c r="J152">
        <v>12</v>
      </c>
      <c r="K152" s="11">
        <f t="shared" si="12"/>
        <v>1.2431155079799796E-3</v>
      </c>
      <c r="L152" s="12">
        <f t="shared" si="17"/>
        <v>0.54013368821730068</v>
      </c>
      <c r="M152" t="str">
        <f t="shared" si="13"/>
        <v>A</v>
      </c>
      <c r="N152" t="str">
        <f t="shared" si="14"/>
        <v>AAA</v>
      </c>
      <c r="O152" s="11">
        <f>VLOOKUP(A152,XYZ!A151:G954,2,FALSE)</f>
        <v>2.2360679774997894</v>
      </c>
      <c r="P152" t="str">
        <f t="shared" si="15"/>
        <v>Z</v>
      </c>
      <c r="Q152" t="str">
        <f t="shared" si="16"/>
        <v>AAAZ</v>
      </c>
    </row>
    <row r="153" spans="1:17" x14ac:dyDescent="0.15">
      <c r="A153" t="s">
        <v>857</v>
      </c>
      <c r="B153" s="9">
        <v>2</v>
      </c>
      <c r="C153" s="13">
        <v>0</v>
      </c>
      <c r="D153" s="13">
        <v>0.57999999999999996</v>
      </c>
      <c r="E153" s="9" t="s">
        <v>1240</v>
      </c>
      <c r="F153">
        <v>1280</v>
      </c>
      <c r="G153" s="11">
        <v>3.477390221840316E-3</v>
      </c>
      <c r="H153" s="12">
        <v>0.34083726917629581</v>
      </c>
      <c r="I153" t="s">
        <v>1240</v>
      </c>
      <c r="J153">
        <v>12</v>
      </c>
      <c r="K153" s="11">
        <f t="shared" si="12"/>
        <v>1.2431155079799796E-3</v>
      </c>
      <c r="L153" s="12">
        <f t="shared" si="17"/>
        <v>0.54137680372528063</v>
      </c>
      <c r="M153" t="str">
        <f t="shared" si="13"/>
        <v>A</v>
      </c>
      <c r="N153" t="str">
        <f t="shared" si="14"/>
        <v>AAA</v>
      </c>
      <c r="O153" s="11">
        <f>VLOOKUP(A153,XYZ!A152:G955,2,FALSE)</f>
        <v>1.3693063937629151</v>
      </c>
      <c r="P153" t="str">
        <f t="shared" si="15"/>
        <v>Z</v>
      </c>
      <c r="Q153" t="str">
        <f t="shared" si="16"/>
        <v>AAAZ</v>
      </c>
    </row>
    <row r="154" spans="1:17" x14ac:dyDescent="0.15">
      <c r="A154" t="s">
        <v>490</v>
      </c>
      <c r="B154" s="9">
        <v>2</v>
      </c>
      <c r="C154" s="13">
        <v>0</v>
      </c>
      <c r="D154" s="13">
        <v>0.62</v>
      </c>
      <c r="E154" s="9" t="s">
        <v>1240</v>
      </c>
      <c r="F154">
        <v>1198</v>
      </c>
      <c r="G154" s="11">
        <v>3.2546199107536707E-3</v>
      </c>
      <c r="H154" s="12">
        <v>0.36766207468446083</v>
      </c>
      <c r="I154" t="s">
        <v>1240</v>
      </c>
      <c r="J154">
        <v>12</v>
      </c>
      <c r="K154" s="11">
        <f t="shared" si="12"/>
        <v>1.2431155079799796E-3</v>
      </c>
      <c r="L154" s="12">
        <f t="shared" si="17"/>
        <v>0.54261991923326058</v>
      </c>
      <c r="M154" t="str">
        <f t="shared" si="13"/>
        <v>A</v>
      </c>
      <c r="N154" t="str">
        <f t="shared" si="14"/>
        <v>AAA</v>
      </c>
      <c r="O154" s="11">
        <f>VLOOKUP(A154,XYZ!A153:G956,2,FALSE)</f>
        <v>2.2360679774997894</v>
      </c>
      <c r="P154" t="str">
        <f t="shared" si="15"/>
        <v>Z</v>
      </c>
      <c r="Q154" t="str">
        <f t="shared" si="16"/>
        <v>AAAZ</v>
      </c>
    </row>
    <row r="155" spans="1:17" x14ac:dyDescent="0.15">
      <c r="A155" t="s">
        <v>1153</v>
      </c>
      <c r="B155" s="9">
        <v>2</v>
      </c>
      <c r="C155" s="13">
        <v>0</v>
      </c>
      <c r="D155" s="13">
        <v>0.56000000000000005</v>
      </c>
      <c r="E155" s="9" t="s">
        <v>1240</v>
      </c>
      <c r="F155">
        <v>1160</v>
      </c>
      <c r="G155" s="11">
        <v>3.1513848885427864E-3</v>
      </c>
      <c r="H155" s="12">
        <v>0.3708134595730036</v>
      </c>
      <c r="I155" t="s">
        <v>1240</v>
      </c>
      <c r="J155">
        <v>12</v>
      </c>
      <c r="K155" s="11">
        <f t="shared" si="12"/>
        <v>1.2431155079799796E-3</v>
      </c>
      <c r="L155" s="12">
        <f t="shared" si="17"/>
        <v>0.54386303474124054</v>
      </c>
      <c r="M155" t="str">
        <f t="shared" si="13"/>
        <v>A</v>
      </c>
      <c r="N155" t="str">
        <f t="shared" si="14"/>
        <v>AAA</v>
      </c>
      <c r="O155" s="11">
        <f>VLOOKUP(A155,XYZ!A154:G957,2,FALSE)</f>
        <v>2.2360679774997894</v>
      </c>
      <c r="P155" t="str">
        <f t="shared" si="15"/>
        <v>Z</v>
      </c>
      <c r="Q155" t="str">
        <f t="shared" si="16"/>
        <v>AAAZ</v>
      </c>
    </row>
    <row r="156" spans="1:17" x14ac:dyDescent="0.15">
      <c r="A156" t="s">
        <v>848</v>
      </c>
      <c r="B156" s="9">
        <v>2</v>
      </c>
      <c r="C156" s="13">
        <v>0</v>
      </c>
      <c r="D156" s="13">
        <v>0.56000000000000005</v>
      </c>
      <c r="E156" s="9" t="s">
        <v>1240</v>
      </c>
      <c r="F156">
        <v>1114</v>
      </c>
      <c r="G156" s="11">
        <v>3.0264161774454E-3</v>
      </c>
      <c r="H156" s="12">
        <v>0.39550564685918066</v>
      </c>
      <c r="I156" t="s">
        <v>1240</v>
      </c>
      <c r="J156">
        <v>12</v>
      </c>
      <c r="K156" s="11">
        <f t="shared" si="12"/>
        <v>1.2431155079799796E-3</v>
      </c>
      <c r="L156" s="12">
        <f t="shared" si="17"/>
        <v>0.54510615024922049</v>
      </c>
      <c r="M156" t="str">
        <f t="shared" si="13"/>
        <v>A</v>
      </c>
      <c r="N156" t="str">
        <f t="shared" si="14"/>
        <v>AAA</v>
      </c>
      <c r="O156" s="11">
        <f>VLOOKUP(A156,XYZ!A155:G958,2,FALSE)</f>
        <v>1.3693063937629151</v>
      </c>
      <c r="P156" t="str">
        <f t="shared" si="15"/>
        <v>Z</v>
      </c>
      <c r="Q156" t="str">
        <f t="shared" si="16"/>
        <v>AAAZ</v>
      </c>
    </row>
    <row r="157" spans="1:17" x14ac:dyDescent="0.15">
      <c r="A157" t="s">
        <v>692</v>
      </c>
      <c r="B157" s="9">
        <v>2</v>
      </c>
      <c r="C157" s="13">
        <v>0</v>
      </c>
      <c r="D157" s="13">
        <v>0.59</v>
      </c>
      <c r="E157" s="9" t="s">
        <v>1240</v>
      </c>
      <c r="F157">
        <v>998</v>
      </c>
      <c r="G157" s="11">
        <v>2.7112776885911214E-3</v>
      </c>
      <c r="H157" s="12">
        <v>0.43006945669539981</v>
      </c>
      <c r="I157" t="s">
        <v>1240</v>
      </c>
      <c r="J157">
        <v>12</v>
      </c>
      <c r="K157" s="11">
        <f t="shared" si="12"/>
        <v>1.2431155079799796E-3</v>
      </c>
      <c r="L157" s="12">
        <f t="shared" si="17"/>
        <v>0.54634926575720044</v>
      </c>
      <c r="M157" t="str">
        <f t="shared" si="13"/>
        <v>A</v>
      </c>
      <c r="N157" t="str">
        <f t="shared" si="14"/>
        <v>AAA</v>
      </c>
      <c r="O157" s="11">
        <f>VLOOKUP(A157,XYZ!A156:G959,2,FALSE)</f>
        <v>2.2360679774997894</v>
      </c>
      <c r="P157" t="str">
        <f t="shared" si="15"/>
        <v>Z</v>
      </c>
      <c r="Q157" t="str">
        <f t="shared" si="16"/>
        <v>AAAZ</v>
      </c>
    </row>
    <row r="158" spans="1:17" x14ac:dyDescent="0.15">
      <c r="A158" t="s">
        <v>296</v>
      </c>
      <c r="B158" s="9">
        <v>2</v>
      </c>
      <c r="C158" s="13">
        <v>0</v>
      </c>
      <c r="D158" s="13">
        <v>0.56000000000000005</v>
      </c>
      <c r="E158" s="9" t="s">
        <v>1240</v>
      </c>
      <c r="F158">
        <v>986</v>
      </c>
      <c r="G158" s="11">
        <v>2.6786771552613684E-3</v>
      </c>
      <c r="H158" s="12">
        <v>0.44084184109332786</v>
      </c>
      <c r="I158" t="s">
        <v>1240</v>
      </c>
      <c r="J158">
        <v>12</v>
      </c>
      <c r="K158" s="11">
        <f t="shared" si="12"/>
        <v>1.2431155079799796E-3</v>
      </c>
      <c r="L158" s="12">
        <f t="shared" si="17"/>
        <v>0.54759238126518039</v>
      </c>
      <c r="M158" t="str">
        <f t="shared" si="13"/>
        <v>A</v>
      </c>
      <c r="N158" t="str">
        <f t="shared" si="14"/>
        <v>AAA</v>
      </c>
      <c r="O158" s="11">
        <f>VLOOKUP(A158,XYZ!A157:G960,2,FALSE)</f>
        <v>1.3693063937629151</v>
      </c>
      <c r="P158" t="str">
        <f t="shared" si="15"/>
        <v>Z</v>
      </c>
      <c r="Q158" t="str">
        <f t="shared" si="16"/>
        <v>AAAZ</v>
      </c>
    </row>
    <row r="159" spans="1:17" x14ac:dyDescent="0.15">
      <c r="A159" t="s">
        <v>130</v>
      </c>
      <c r="B159" s="9">
        <v>2</v>
      </c>
      <c r="C159" s="13">
        <v>0</v>
      </c>
      <c r="D159" s="13">
        <v>0.56999999999999995</v>
      </c>
      <c r="E159" s="9" t="s">
        <v>1240</v>
      </c>
      <c r="F159">
        <v>952</v>
      </c>
      <c r="G159" s="11">
        <v>2.5863089774937347E-3</v>
      </c>
      <c r="H159" s="12">
        <v>0.44602260918164777</v>
      </c>
      <c r="I159" t="s">
        <v>1240</v>
      </c>
      <c r="J159">
        <v>12</v>
      </c>
      <c r="K159" s="11">
        <f t="shared" si="12"/>
        <v>1.2431155079799796E-3</v>
      </c>
      <c r="L159" s="12">
        <f t="shared" si="17"/>
        <v>0.54883549677316035</v>
      </c>
      <c r="M159" t="str">
        <f t="shared" si="13"/>
        <v>A</v>
      </c>
      <c r="N159" t="str">
        <f t="shared" si="14"/>
        <v>AAA</v>
      </c>
      <c r="O159" s="11">
        <f>VLOOKUP(A159,XYZ!A158:G961,2,FALSE)</f>
        <v>1.3693063937629151</v>
      </c>
      <c r="P159" t="str">
        <f t="shared" si="15"/>
        <v>Z</v>
      </c>
      <c r="Q159" t="str">
        <f t="shared" si="16"/>
        <v>AAAZ</v>
      </c>
    </row>
    <row r="160" spans="1:17" x14ac:dyDescent="0.15">
      <c r="A160" t="s">
        <v>558</v>
      </c>
      <c r="B160" s="9">
        <v>2</v>
      </c>
      <c r="C160" s="13">
        <v>0</v>
      </c>
      <c r="D160" s="13">
        <v>0.62</v>
      </c>
      <c r="E160" s="9" t="s">
        <v>1240</v>
      </c>
      <c r="F160">
        <v>949</v>
      </c>
      <c r="G160" s="11">
        <v>2.5781588441612965E-3</v>
      </c>
      <c r="H160" s="12">
        <v>0.44860076802580906</v>
      </c>
      <c r="I160" t="s">
        <v>1240</v>
      </c>
      <c r="J160">
        <v>12</v>
      </c>
      <c r="K160" s="11">
        <f t="shared" si="12"/>
        <v>1.2431155079799796E-3</v>
      </c>
      <c r="L160" s="12">
        <f t="shared" si="17"/>
        <v>0.5500786122811403</v>
      </c>
      <c r="M160" t="str">
        <f t="shared" si="13"/>
        <v>A</v>
      </c>
      <c r="N160" t="str">
        <f t="shared" si="14"/>
        <v>AAA</v>
      </c>
      <c r="O160" s="11">
        <f>VLOOKUP(A160,XYZ!A159:G962,2,FALSE)</f>
        <v>1.3693063937629151</v>
      </c>
      <c r="P160" t="str">
        <f t="shared" si="15"/>
        <v>Z</v>
      </c>
      <c r="Q160" t="str">
        <f t="shared" si="16"/>
        <v>AAAZ</v>
      </c>
    </row>
    <row r="161" spans="1:17" x14ac:dyDescent="0.15">
      <c r="A161" t="s">
        <v>902</v>
      </c>
      <c r="B161" s="9">
        <v>2</v>
      </c>
      <c r="C161" s="13">
        <v>0</v>
      </c>
      <c r="D161" s="13">
        <v>0.55000000000000004</v>
      </c>
      <c r="E161" s="9" t="s">
        <v>1240</v>
      </c>
      <c r="F161">
        <v>846</v>
      </c>
      <c r="G161" s="11">
        <v>2.2983375997475838E-3</v>
      </c>
      <c r="H161" s="12">
        <v>0.480325162022325</v>
      </c>
      <c r="I161" t="s">
        <v>1240</v>
      </c>
      <c r="J161">
        <v>12</v>
      </c>
      <c r="K161" s="11">
        <f t="shared" si="12"/>
        <v>1.2431155079799796E-3</v>
      </c>
      <c r="L161" s="12">
        <f t="shared" si="17"/>
        <v>0.55132172778912025</v>
      </c>
      <c r="M161" t="str">
        <f t="shared" si="13"/>
        <v>A</v>
      </c>
      <c r="N161" t="str">
        <f t="shared" si="14"/>
        <v>AAA</v>
      </c>
      <c r="O161" s="11">
        <f>VLOOKUP(A161,XYZ!A160:G963,2,FALSE)</f>
        <v>1.3693063937629151</v>
      </c>
      <c r="P161" t="str">
        <f t="shared" si="15"/>
        <v>Z</v>
      </c>
      <c r="Q161" t="str">
        <f t="shared" si="16"/>
        <v>AAAZ</v>
      </c>
    </row>
    <row r="162" spans="1:17" x14ac:dyDescent="0.15">
      <c r="A162" t="s">
        <v>40</v>
      </c>
      <c r="B162" s="9">
        <v>2</v>
      </c>
      <c r="C162" s="13">
        <v>0</v>
      </c>
      <c r="D162" s="13">
        <v>0.53</v>
      </c>
      <c r="E162" s="9" t="s">
        <v>1240</v>
      </c>
      <c r="F162">
        <v>831</v>
      </c>
      <c r="G162" s="11">
        <v>2.2575869330853926E-3</v>
      </c>
      <c r="H162" s="12">
        <v>0.48485120273293902</v>
      </c>
      <c r="I162" t="s">
        <v>1240</v>
      </c>
      <c r="J162">
        <v>12</v>
      </c>
      <c r="K162" s="11">
        <f t="shared" si="12"/>
        <v>1.2431155079799796E-3</v>
      </c>
      <c r="L162" s="12">
        <f t="shared" si="17"/>
        <v>0.55256484329710021</v>
      </c>
      <c r="M162" t="str">
        <f t="shared" si="13"/>
        <v>A</v>
      </c>
      <c r="N162" t="str">
        <f t="shared" si="14"/>
        <v>AAA</v>
      </c>
      <c r="O162" s="11">
        <f>VLOOKUP(A162,XYZ!A161:G964,2,FALSE)</f>
        <v>1.3693063937629151</v>
      </c>
      <c r="P162" t="str">
        <f t="shared" si="15"/>
        <v>Z</v>
      </c>
      <c r="Q162" t="str">
        <f t="shared" si="16"/>
        <v>AAAZ</v>
      </c>
    </row>
    <row r="163" spans="1:17" x14ac:dyDescent="0.15">
      <c r="A163" t="s">
        <v>993</v>
      </c>
      <c r="B163" s="9">
        <v>2</v>
      </c>
      <c r="C163" s="13">
        <v>0</v>
      </c>
      <c r="D163" s="13">
        <v>0.54</v>
      </c>
      <c r="E163" s="9" t="s">
        <v>1240</v>
      </c>
      <c r="F163">
        <v>798</v>
      </c>
      <c r="G163" s="11">
        <v>2.1679354664285717E-3</v>
      </c>
      <c r="H163" s="12">
        <v>0.49147997784332209</v>
      </c>
      <c r="I163" t="s">
        <v>1240</v>
      </c>
      <c r="J163">
        <v>12</v>
      </c>
      <c r="K163" s="11">
        <f t="shared" si="12"/>
        <v>1.2431155079799796E-3</v>
      </c>
      <c r="L163" s="12">
        <f t="shared" si="17"/>
        <v>0.55380795880508016</v>
      </c>
      <c r="M163" t="str">
        <f t="shared" si="13"/>
        <v>A</v>
      </c>
      <c r="N163" t="str">
        <f t="shared" si="14"/>
        <v>AAA</v>
      </c>
      <c r="O163" s="11">
        <f>VLOOKUP(A163,XYZ!A162:G965,2,FALSE)</f>
        <v>2.2360679774997894</v>
      </c>
      <c r="P163" t="str">
        <f t="shared" si="15"/>
        <v>Z</v>
      </c>
      <c r="Q163" t="str">
        <f t="shared" si="16"/>
        <v>AAAZ</v>
      </c>
    </row>
    <row r="164" spans="1:17" x14ac:dyDescent="0.15">
      <c r="A164" t="s">
        <v>881</v>
      </c>
      <c r="B164" s="9">
        <v>2</v>
      </c>
      <c r="C164" s="13">
        <v>0</v>
      </c>
      <c r="D164" s="13">
        <v>0.62</v>
      </c>
      <c r="E164" s="9" t="s">
        <v>1240</v>
      </c>
      <c r="F164">
        <v>749</v>
      </c>
      <c r="G164" s="11">
        <v>2.0348166219987473E-3</v>
      </c>
      <c r="H164" s="12">
        <v>0.51045892164199802</v>
      </c>
      <c r="I164" t="s">
        <v>1240</v>
      </c>
      <c r="J164">
        <v>12</v>
      </c>
      <c r="K164" s="11">
        <f t="shared" si="12"/>
        <v>1.2431155079799796E-3</v>
      </c>
      <c r="L164" s="12">
        <f t="shared" si="17"/>
        <v>0.55505107431306011</v>
      </c>
      <c r="M164" t="str">
        <f t="shared" si="13"/>
        <v>A</v>
      </c>
      <c r="N164" t="str">
        <f t="shared" si="14"/>
        <v>AAA</v>
      </c>
      <c r="O164" s="11">
        <f>VLOOKUP(A164,XYZ!A163:G966,2,FALSE)</f>
        <v>1.3693063937629151</v>
      </c>
      <c r="P164" t="str">
        <f t="shared" si="15"/>
        <v>Z</v>
      </c>
      <c r="Q164" t="str">
        <f t="shared" si="16"/>
        <v>AAAZ</v>
      </c>
    </row>
    <row r="165" spans="1:17" x14ac:dyDescent="0.15">
      <c r="A165" t="s">
        <v>875</v>
      </c>
      <c r="B165" s="9">
        <v>2</v>
      </c>
      <c r="C165" s="13">
        <v>0</v>
      </c>
      <c r="D165" s="13">
        <v>0.63</v>
      </c>
      <c r="E165" s="9" t="s">
        <v>1240</v>
      </c>
      <c r="F165">
        <v>730</v>
      </c>
      <c r="G165" s="11">
        <v>1.9831991108933051E-3</v>
      </c>
      <c r="H165" s="12">
        <v>0.51845420244111995</v>
      </c>
      <c r="I165" t="s">
        <v>1240</v>
      </c>
      <c r="J165">
        <v>12</v>
      </c>
      <c r="K165" s="11">
        <f t="shared" si="12"/>
        <v>1.2431155079799796E-3</v>
      </c>
      <c r="L165" s="12">
        <f t="shared" si="17"/>
        <v>0.55629418982104006</v>
      </c>
      <c r="M165" t="str">
        <f t="shared" si="13"/>
        <v>A</v>
      </c>
      <c r="N165" t="str">
        <f t="shared" si="14"/>
        <v>AAA</v>
      </c>
      <c r="O165" s="11">
        <f>VLOOKUP(A165,XYZ!A164:G967,2,FALSE)</f>
        <v>1.3693063937629151</v>
      </c>
      <c r="P165" t="str">
        <f t="shared" si="15"/>
        <v>Z</v>
      </c>
      <c r="Q165" t="str">
        <f t="shared" si="16"/>
        <v>AAAZ</v>
      </c>
    </row>
    <row r="166" spans="1:17" x14ac:dyDescent="0.15">
      <c r="A166" t="s">
        <v>280</v>
      </c>
      <c r="B166" s="9">
        <v>2</v>
      </c>
      <c r="C166" s="13">
        <v>0</v>
      </c>
      <c r="D166" s="13">
        <v>0.59</v>
      </c>
      <c r="E166" s="9" t="s">
        <v>1240</v>
      </c>
      <c r="F166">
        <v>717</v>
      </c>
      <c r="G166" s="11">
        <v>1.9478818664527395E-3</v>
      </c>
      <c r="H166" s="12">
        <v>0.53606664061147691</v>
      </c>
      <c r="I166" t="s">
        <v>1240</v>
      </c>
      <c r="J166">
        <v>12</v>
      </c>
      <c r="K166" s="11">
        <f t="shared" si="12"/>
        <v>1.2431155079799796E-3</v>
      </c>
      <c r="L166" s="12">
        <f t="shared" si="17"/>
        <v>0.55753730532902002</v>
      </c>
      <c r="M166" t="str">
        <f t="shared" si="13"/>
        <v>A</v>
      </c>
      <c r="N166" t="str">
        <f t="shared" si="14"/>
        <v>AAA</v>
      </c>
      <c r="O166" s="11">
        <f>VLOOKUP(A166,XYZ!A165:G968,2,FALSE)</f>
        <v>1.3693063937629151</v>
      </c>
      <c r="P166" t="str">
        <f t="shared" si="15"/>
        <v>Z</v>
      </c>
      <c r="Q166" t="str">
        <f t="shared" si="16"/>
        <v>AAAZ</v>
      </c>
    </row>
    <row r="167" spans="1:17" x14ac:dyDescent="0.15">
      <c r="A167" t="s">
        <v>702</v>
      </c>
      <c r="B167" s="9">
        <v>2</v>
      </c>
      <c r="C167" s="13">
        <v>0</v>
      </c>
      <c r="D167" s="13">
        <v>0.67</v>
      </c>
      <c r="E167" s="9" t="s">
        <v>1240</v>
      </c>
      <c r="F167">
        <v>702</v>
      </c>
      <c r="G167" s="11">
        <v>1.9071311997905481E-3</v>
      </c>
      <c r="H167" s="12">
        <v>0.54183150158862159</v>
      </c>
      <c r="I167" t="s">
        <v>1240</v>
      </c>
      <c r="J167">
        <v>12</v>
      </c>
      <c r="K167" s="11">
        <f t="shared" si="12"/>
        <v>1.2431155079799796E-3</v>
      </c>
      <c r="L167" s="12">
        <f t="shared" si="17"/>
        <v>0.55878042083699997</v>
      </c>
      <c r="M167" t="str">
        <f t="shared" si="13"/>
        <v>A</v>
      </c>
      <c r="N167" t="str">
        <f t="shared" si="14"/>
        <v>AAA</v>
      </c>
      <c r="O167" s="11">
        <f>VLOOKUP(A167,XYZ!A166:G969,2,FALSE)</f>
        <v>1.3693063937629151</v>
      </c>
      <c r="P167" t="str">
        <f t="shared" si="15"/>
        <v>Z</v>
      </c>
      <c r="Q167" t="str">
        <f t="shared" si="16"/>
        <v>AAAZ</v>
      </c>
    </row>
    <row r="168" spans="1:17" x14ac:dyDescent="0.15">
      <c r="A168" t="s">
        <v>83</v>
      </c>
      <c r="B168" s="9">
        <v>2</v>
      </c>
      <c r="C168" s="13">
        <v>0</v>
      </c>
      <c r="D168" s="13">
        <v>0.68</v>
      </c>
      <c r="E168" s="9" t="s">
        <v>1240</v>
      </c>
      <c r="F168">
        <v>672</v>
      </c>
      <c r="G168" s="11">
        <v>1.8256298664661658E-3</v>
      </c>
      <c r="H168" s="12">
        <v>0.55487080936874389</v>
      </c>
      <c r="I168" t="s">
        <v>1240</v>
      </c>
      <c r="J168">
        <v>12</v>
      </c>
      <c r="K168" s="11">
        <f t="shared" si="12"/>
        <v>1.2431155079799796E-3</v>
      </c>
      <c r="L168" s="12">
        <f t="shared" si="17"/>
        <v>0.56002353634497992</v>
      </c>
      <c r="M168" t="str">
        <f t="shared" si="13"/>
        <v>A</v>
      </c>
      <c r="N168" t="str">
        <f t="shared" si="14"/>
        <v>AAA</v>
      </c>
      <c r="O168" s="11">
        <f>VLOOKUP(A168,XYZ!A167:G970,2,FALSE)</f>
        <v>2.2360679774997894</v>
      </c>
      <c r="P168" t="str">
        <f t="shared" si="15"/>
        <v>Z</v>
      </c>
      <c r="Q168" t="str">
        <f t="shared" si="16"/>
        <v>AAAZ</v>
      </c>
    </row>
    <row r="169" spans="1:17" x14ac:dyDescent="0.15">
      <c r="A169" t="s">
        <v>625</v>
      </c>
      <c r="B169" s="9">
        <v>2</v>
      </c>
      <c r="C169" s="13">
        <v>0</v>
      </c>
      <c r="D169" s="13">
        <v>0.63</v>
      </c>
      <c r="E169" s="9" t="s">
        <v>1240</v>
      </c>
      <c r="F169">
        <v>654</v>
      </c>
      <c r="G169" s="11">
        <v>1.7767290664715363E-3</v>
      </c>
      <c r="H169" s="12">
        <v>0.56740571443403387</v>
      </c>
      <c r="I169" t="s">
        <v>1240</v>
      </c>
      <c r="J169">
        <v>12</v>
      </c>
      <c r="K169" s="11">
        <f t="shared" si="12"/>
        <v>1.2431155079799796E-3</v>
      </c>
      <c r="L169" s="12">
        <f t="shared" si="17"/>
        <v>0.56126665185295987</v>
      </c>
      <c r="M169" t="str">
        <f t="shared" si="13"/>
        <v>A</v>
      </c>
      <c r="N169" t="str">
        <f t="shared" si="14"/>
        <v>AAA</v>
      </c>
      <c r="O169" s="11">
        <f>VLOOKUP(A169,XYZ!A168:G971,2,FALSE)</f>
        <v>2.2360679774997894</v>
      </c>
      <c r="P169" t="str">
        <f t="shared" si="15"/>
        <v>Z</v>
      </c>
      <c r="Q169" t="str">
        <f t="shared" si="16"/>
        <v>AAAZ</v>
      </c>
    </row>
    <row r="170" spans="1:17" x14ac:dyDescent="0.15">
      <c r="A170" t="s">
        <v>242</v>
      </c>
      <c r="B170" s="9">
        <v>2</v>
      </c>
      <c r="C170" s="13">
        <v>0</v>
      </c>
      <c r="D170" s="13">
        <v>0.68</v>
      </c>
      <c r="E170" s="9" t="s">
        <v>1240</v>
      </c>
      <c r="F170">
        <v>606</v>
      </c>
      <c r="G170" s="11">
        <v>1.6463269331525245E-3</v>
      </c>
      <c r="H170" s="12">
        <v>0.60692571096302672</v>
      </c>
      <c r="I170" t="s">
        <v>1240</v>
      </c>
      <c r="J170">
        <v>12</v>
      </c>
      <c r="K170" s="11">
        <f t="shared" si="12"/>
        <v>1.2431155079799796E-3</v>
      </c>
      <c r="L170" s="12">
        <f t="shared" si="17"/>
        <v>0.56250976736093983</v>
      </c>
      <c r="M170" t="str">
        <f t="shared" si="13"/>
        <v>A</v>
      </c>
      <c r="N170" t="str">
        <f t="shared" si="14"/>
        <v>AAA</v>
      </c>
      <c r="O170" s="11">
        <f>VLOOKUP(A170,XYZ!A169:G972,2,FALSE)</f>
        <v>1.3693063937629151</v>
      </c>
      <c r="P170" t="str">
        <f t="shared" si="15"/>
        <v>Z</v>
      </c>
      <c r="Q170" t="str">
        <f t="shared" si="16"/>
        <v>AAAZ</v>
      </c>
    </row>
    <row r="171" spans="1:17" x14ac:dyDescent="0.15">
      <c r="A171" t="s">
        <v>464</v>
      </c>
      <c r="B171" s="9">
        <v>2</v>
      </c>
      <c r="C171" s="13">
        <v>0</v>
      </c>
      <c r="D171" s="13">
        <v>0.56999999999999995</v>
      </c>
      <c r="E171" s="9" t="s">
        <v>1240</v>
      </c>
      <c r="F171">
        <v>591</v>
      </c>
      <c r="G171" s="11">
        <v>1.6055762664903333E-3</v>
      </c>
      <c r="H171" s="12">
        <v>0.6166651202952903</v>
      </c>
      <c r="I171" t="s">
        <v>1240</v>
      </c>
      <c r="J171">
        <v>12</v>
      </c>
      <c r="K171" s="11">
        <f t="shared" si="12"/>
        <v>1.2431155079799796E-3</v>
      </c>
      <c r="L171" s="12">
        <f t="shared" si="17"/>
        <v>0.56375288286891978</v>
      </c>
      <c r="M171" t="str">
        <f t="shared" si="13"/>
        <v>A</v>
      </c>
      <c r="N171" t="str">
        <f t="shared" si="14"/>
        <v>AAA</v>
      </c>
      <c r="O171" s="11">
        <f>VLOOKUP(A171,XYZ!A170:G973,2,FALSE)</f>
        <v>1.3693063937629151</v>
      </c>
      <c r="P171" t="str">
        <f t="shared" si="15"/>
        <v>Z</v>
      </c>
      <c r="Q171" t="str">
        <f t="shared" si="16"/>
        <v>AAAZ</v>
      </c>
    </row>
    <row r="172" spans="1:17" x14ac:dyDescent="0.15">
      <c r="A172" t="s">
        <v>806</v>
      </c>
      <c r="B172" s="9">
        <v>2</v>
      </c>
      <c r="C172" s="13">
        <v>0</v>
      </c>
      <c r="D172" s="13">
        <v>0.62</v>
      </c>
      <c r="E172" s="9" t="s">
        <v>1240</v>
      </c>
      <c r="F172">
        <v>562</v>
      </c>
      <c r="G172" s="11">
        <v>1.5267916442767637E-3</v>
      </c>
      <c r="H172" s="12">
        <v>0.63551094527099838</v>
      </c>
      <c r="I172" t="s">
        <v>1240</v>
      </c>
      <c r="J172">
        <v>12</v>
      </c>
      <c r="K172" s="11">
        <f t="shared" si="12"/>
        <v>1.2431155079799796E-3</v>
      </c>
      <c r="L172" s="12">
        <f t="shared" si="17"/>
        <v>0.56499599837689973</v>
      </c>
      <c r="M172" t="str">
        <f t="shared" si="13"/>
        <v>A</v>
      </c>
      <c r="N172" t="str">
        <f t="shared" si="14"/>
        <v>AAA</v>
      </c>
      <c r="O172" s="11">
        <f>VLOOKUP(A172,XYZ!A171:G974,2,FALSE)</f>
        <v>1.3693063937629151</v>
      </c>
      <c r="P172" t="str">
        <f t="shared" si="15"/>
        <v>Z</v>
      </c>
      <c r="Q172" t="str">
        <f t="shared" si="16"/>
        <v>AAAZ</v>
      </c>
    </row>
    <row r="173" spans="1:17" x14ac:dyDescent="0.15">
      <c r="A173" t="s">
        <v>513</v>
      </c>
      <c r="B173" s="9">
        <v>2</v>
      </c>
      <c r="C173" s="13">
        <v>0</v>
      </c>
      <c r="D173" s="13">
        <v>0.56000000000000005</v>
      </c>
      <c r="E173" s="9" t="s">
        <v>1240</v>
      </c>
      <c r="F173">
        <v>516</v>
      </c>
      <c r="G173" s="11">
        <v>1.4018229331793774E-3</v>
      </c>
      <c r="H173" s="12">
        <v>0.65422792049123424</v>
      </c>
      <c r="I173" t="s">
        <v>1240</v>
      </c>
      <c r="J173">
        <v>12</v>
      </c>
      <c r="K173" s="11">
        <f t="shared" si="12"/>
        <v>1.2431155079799796E-3</v>
      </c>
      <c r="L173" s="12">
        <f t="shared" si="17"/>
        <v>0.56623911388487969</v>
      </c>
      <c r="M173" t="str">
        <f t="shared" si="13"/>
        <v>A</v>
      </c>
      <c r="N173" t="str">
        <f t="shared" si="14"/>
        <v>AAA</v>
      </c>
      <c r="O173" s="11">
        <f>VLOOKUP(A173,XYZ!A172:G975,2,FALSE)</f>
        <v>1.3693063937629151</v>
      </c>
      <c r="P173" t="str">
        <f t="shared" si="15"/>
        <v>Z</v>
      </c>
      <c r="Q173" t="str">
        <f t="shared" si="16"/>
        <v>AAAZ</v>
      </c>
    </row>
    <row r="174" spans="1:17" x14ac:dyDescent="0.15">
      <c r="A174" t="s">
        <v>805</v>
      </c>
      <c r="B174" s="9">
        <v>2</v>
      </c>
      <c r="C174" s="13">
        <v>0</v>
      </c>
      <c r="D174" s="13">
        <v>0.53</v>
      </c>
      <c r="E174" s="9" t="s">
        <v>1240</v>
      </c>
      <c r="F174">
        <v>504</v>
      </c>
      <c r="G174" s="11">
        <v>1.3692223998496243E-3</v>
      </c>
      <c r="H174" s="12">
        <v>0.665288556979859</v>
      </c>
      <c r="I174" t="s">
        <v>1240</v>
      </c>
      <c r="J174">
        <v>12</v>
      </c>
      <c r="K174" s="11">
        <f t="shared" si="12"/>
        <v>1.2431155079799796E-3</v>
      </c>
      <c r="L174" s="12">
        <f t="shared" si="17"/>
        <v>0.56748222939285964</v>
      </c>
      <c r="M174" t="str">
        <f t="shared" si="13"/>
        <v>A</v>
      </c>
      <c r="N174" t="str">
        <f t="shared" si="14"/>
        <v>AAA</v>
      </c>
      <c r="O174" s="11">
        <f>VLOOKUP(A174,XYZ!A173:G976,2,FALSE)</f>
        <v>1.3693063937629151</v>
      </c>
      <c r="P174" t="str">
        <f t="shared" si="15"/>
        <v>Z</v>
      </c>
      <c r="Q174" t="str">
        <f t="shared" si="16"/>
        <v>AAAZ</v>
      </c>
    </row>
    <row r="175" spans="1:17" x14ac:dyDescent="0.15">
      <c r="A175" t="s">
        <v>705</v>
      </c>
      <c r="B175" s="9">
        <v>2</v>
      </c>
      <c r="C175" s="13">
        <v>0</v>
      </c>
      <c r="D175" s="13">
        <v>0.64</v>
      </c>
      <c r="E175" s="9" t="s">
        <v>1240</v>
      </c>
      <c r="F175">
        <v>500</v>
      </c>
      <c r="G175" s="11">
        <v>1.3583555554063733E-3</v>
      </c>
      <c r="H175" s="12">
        <v>0.66937992389905088</v>
      </c>
      <c r="I175" t="s">
        <v>1240</v>
      </c>
      <c r="J175">
        <v>12</v>
      </c>
      <c r="K175" s="11">
        <f t="shared" si="12"/>
        <v>1.2431155079799796E-3</v>
      </c>
      <c r="L175" s="12">
        <f t="shared" si="17"/>
        <v>0.56872534490083959</v>
      </c>
      <c r="M175" t="str">
        <f t="shared" si="13"/>
        <v>A</v>
      </c>
      <c r="N175" t="str">
        <f t="shared" si="14"/>
        <v>AAA</v>
      </c>
      <c r="O175" s="11">
        <f>VLOOKUP(A175,XYZ!A174:G977,2,FALSE)</f>
        <v>1.3693063937629151</v>
      </c>
      <c r="P175" t="str">
        <f t="shared" si="15"/>
        <v>Z</v>
      </c>
      <c r="Q175" t="str">
        <f t="shared" si="16"/>
        <v>AAAZ</v>
      </c>
    </row>
    <row r="176" spans="1:17" x14ac:dyDescent="0.15">
      <c r="A176" t="s">
        <v>794</v>
      </c>
      <c r="B176" s="9">
        <v>2</v>
      </c>
      <c r="C176" s="13">
        <v>0</v>
      </c>
      <c r="D176" s="13">
        <v>0.54</v>
      </c>
      <c r="E176" s="9" t="s">
        <v>1240</v>
      </c>
      <c r="F176">
        <v>488</v>
      </c>
      <c r="G176" s="11">
        <v>1.3257550220766203E-3</v>
      </c>
      <c r="H176" s="12">
        <v>0.68145570478661366</v>
      </c>
      <c r="I176" t="s">
        <v>1240</v>
      </c>
      <c r="J176">
        <v>12</v>
      </c>
      <c r="K176" s="11">
        <f t="shared" si="12"/>
        <v>1.2431155079799796E-3</v>
      </c>
      <c r="L176" s="12">
        <f t="shared" si="17"/>
        <v>0.56996846040881954</v>
      </c>
      <c r="M176" t="str">
        <f t="shared" si="13"/>
        <v>A</v>
      </c>
      <c r="N176" t="str">
        <f t="shared" si="14"/>
        <v>AAA</v>
      </c>
      <c r="O176" s="11">
        <f>VLOOKUP(A176,XYZ!A175:G978,2,FALSE)</f>
        <v>2.2360679774997894</v>
      </c>
      <c r="P176" t="str">
        <f t="shared" si="15"/>
        <v>Z</v>
      </c>
      <c r="Q176" t="str">
        <f t="shared" si="16"/>
        <v>AAAZ</v>
      </c>
    </row>
    <row r="177" spans="1:17" x14ac:dyDescent="0.15">
      <c r="A177" t="s">
        <v>488</v>
      </c>
      <c r="B177" s="9">
        <v>2</v>
      </c>
      <c r="C177" s="13">
        <v>0</v>
      </c>
      <c r="D177" s="13">
        <v>0.66</v>
      </c>
      <c r="E177" s="9" t="s">
        <v>1240</v>
      </c>
      <c r="F177">
        <v>480</v>
      </c>
      <c r="G177" s="11">
        <v>1.3040213331901183E-3</v>
      </c>
      <c r="H177" s="12">
        <v>0.68408004771965869</v>
      </c>
      <c r="I177" t="s">
        <v>1240</v>
      </c>
      <c r="J177">
        <v>12</v>
      </c>
      <c r="K177" s="11">
        <f t="shared" si="12"/>
        <v>1.2431155079799796E-3</v>
      </c>
      <c r="L177" s="12">
        <f t="shared" si="17"/>
        <v>0.5712115759167995</v>
      </c>
      <c r="M177" t="str">
        <f t="shared" si="13"/>
        <v>A</v>
      </c>
      <c r="N177" t="str">
        <f t="shared" si="14"/>
        <v>AAA</v>
      </c>
      <c r="O177" s="11">
        <f>VLOOKUP(A177,XYZ!A176:G979,2,FALSE)</f>
        <v>1.3693063937629151</v>
      </c>
      <c r="P177" t="str">
        <f t="shared" si="15"/>
        <v>Z</v>
      </c>
      <c r="Q177" t="str">
        <f t="shared" si="16"/>
        <v>AAAZ</v>
      </c>
    </row>
    <row r="178" spans="1:17" x14ac:dyDescent="0.15">
      <c r="A178" t="s">
        <v>570</v>
      </c>
      <c r="B178" s="9">
        <v>2</v>
      </c>
      <c r="C178" s="13">
        <v>0</v>
      </c>
      <c r="D178" s="13">
        <v>0.66</v>
      </c>
      <c r="E178" s="9" t="s">
        <v>1240</v>
      </c>
      <c r="F178">
        <v>475</v>
      </c>
      <c r="G178" s="11">
        <v>1.2904377776360547E-3</v>
      </c>
      <c r="H178" s="12">
        <v>0.68666635669715237</v>
      </c>
      <c r="I178" t="s">
        <v>1240</v>
      </c>
      <c r="J178">
        <v>12</v>
      </c>
      <c r="K178" s="11">
        <f t="shared" si="12"/>
        <v>1.2431155079799796E-3</v>
      </c>
      <c r="L178" s="12">
        <f t="shared" si="17"/>
        <v>0.57245469142477945</v>
      </c>
      <c r="M178" t="str">
        <f t="shared" si="13"/>
        <v>A</v>
      </c>
      <c r="N178" t="str">
        <f t="shared" si="14"/>
        <v>AAA</v>
      </c>
      <c r="O178" s="11">
        <f>VLOOKUP(A178,XYZ!A177:G980,2,FALSE)</f>
        <v>1.3693063937629151</v>
      </c>
      <c r="P178" t="str">
        <f t="shared" si="15"/>
        <v>Z</v>
      </c>
      <c r="Q178" t="str">
        <f t="shared" si="16"/>
        <v>AAAZ</v>
      </c>
    </row>
    <row r="179" spans="1:17" x14ac:dyDescent="0.15">
      <c r="A179" t="s">
        <v>264</v>
      </c>
      <c r="B179" s="9">
        <v>2</v>
      </c>
      <c r="C179" s="13">
        <v>0</v>
      </c>
      <c r="D179" s="13">
        <v>0.54</v>
      </c>
      <c r="E179" s="9" t="s">
        <v>1240</v>
      </c>
      <c r="F179">
        <v>468</v>
      </c>
      <c r="G179" s="11">
        <v>1.2714207998603655E-3</v>
      </c>
      <c r="H179" s="12">
        <v>0.69561791980728027</v>
      </c>
      <c r="I179" t="s">
        <v>1240</v>
      </c>
      <c r="J179">
        <v>12</v>
      </c>
      <c r="K179" s="11">
        <f t="shared" si="12"/>
        <v>1.2431155079799796E-3</v>
      </c>
      <c r="L179" s="12">
        <f t="shared" si="17"/>
        <v>0.5736978069327594</v>
      </c>
      <c r="M179" t="str">
        <f t="shared" si="13"/>
        <v>A</v>
      </c>
      <c r="N179" t="str">
        <f t="shared" si="14"/>
        <v>AAA</v>
      </c>
      <c r="O179" s="11">
        <f>VLOOKUP(A179,XYZ!A178:G981,2,FALSE)</f>
        <v>1.3693063937629151</v>
      </c>
      <c r="P179" t="str">
        <f t="shared" si="15"/>
        <v>Z</v>
      </c>
      <c r="Q179" t="str">
        <f t="shared" si="16"/>
        <v>AAAZ</v>
      </c>
    </row>
    <row r="180" spans="1:17" x14ac:dyDescent="0.15">
      <c r="A180" t="s">
        <v>285</v>
      </c>
      <c r="B180" s="9">
        <v>2</v>
      </c>
      <c r="C180" s="13">
        <v>0</v>
      </c>
      <c r="D180" s="13">
        <v>0.62</v>
      </c>
      <c r="E180" s="9" t="s">
        <v>1240</v>
      </c>
      <c r="F180">
        <v>467</v>
      </c>
      <c r="G180" s="11">
        <v>1.2687040887495527E-3</v>
      </c>
      <c r="H180" s="12">
        <v>0.69815804469589016</v>
      </c>
      <c r="I180" t="s">
        <v>1240</v>
      </c>
      <c r="J180">
        <v>12</v>
      </c>
      <c r="K180" s="11">
        <f t="shared" si="12"/>
        <v>1.2431155079799796E-3</v>
      </c>
      <c r="L180" s="12">
        <f t="shared" si="17"/>
        <v>0.57494092244073935</v>
      </c>
      <c r="M180" t="str">
        <f t="shared" si="13"/>
        <v>A</v>
      </c>
      <c r="N180" t="str">
        <f t="shared" si="14"/>
        <v>AAA</v>
      </c>
      <c r="O180" s="11">
        <f>VLOOKUP(A180,XYZ!A179:G982,2,FALSE)</f>
        <v>1.3693063937629151</v>
      </c>
      <c r="P180" t="str">
        <f t="shared" si="15"/>
        <v>Z</v>
      </c>
      <c r="Q180" t="str">
        <f t="shared" si="16"/>
        <v>AAAZ</v>
      </c>
    </row>
    <row r="181" spans="1:17" x14ac:dyDescent="0.15">
      <c r="A181" t="s">
        <v>684</v>
      </c>
      <c r="B181" s="9">
        <v>2</v>
      </c>
      <c r="C181" s="13">
        <v>0</v>
      </c>
      <c r="D181" s="13">
        <v>0.56999999999999995</v>
      </c>
      <c r="E181" s="9" t="s">
        <v>1240</v>
      </c>
      <c r="F181">
        <v>452</v>
      </c>
      <c r="G181" s="11">
        <v>1.2279534220873615E-3</v>
      </c>
      <c r="H181" s="12">
        <v>0.70314864300645319</v>
      </c>
      <c r="I181" t="s">
        <v>1240</v>
      </c>
      <c r="J181">
        <v>12</v>
      </c>
      <c r="K181" s="11">
        <f t="shared" si="12"/>
        <v>1.2431155079799796E-3</v>
      </c>
      <c r="L181" s="12">
        <f t="shared" si="17"/>
        <v>0.57618403794871931</v>
      </c>
      <c r="M181" t="str">
        <f t="shared" si="13"/>
        <v>A</v>
      </c>
      <c r="N181" t="str">
        <f t="shared" si="14"/>
        <v>AAA</v>
      </c>
      <c r="O181" s="11">
        <f>VLOOKUP(A181,XYZ!A180:G983,2,FALSE)</f>
        <v>1.3693063937629151</v>
      </c>
      <c r="P181" t="str">
        <f t="shared" si="15"/>
        <v>Z</v>
      </c>
      <c r="Q181" t="str">
        <f t="shared" si="16"/>
        <v>AAAZ</v>
      </c>
    </row>
    <row r="182" spans="1:17" x14ac:dyDescent="0.15">
      <c r="A182" t="s">
        <v>525</v>
      </c>
      <c r="B182" s="9">
        <v>2</v>
      </c>
      <c r="C182" s="13">
        <v>0</v>
      </c>
      <c r="D182" s="13">
        <v>0.61</v>
      </c>
      <c r="E182" s="9" t="s">
        <v>1240</v>
      </c>
      <c r="F182">
        <v>450</v>
      </c>
      <c r="G182" s="11">
        <v>1.222519999865736E-3</v>
      </c>
      <c r="H182" s="12">
        <v>0.70437116300631897</v>
      </c>
      <c r="I182" t="s">
        <v>1240</v>
      </c>
      <c r="J182">
        <v>12</v>
      </c>
      <c r="K182" s="11">
        <f t="shared" si="12"/>
        <v>1.2431155079799796E-3</v>
      </c>
      <c r="L182" s="12">
        <f t="shared" si="17"/>
        <v>0.57742715345669926</v>
      </c>
      <c r="M182" t="str">
        <f t="shared" si="13"/>
        <v>A</v>
      </c>
      <c r="N182" t="str">
        <f t="shared" si="14"/>
        <v>AAA</v>
      </c>
      <c r="O182" s="11">
        <f>VLOOKUP(A182,XYZ!A181:G984,2,FALSE)</f>
        <v>2.2360679774997894</v>
      </c>
      <c r="P182" t="str">
        <f t="shared" si="15"/>
        <v>Z</v>
      </c>
      <c r="Q182" t="str">
        <f t="shared" si="16"/>
        <v>AAAZ</v>
      </c>
    </row>
    <row r="183" spans="1:17" x14ac:dyDescent="0.15">
      <c r="A183" t="s">
        <v>340</v>
      </c>
      <c r="B183" s="9">
        <v>2</v>
      </c>
      <c r="C183" s="13">
        <v>0</v>
      </c>
      <c r="D183" s="13">
        <v>0.65</v>
      </c>
      <c r="E183" s="9" t="s">
        <v>1240</v>
      </c>
      <c r="F183">
        <v>439</v>
      </c>
      <c r="G183" s="11">
        <v>1.1926361776467959E-3</v>
      </c>
      <c r="H183" s="12">
        <v>0.71891371758249967</v>
      </c>
      <c r="I183" t="s">
        <v>1240</v>
      </c>
      <c r="J183">
        <v>12</v>
      </c>
      <c r="K183" s="11">
        <f t="shared" si="12"/>
        <v>1.2431155079799796E-3</v>
      </c>
      <c r="L183" s="12">
        <f t="shared" si="17"/>
        <v>0.57867026896467921</v>
      </c>
      <c r="M183" t="str">
        <f t="shared" si="13"/>
        <v>A</v>
      </c>
      <c r="N183" t="str">
        <f t="shared" si="14"/>
        <v>AAA</v>
      </c>
      <c r="O183" s="11">
        <f>VLOOKUP(A183,XYZ!A182:G985,2,FALSE)</f>
        <v>1.3693063937629151</v>
      </c>
      <c r="P183" t="str">
        <f t="shared" si="15"/>
        <v>Z</v>
      </c>
      <c r="Q183" t="str">
        <f t="shared" si="16"/>
        <v>AAAZ</v>
      </c>
    </row>
    <row r="184" spans="1:17" x14ac:dyDescent="0.15">
      <c r="A184" t="s">
        <v>319</v>
      </c>
      <c r="B184" s="9">
        <v>2</v>
      </c>
      <c r="C184" s="13">
        <v>0</v>
      </c>
      <c r="D184" s="13">
        <v>0.67</v>
      </c>
      <c r="E184" s="9" t="s">
        <v>1240</v>
      </c>
      <c r="F184">
        <v>432</v>
      </c>
      <c r="G184" s="11">
        <v>1.1736191998711065E-3</v>
      </c>
      <c r="H184" s="12">
        <v>0.72719968647047861</v>
      </c>
      <c r="I184" t="s">
        <v>1240</v>
      </c>
      <c r="J184">
        <v>12</v>
      </c>
      <c r="K184" s="11">
        <f t="shared" si="12"/>
        <v>1.2431155079799796E-3</v>
      </c>
      <c r="L184" s="12">
        <f t="shared" si="17"/>
        <v>0.57991338447265917</v>
      </c>
      <c r="M184" t="str">
        <f t="shared" si="13"/>
        <v>A</v>
      </c>
      <c r="N184" t="str">
        <f t="shared" si="14"/>
        <v>AAA</v>
      </c>
      <c r="O184" s="11">
        <f>VLOOKUP(A184,XYZ!A183:G986,2,FALSE)</f>
        <v>2.2360679774997894</v>
      </c>
      <c r="P184" t="str">
        <f t="shared" si="15"/>
        <v>Z</v>
      </c>
      <c r="Q184" t="str">
        <f t="shared" si="16"/>
        <v>AAAZ</v>
      </c>
    </row>
    <row r="185" spans="1:17" x14ac:dyDescent="0.15">
      <c r="A185" t="s">
        <v>861</v>
      </c>
      <c r="B185" s="9">
        <v>2</v>
      </c>
      <c r="C185" s="13">
        <v>0</v>
      </c>
      <c r="D185" s="13">
        <v>0.59</v>
      </c>
      <c r="E185" s="9" t="s">
        <v>1240</v>
      </c>
      <c r="F185">
        <v>407</v>
      </c>
      <c r="G185" s="11">
        <v>1.1057014221007879E-3</v>
      </c>
      <c r="H185" s="12">
        <v>0.74777333971266369</v>
      </c>
      <c r="I185" t="s">
        <v>1240</v>
      </c>
      <c r="J185">
        <v>12</v>
      </c>
      <c r="K185" s="11">
        <f t="shared" si="12"/>
        <v>1.2431155079799796E-3</v>
      </c>
      <c r="L185" s="12">
        <f t="shared" si="17"/>
        <v>0.58115649998063912</v>
      </c>
      <c r="M185" t="str">
        <f t="shared" si="13"/>
        <v>A</v>
      </c>
      <c r="N185" t="str">
        <f t="shared" si="14"/>
        <v>AAA</v>
      </c>
      <c r="O185" s="11">
        <f>VLOOKUP(A185,XYZ!A184:G987,2,FALSE)</f>
        <v>2.2360679774997894</v>
      </c>
      <c r="P185" t="str">
        <f t="shared" si="15"/>
        <v>Z</v>
      </c>
      <c r="Q185" t="str">
        <f t="shared" si="16"/>
        <v>AAAZ</v>
      </c>
    </row>
    <row r="186" spans="1:17" x14ac:dyDescent="0.15">
      <c r="A186" t="s">
        <v>1185</v>
      </c>
      <c r="B186" s="9">
        <v>2</v>
      </c>
      <c r="C186" s="13">
        <v>0</v>
      </c>
      <c r="D186" s="13">
        <v>0.57999999999999996</v>
      </c>
      <c r="E186" s="9" t="s">
        <v>1240</v>
      </c>
      <c r="F186">
        <v>376</v>
      </c>
      <c r="G186" s="11">
        <v>1.0214833776655927E-3</v>
      </c>
      <c r="H186" s="12">
        <v>0.76813780619931604</v>
      </c>
      <c r="I186" t="s">
        <v>1240</v>
      </c>
      <c r="J186">
        <v>12</v>
      </c>
      <c r="K186" s="11">
        <f t="shared" si="12"/>
        <v>1.2431155079799796E-3</v>
      </c>
      <c r="L186" s="12">
        <f t="shared" si="17"/>
        <v>0.58239961548861907</v>
      </c>
      <c r="M186" t="str">
        <f t="shared" si="13"/>
        <v>A</v>
      </c>
      <c r="N186" t="str">
        <f t="shared" si="14"/>
        <v>AAA</v>
      </c>
      <c r="O186" s="11">
        <f>VLOOKUP(A186,XYZ!A185:G988,2,FALSE)</f>
        <v>2.2360679774997894</v>
      </c>
      <c r="P186" t="str">
        <f t="shared" si="15"/>
        <v>Z</v>
      </c>
      <c r="Q186" t="str">
        <f t="shared" si="16"/>
        <v>AAAZ</v>
      </c>
    </row>
    <row r="187" spans="1:17" x14ac:dyDescent="0.15">
      <c r="A187" t="s">
        <v>568</v>
      </c>
      <c r="B187" s="9">
        <v>2</v>
      </c>
      <c r="C187" s="13">
        <v>0</v>
      </c>
      <c r="D187" s="13">
        <v>0.68</v>
      </c>
      <c r="E187" s="9" t="s">
        <v>1240</v>
      </c>
      <c r="F187">
        <v>376</v>
      </c>
      <c r="G187" s="11">
        <v>1.0214833776655927E-3</v>
      </c>
      <c r="H187" s="12">
        <v>0.76915928957698165</v>
      </c>
      <c r="I187" t="s">
        <v>1240</v>
      </c>
      <c r="J187">
        <v>12</v>
      </c>
      <c r="K187" s="11">
        <f t="shared" si="12"/>
        <v>1.2431155079799796E-3</v>
      </c>
      <c r="L187" s="12">
        <f t="shared" si="17"/>
        <v>0.58364273099659902</v>
      </c>
      <c r="M187" t="str">
        <f t="shared" si="13"/>
        <v>A</v>
      </c>
      <c r="N187" t="str">
        <f t="shared" si="14"/>
        <v>AAA</v>
      </c>
      <c r="O187" s="11">
        <f>VLOOKUP(A187,XYZ!A186:G989,2,FALSE)</f>
        <v>2.2360679774997894</v>
      </c>
      <c r="P187" t="str">
        <f t="shared" si="15"/>
        <v>Z</v>
      </c>
      <c r="Q187" t="str">
        <f t="shared" si="16"/>
        <v>AAAZ</v>
      </c>
    </row>
    <row r="188" spans="1:17" x14ac:dyDescent="0.15">
      <c r="A188" t="s">
        <v>158</v>
      </c>
      <c r="B188" s="9">
        <v>2</v>
      </c>
      <c r="C188" s="13">
        <v>0</v>
      </c>
      <c r="D188" s="13">
        <v>0.54</v>
      </c>
      <c r="E188" s="9" t="s">
        <v>1240</v>
      </c>
      <c r="F188">
        <v>372</v>
      </c>
      <c r="G188" s="11">
        <v>1.0106165332223417E-3</v>
      </c>
      <c r="H188" s="12">
        <v>0.77322077268764666</v>
      </c>
      <c r="I188" t="s">
        <v>1240</v>
      </c>
      <c r="J188">
        <v>12</v>
      </c>
      <c r="K188" s="11">
        <f t="shared" si="12"/>
        <v>1.2431155079799796E-3</v>
      </c>
      <c r="L188" s="12">
        <f t="shared" si="17"/>
        <v>0.58488584650457898</v>
      </c>
      <c r="M188" t="str">
        <f t="shared" si="13"/>
        <v>A</v>
      </c>
      <c r="N188" t="str">
        <f t="shared" si="14"/>
        <v>AAA</v>
      </c>
      <c r="O188" s="11">
        <f>VLOOKUP(A188,XYZ!A187:G990,2,FALSE)</f>
        <v>1.3693063937629151</v>
      </c>
      <c r="P188" t="str">
        <f t="shared" si="15"/>
        <v>Z</v>
      </c>
      <c r="Q188" t="str">
        <f t="shared" si="16"/>
        <v>AAAZ</v>
      </c>
    </row>
    <row r="189" spans="1:17" x14ac:dyDescent="0.15">
      <c r="A189" t="s">
        <v>445</v>
      </c>
      <c r="B189" s="9">
        <v>2</v>
      </c>
      <c r="C189" s="13">
        <v>0</v>
      </c>
      <c r="D189" s="13">
        <v>0.54</v>
      </c>
      <c r="E189" s="9" t="s">
        <v>1240</v>
      </c>
      <c r="F189">
        <v>362</v>
      </c>
      <c r="G189" s="11">
        <v>9.8344942211421441E-4</v>
      </c>
      <c r="H189" s="12">
        <v>0.78716544533828692</v>
      </c>
      <c r="I189" t="s">
        <v>1240</v>
      </c>
      <c r="J189">
        <v>12</v>
      </c>
      <c r="K189" s="11">
        <f t="shared" si="12"/>
        <v>1.2431155079799796E-3</v>
      </c>
      <c r="L189" s="12">
        <f t="shared" si="17"/>
        <v>0.58612896201255893</v>
      </c>
      <c r="M189" t="str">
        <f t="shared" si="13"/>
        <v>A</v>
      </c>
      <c r="N189" t="str">
        <f t="shared" si="14"/>
        <v>AAA</v>
      </c>
      <c r="O189" s="11">
        <f>VLOOKUP(A189,XYZ!A188:G991,2,FALSE)</f>
        <v>1.3693063937629151</v>
      </c>
      <c r="P189" t="str">
        <f t="shared" si="15"/>
        <v>Z</v>
      </c>
      <c r="Q189" t="str">
        <f t="shared" si="16"/>
        <v>AAAZ</v>
      </c>
    </row>
    <row r="190" spans="1:17" x14ac:dyDescent="0.15">
      <c r="A190" t="s">
        <v>1008</v>
      </c>
      <c r="B190" s="9">
        <v>2</v>
      </c>
      <c r="C190" s="13">
        <v>0</v>
      </c>
      <c r="D190" s="13">
        <v>0.64</v>
      </c>
      <c r="E190" s="9" t="s">
        <v>1240</v>
      </c>
      <c r="F190">
        <v>358</v>
      </c>
      <c r="G190" s="11">
        <v>9.725825776709633E-4</v>
      </c>
      <c r="H190" s="12">
        <v>0.79010221004907555</v>
      </c>
      <c r="I190" t="s">
        <v>1240</v>
      </c>
      <c r="J190">
        <v>12</v>
      </c>
      <c r="K190" s="11">
        <f t="shared" si="12"/>
        <v>1.2431155079799796E-3</v>
      </c>
      <c r="L190" s="12">
        <f t="shared" si="17"/>
        <v>0.58737207752053888</v>
      </c>
      <c r="M190" t="str">
        <f t="shared" si="13"/>
        <v>A</v>
      </c>
      <c r="N190" t="str">
        <f t="shared" si="14"/>
        <v>AAA</v>
      </c>
      <c r="O190" s="11">
        <f>VLOOKUP(A190,XYZ!A189:G992,2,FALSE)</f>
        <v>2.2360679774997894</v>
      </c>
      <c r="P190" t="str">
        <f t="shared" si="15"/>
        <v>Z</v>
      </c>
      <c r="Q190" t="str">
        <f t="shared" si="16"/>
        <v>AAAZ</v>
      </c>
    </row>
    <row r="191" spans="1:17" x14ac:dyDescent="0.15">
      <c r="A191" t="s">
        <v>782</v>
      </c>
      <c r="B191" s="9">
        <v>2</v>
      </c>
      <c r="C191" s="13">
        <v>0</v>
      </c>
      <c r="D191" s="13">
        <v>0.59</v>
      </c>
      <c r="E191" s="9" t="s">
        <v>1240</v>
      </c>
      <c r="F191">
        <v>355</v>
      </c>
      <c r="G191" s="11">
        <v>9.6443244433852505E-4</v>
      </c>
      <c r="H191" s="12">
        <v>0.79203683436530747</v>
      </c>
      <c r="I191" t="s">
        <v>1240</v>
      </c>
      <c r="J191">
        <v>12</v>
      </c>
      <c r="K191" s="11">
        <f t="shared" si="12"/>
        <v>1.2431155079799796E-3</v>
      </c>
      <c r="L191" s="12">
        <f t="shared" si="17"/>
        <v>0.58861519302851883</v>
      </c>
      <c r="M191" t="str">
        <f t="shared" si="13"/>
        <v>A</v>
      </c>
      <c r="N191" t="str">
        <f t="shared" si="14"/>
        <v>AAA</v>
      </c>
      <c r="O191" s="11">
        <f>VLOOKUP(A191,XYZ!A190:G993,2,FALSE)</f>
        <v>2.2360679774997894</v>
      </c>
      <c r="P191" t="str">
        <f t="shared" si="15"/>
        <v>Z</v>
      </c>
      <c r="Q191" t="str">
        <f t="shared" si="16"/>
        <v>AAAZ</v>
      </c>
    </row>
    <row r="192" spans="1:17" x14ac:dyDescent="0.15">
      <c r="A192" t="s">
        <v>400</v>
      </c>
      <c r="B192" s="9">
        <v>2</v>
      </c>
      <c r="C192" s="13">
        <v>0</v>
      </c>
      <c r="D192" s="13">
        <v>0.62</v>
      </c>
      <c r="E192" s="9" t="s">
        <v>1240</v>
      </c>
      <c r="F192">
        <v>350</v>
      </c>
      <c r="G192" s="11">
        <v>9.508488887844613E-4</v>
      </c>
      <c r="H192" s="12">
        <v>0.7987145102756853</v>
      </c>
      <c r="I192" t="s">
        <v>1240</v>
      </c>
      <c r="J192">
        <v>12</v>
      </c>
      <c r="K192" s="11">
        <f t="shared" si="12"/>
        <v>1.2431155079799796E-3</v>
      </c>
      <c r="L192" s="12">
        <f t="shared" si="17"/>
        <v>0.58985830853649879</v>
      </c>
      <c r="M192" t="str">
        <f t="shared" si="13"/>
        <v>A</v>
      </c>
      <c r="N192" t="str">
        <f t="shared" si="14"/>
        <v>AAA</v>
      </c>
      <c r="O192" s="11">
        <f>VLOOKUP(A192,XYZ!A191:G994,2,FALSE)</f>
        <v>2.2360679774997894</v>
      </c>
      <c r="P192" t="str">
        <f t="shared" si="15"/>
        <v>Z</v>
      </c>
      <c r="Q192" t="str">
        <f t="shared" si="16"/>
        <v>AAAZ</v>
      </c>
    </row>
    <row r="193" spans="1:17" x14ac:dyDescent="0.15">
      <c r="A193" t="s">
        <v>689</v>
      </c>
      <c r="B193" s="9">
        <v>2</v>
      </c>
      <c r="C193" s="13">
        <v>0</v>
      </c>
      <c r="D193" s="13">
        <v>0.52</v>
      </c>
      <c r="E193" s="9" t="s">
        <v>1240</v>
      </c>
      <c r="F193">
        <v>339.58000000000004</v>
      </c>
      <c r="G193" s="11">
        <v>9.2254075900979264E-4</v>
      </c>
      <c r="H193" s="12">
        <v>0.80336437867873012</v>
      </c>
      <c r="I193" t="s">
        <v>1241</v>
      </c>
      <c r="J193">
        <v>12</v>
      </c>
      <c r="K193" s="11">
        <f t="shared" si="12"/>
        <v>1.2431155079799796E-3</v>
      </c>
      <c r="L193" s="12">
        <f t="shared" si="17"/>
        <v>0.59110142404447874</v>
      </c>
      <c r="M193" t="str">
        <f t="shared" si="13"/>
        <v>A</v>
      </c>
      <c r="N193" t="str">
        <f t="shared" si="14"/>
        <v>ABA</v>
      </c>
      <c r="O193" s="11">
        <f>VLOOKUP(A193,XYZ!A192:G995,2,FALSE)</f>
        <v>2.2360679774997894</v>
      </c>
      <c r="P193" t="str">
        <f t="shared" si="15"/>
        <v>Z</v>
      </c>
      <c r="Q193" t="str">
        <f t="shared" si="16"/>
        <v>ABAZ</v>
      </c>
    </row>
    <row r="194" spans="1:17" x14ac:dyDescent="0.15">
      <c r="A194" t="s">
        <v>1012</v>
      </c>
      <c r="B194" s="9">
        <v>2</v>
      </c>
      <c r="C194" s="13">
        <v>0</v>
      </c>
      <c r="D194" s="13">
        <v>0.63</v>
      </c>
      <c r="E194" s="9" t="s">
        <v>1240</v>
      </c>
      <c r="F194">
        <v>336</v>
      </c>
      <c r="G194" s="11">
        <v>9.128149332330829E-4</v>
      </c>
      <c r="H194" s="12">
        <v>0.80703737210054882</v>
      </c>
      <c r="I194" t="s">
        <v>1241</v>
      </c>
      <c r="J194">
        <v>12</v>
      </c>
      <c r="K194" s="11">
        <f t="shared" si="12"/>
        <v>1.2431155079799796E-3</v>
      </c>
      <c r="L194" s="12">
        <f t="shared" si="17"/>
        <v>0.59234453955245869</v>
      </c>
      <c r="M194" t="str">
        <f t="shared" si="13"/>
        <v>A</v>
      </c>
      <c r="N194" t="str">
        <f t="shared" si="14"/>
        <v>ABA</v>
      </c>
      <c r="O194" s="11">
        <f>VLOOKUP(A194,XYZ!A193:G996,2,FALSE)</f>
        <v>1.3693063937629151</v>
      </c>
      <c r="P194" t="str">
        <f t="shared" si="15"/>
        <v>Z</v>
      </c>
      <c r="Q194" t="str">
        <f t="shared" si="16"/>
        <v>ABAZ</v>
      </c>
    </row>
    <row r="195" spans="1:17" x14ac:dyDescent="0.15">
      <c r="A195" t="s">
        <v>1101</v>
      </c>
      <c r="B195" s="9">
        <v>2</v>
      </c>
      <c r="C195" s="13">
        <v>0</v>
      </c>
      <c r="D195" s="13">
        <v>0.65</v>
      </c>
      <c r="E195" s="9" t="s">
        <v>1240</v>
      </c>
      <c r="F195">
        <v>336</v>
      </c>
      <c r="G195" s="11">
        <v>9.128149332330829E-4</v>
      </c>
      <c r="H195" s="12">
        <v>0.80795018703378185</v>
      </c>
      <c r="I195" t="s">
        <v>1241</v>
      </c>
      <c r="J195">
        <v>12</v>
      </c>
      <c r="K195" s="11">
        <f t="shared" ref="K195:K258" si="18">J195/SUM(J:J)</f>
        <v>1.2431155079799796E-3</v>
      </c>
      <c r="L195" s="12">
        <f t="shared" si="17"/>
        <v>0.59358765506043865</v>
      </c>
      <c r="M195" t="str">
        <f t="shared" ref="M195:M258" si="19">IF(L195&lt;0.8,"A",IF(L195&lt;0.95,"B","C"))</f>
        <v>A</v>
      </c>
      <c r="N195" t="str">
        <f t="shared" ref="N195:N258" si="20">E195&amp;I195&amp;M195</f>
        <v>ABA</v>
      </c>
      <c r="O195" s="11">
        <f>VLOOKUP(A195,XYZ!A194:G997,2,FALSE)</f>
        <v>2.2360679774997894</v>
      </c>
      <c r="P195" t="str">
        <f t="shared" ref="P195:P258" si="21">IF(O195&lt;0.1,"A",IF(O195&lt;0.25,"Y","Z"))</f>
        <v>Z</v>
      </c>
      <c r="Q195" t="str">
        <f t="shared" ref="Q195:Q258" si="22">N195&amp;P195</f>
        <v>ABAZ</v>
      </c>
    </row>
    <row r="196" spans="1:17" x14ac:dyDescent="0.15">
      <c r="A196" t="s">
        <v>1034</v>
      </c>
      <c r="B196" s="9">
        <v>2</v>
      </c>
      <c r="C196" s="13">
        <v>0</v>
      </c>
      <c r="D196" s="13">
        <v>0.66</v>
      </c>
      <c r="E196" s="9" t="s">
        <v>1240</v>
      </c>
      <c r="F196">
        <v>316</v>
      </c>
      <c r="G196" s="11">
        <v>8.58480711016828E-4</v>
      </c>
      <c r="H196" s="12">
        <v>0.81853069012595292</v>
      </c>
      <c r="I196" t="s">
        <v>1241</v>
      </c>
      <c r="J196">
        <v>12</v>
      </c>
      <c r="K196" s="11">
        <f t="shared" si="18"/>
        <v>1.2431155079799796E-3</v>
      </c>
      <c r="L196" s="12">
        <f t="shared" ref="L196:L259" si="23">K196+L195</f>
        <v>0.5948307705684186</v>
      </c>
      <c r="M196" t="str">
        <f t="shared" si="19"/>
        <v>A</v>
      </c>
      <c r="N196" t="str">
        <f t="shared" si="20"/>
        <v>ABA</v>
      </c>
      <c r="O196" s="11">
        <f>VLOOKUP(A196,XYZ!A195:G998,2,FALSE)</f>
        <v>2.2360679774997894</v>
      </c>
      <c r="P196" t="str">
        <f t="shared" si="21"/>
        <v>Z</v>
      </c>
      <c r="Q196" t="str">
        <f t="shared" si="22"/>
        <v>ABAZ</v>
      </c>
    </row>
    <row r="197" spans="1:17" x14ac:dyDescent="0.15">
      <c r="A197" t="s">
        <v>485</v>
      </c>
      <c r="B197" s="9">
        <v>2</v>
      </c>
      <c r="C197" s="13">
        <v>0</v>
      </c>
      <c r="D197" s="13">
        <v>0.63</v>
      </c>
      <c r="E197" s="9" t="s">
        <v>1240</v>
      </c>
      <c r="F197">
        <v>307</v>
      </c>
      <c r="G197" s="11">
        <v>8.3403031101951324E-4</v>
      </c>
      <c r="H197" s="12">
        <v>0.8252667753252132</v>
      </c>
      <c r="I197" t="s">
        <v>1241</v>
      </c>
      <c r="J197">
        <v>12</v>
      </c>
      <c r="K197" s="11">
        <f t="shared" si="18"/>
        <v>1.2431155079799796E-3</v>
      </c>
      <c r="L197" s="12">
        <f t="shared" si="23"/>
        <v>0.59607388607639855</v>
      </c>
      <c r="M197" t="str">
        <f t="shared" si="19"/>
        <v>A</v>
      </c>
      <c r="N197" t="str">
        <f t="shared" si="20"/>
        <v>ABA</v>
      </c>
      <c r="O197" s="11">
        <f>VLOOKUP(A197,XYZ!A196:G999,2,FALSE)</f>
        <v>1.3693063937629151</v>
      </c>
      <c r="P197" t="str">
        <f t="shared" si="21"/>
        <v>Z</v>
      </c>
      <c r="Q197" t="str">
        <f t="shared" si="22"/>
        <v>ABAZ</v>
      </c>
    </row>
    <row r="198" spans="1:17" x14ac:dyDescent="0.15">
      <c r="A198" t="s">
        <v>232</v>
      </c>
      <c r="B198" s="9">
        <v>2</v>
      </c>
      <c r="C198" s="13">
        <v>0</v>
      </c>
      <c r="D198" s="13">
        <v>0.67</v>
      </c>
      <c r="E198" s="9" t="s">
        <v>1240</v>
      </c>
      <c r="F198">
        <v>306</v>
      </c>
      <c r="G198" s="11">
        <v>8.3131359990870049E-4</v>
      </c>
      <c r="H198" s="12">
        <v>0.82693211923614141</v>
      </c>
      <c r="I198" t="s">
        <v>1241</v>
      </c>
      <c r="J198">
        <v>12</v>
      </c>
      <c r="K198" s="11">
        <f t="shared" si="18"/>
        <v>1.2431155079799796E-3</v>
      </c>
      <c r="L198" s="12">
        <f t="shared" si="23"/>
        <v>0.5973170015843785</v>
      </c>
      <c r="M198" t="str">
        <f t="shared" si="19"/>
        <v>A</v>
      </c>
      <c r="N198" t="str">
        <f t="shared" si="20"/>
        <v>ABA</v>
      </c>
      <c r="O198" s="11">
        <f>VLOOKUP(A198,XYZ!A197:G1000,2,FALSE)</f>
        <v>1.3693063937629151</v>
      </c>
      <c r="P198" t="str">
        <f t="shared" si="21"/>
        <v>Z</v>
      </c>
      <c r="Q198" t="str">
        <f t="shared" si="22"/>
        <v>ABAZ</v>
      </c>
    </row>
    <row r="199" spans="1:17" x14ac:dyDescent="0.15">
      <c r="A199" t="s">
        <v>724</v>
      </c>
      <c r="B199" s="9">
        <v>2</v>
      </c>
      <c r="C199" s="13">
        <v>0</v>
      </c>
      <c r="D199" s="13">
        <v>0.6</v>
      </c>
      <c r="E199" s="9" t="s">
        <v>1240</v>
      </c>
      <c r="F199">
        <v>292</v>
      </c>
      <c r="G199" s="11">
        <v>7.9327964435732209E-4</v>
      </c>
      <c r="H199" s="12">
        <v>0.83831304692289144</v>
      </c>
      <c r="I199" t="s">
        <v>1241</v>
      </c>
      <c r="J199">
        <v>12</v>
      </c>
      <c r="K199" s="11">
        <f t="shared" si="18"/>
        <v>1.2431155079799796E-3</v>
      </c>
      <c r="L199" s="12">
        <f t="shared" si="23"/>
        <v>0.59856011709235846</v>
      </c>
      <c r="M199" t="str">
        <f t="shared" si="19"/>
        <v>A</v>
      </c>
      <c r="N199" t="str">
        <f t="shared" si="20"/>
        <v>ABA</v>
      </c>
      <c r="O199" s="11">
        <f>VLOOKUP(A199,XYZ!A198:G1001,2,FALSE)</f>
        <v>2.2360679774997894</v>
      </c>
      <c r="P199" t="str">
        <f t="shared" si="21"/>
        <v>Z</v>
      </c>
      <c r="Q199" t="str">
        <f t="shared" si="22"/>
        <v>ABAZ</v>
      </c>
    </row>
    <row r="200" spans="1:17" x14ac:dyDescent="0.15">
      <c r="A200" t="s">
        <v>1097</v>
      </c>
      <c r="B200" s="9">
        <v>2</v>
      </c>
      <c r="C200" s="13">
        <v>0</v>
      </c>
      <c r="D200" s="13">
        <v>0.6</v>
      </c>
      <c r="E200" s="9" t="s">
        <v>1240</v>
      </c>
      <c r="F200">
        <v>290</v>
      </c>
      <c r="G200" s="11">
        <v>7.8784622213569659E-4</v>
      </c>
      <c r="H200" s="12">
        <v>0.83989145607827365</v>
      </c>
      <c r="I200" t="s">
        <v>1241</v>
      </c>
      <c r="J200">
        <v>12</v>
      </c>
      <c r="K200" s="11">
        <f t="shared" si="18"/>
        <v>1.2431155079799796E-3</v>
      </c>
      <c r="L200" s="12">
        <f t="shared" si="23"/>
        <v>0.59980323260033841</v>
      </c>
      <c r="M200" t="str">
        <f t="shared" si="19"/>
        <v>A</v>
      </c>
      <c r="N200" t="str">
        <f t="shared" si="20"/>
        <v>ABA</v>
      </c>
      <c r="O200" s="11">
        <f>VLOOKUP(A200,XYZ!A199:G1002,2,FALSE)</f>
        <v>2.2360679774997894</v>
      </c>
      <c r="P200" t="str">
        <f t="shared" si="21"/>
        <v>Z</v>
      </c>
      <c r="Q200" t="str">
        <f t="shared" si="22"/>
        <v>ABAZ</v>
      </c>
    </row>
    <row r="201" spans="1:17" x14ac:dyDescent="0.15">
      <c r="A201" t="s">
        <v>738</v>
      </c>
      <c r="B201" s="9">
        <v>2</v>
      </c>
      <c r="C201" s="13">
        <v>0</v>
      </c>
      <c r="D201" s="13">
        <v>0.61</v>
      </c>
      <c r="E201" s="9" t="s">
        <v>1240</v>
      </c>
      <c r="F201">
        <v>286</v>
      </c>
      <c r="G201" s="11">
        <v>7.7697937769244559E-4</v>
      </c>
      <c r="H201" s="12">
        <v>0.84301839056681915</v>
      </c>
      <c r="I201" t="s">
        <v>1241</v>
      </c>
      <c r="J201">
        <v>12</v>
      </c>
      <c r="K201" s="11">
        <f t="shared" si="18"/>
        <v>1.2431155079799796E-3</v>
      </c>
      <c r="L201" s="12">
        <f t="shared" si="23"/>
        <v>0.60104634810831836</v>
      </c>
      <c r="M201" t="str">
        <f t="shared" si="19"/>
        <v>A</v>
      </c>
      <c r="N201" t="str">
        <f t="shared" si="20"/>
        <v>ABA</v>
      </c>
      <c r="O201" s="11">
        <f>VLOOKUP(A201,XYZ!A200:G1003,2,FALSE)</f>
        <v>2.2360679774997894</v>
      </c>
      <c r="P201" t="str">
        <f t="shared" si="21"/>
        <v>Z</v>
      </c>
      <c r="Q201" t="str">
        <f t="shared" si="22"/>
        <v>ABAZ</v>
      </c>
    </row>
    <row r="202" spans="1:17" x14ac:dyDescent="0.15">
      <c r="A202" t="s">
        <v>475</v>
      </c>
      <c r="B202" s="9">
        <v>2</v>
      </c>
      <c r="C202" s="13">
        <v>0</v>
      </c>
      <c r="D202" s="13">
        <v>0.61</v>
      </c>
      <c r="E202" s="9" t="s">
        <v>1240</v>
      </c>
      <c r="F202">
        <v>286</v>
      </c>
      <c r="G202" s="11">
        <v>7.7697937769244559E-4</v>
      </c>
      <c r="H202" s="12">
        <v>0.84379536994451165</v>
      </c>
      <c r="I202" t="s">
        <v>1241</v>
      </c>
      <c r="J202">
        <v>12</v>
      </c>
      <c r="K202" s="11">
        <f t="shared" si="18"/>
        <v>1.2431155079799796E-3</v>
      </c>
      <c r="L202" s="12">
        <f t="shared" si="23"/>
        <v>0.60228946361629832</v>
      </c>
      <c r="M202" t="str">
        <f t="shared" si="19"/>
        <v>A</v>
      </c>
      <c r="N202" t="str">
        <f t="shared" si="20"/>
        <v>ABA</v>
      </c>
      <c r="O202" s="11">
        <f>VLOOKUP(A202,XYZ!A201:G1004,2,FALSE)</f>
        <v>1.3693063937629151</v>
      </c>
      <c r="P202" t="str">
        <f t="shared" si="21"/>
        <v>Z</v>
      </c>
      <c r="Q202" t="str">
        <f t="shared" si="22"/>
        <v>ABAZ</v>
      </c>
    </row>
    <row r="203" spans="1:17" x14ac:dyDescent="0.15">
      <c r="A203" t="s">
        <v>984</v>
      </c>
      <c r="B203" s="9">
        <v>2</v>
      </c>
      <c r="C203" s="13">
        <v>0</v>
      </c>
      <c r="D203" s="13">
        <v>0.54</v>
      </c>
      <c r="E203" s="9" t="s">
        <v>1240</v>
      </c>
      <c r="F203">
        <v>282</v>
      </c>
      <c r="G203" s="11">
        <v>7.6611253324919458E-4</v>
      </c>
      <c r="H203" s="12">
        <v>0.84766124985519831</v>
      </c>
      <c r="I203" t="s">
        <v>1241</v>
      </c>
      <c r="J203">
        <v>12</v>
      </c>
      <c r="K203" s="11">
        <f t="shared" si="18"/>
        <v>1.2431155079799796E-3</v>
      </c>
      <c r="L203" s="12">
        <f t="shared" si="23"/>
        <v>0.60353257912427827</v>
      </c>
      <c r="M203" t="str">
        <f t="shared" si="19"/>
        <v>A</v>
      </c>
      <c r="N203" t="str">
        <f t="shared" si="20"/>
        <v>ABA</v>
      </c>
      <c r="O203" s="11">
        <f>VLOOKUP(A203,XYZ!A202:G1005,2,FALSE)</f>
        <v>1.3693063937629151</v>
      </c>
      <c r="P203" t="str">
        <f t="shared" si="21"/>
        <v>Z</v>
      </c>
      <c r="Q203" t="str">
        <f t="shared" si="22"/>
        <v>ABAZ</v>
      </c>
    </row>
    <row r="204" spans="1:17" x14ac:dyDescent="0.15">
      <c r="A204" t="s">
        <v>1188</v>
      </c>
      <c r="B204" s="9">
        <v>2</v>
      </c>
      <c r="C204" s="13">
        <v>0</v>
      </c>
      <c r="D204" s="13">
        <v>0.57999999999999996</v>
      </c>
      <c r="E204" s="9" t="s">
        <v>1240</v>
      </c>
      <c r="F204">
        <v>274</v>
      </c>
      <c r="G204" s="11">
        <v>7.4437884436269258E-4</v>
      </c>
      <c r="H204" s="12">
        <v>0.85597438585428542</v>
      </c>
      <c r="I204" t="s">
        <v>1241</v>
      </c>
      <c r="J204">
        <v>12</v>
      </c>
      <c r="K204" s="11">
        <f t="shared" si="18"/>
        <v>1.2431155079799796E-3</v>
      </c>
      <c r="L204" s="12">
        <f t="shared" si="23"/>
        <v>0.60477569463225822</v>
      </c>
      <c r="M204" t="str">
        <f t="shared" si="19"/>
        <v>A</v>
      </c>
      <c r="N204" t="str">
        <f t="shared" si="20"/>
        <v>ABA</v>
      </c>
      <c r="O204" s="11">
        <f>VLOOKUP(A204,XYZ!A203:G1006,2,FALSE)</f>
        <v>2.2360679774997894</v>
      </c>
      <c r="P204" t="str">
        <f t="shared" si="21"/>
        <v>Z</v>
      </c>
      <c r="Q204" t="str">
        <f t="shared" si="22"/>
        <v>ABAZ</v>
      </c>
    </row>
    <row r="205" spans="1:17" x14ac:dyDescent="0.15">
      <c r="A205" t="s">
        <v>455</v>
      </c>
      <c r="B205" s="9">
        <v>2</v>
      </c>
      <c r="C205" s="13">
        <v>0</v>
      </c>
      <c r="D205" s="13">
        <v>0.53</v>
      </c>
      <c r="E205" s="9" t="s">
        <v>1240</v>
      </c>
      <c r="F205">
        <v>270</v>
      </c>
      <c r="G205" s="11">
        <v>7.3351199991944158E-4</v>
      </c>
      <c r="H205" s="12">
        <v>0.86336384011277922</v>
      </c>
      <c r="I205" t="s">
        <v>1241</v>
      </c>
      <c r="J205">
        <v>12</v>
      </c>
      <c r="K205" s="11">
        <f t="shared" si="18"/>
        <v>1.2431155079799796E-3</v>
      </c>
      <c r="L205" s="12">
        <f t="shared" si="23"/>
        <v>0.60601881014023817</v>
      </c>
      <c r="M205" t="str">
        <f t="shared" si="19"/>
        <v>A</v>
      </c>
      <c r="N205" t="str">
        <f t="shared" si="20"/>
        <v>ABA</v>
      </c>
      <c r="O205" s="11">
        <f>VLOOKUP(A205,XYZ!A204:G1007,2,FALSE)</f>
        <v>2.2360679774997894</v>
      </c>
      <c r="P205" t="str">
        <f t="shared" si="21"/>
        <v>Z</v>
      </c>
      <c r="Q205" t="str">
        <f t="shared" si="22"/>
        <v>ABAZ</v>
      </c>
    </row>
    <row r="206" spans="1:17" x14ac:dyDescent="0.15">
      <c r="A206" t="s">
        <v>201</v>
      </c>
      <c r="B206" s="9">
        <v>2</v>
      </c>
      <c r="C206" s="13">
        <v>0</v>
      </c>
      <c r="D206" s="13">
        <v>0.59</v>
      </c>
      <c r="E206" s="9" t="s">
        <v>1240</v>
      </c>
      <c r="F206">
        <v>268</v>
      </c>
      <c r="G206" s="11">
        <v>7.2807857769781608E-4</v>
      </c>
      <c r="H206" s="12">
        <v>0.86775676197896345</v>
      </c>
      <c r="I206" t="s">
        <v>1241</v>
      </c>
      <c r="J206">
        <v>12</v>
      </c>
      <c r="K206" s="11">
        <f t="shared" si="18"/>
        <v>1.2431155079799796E-3</v>
      </c>
      <c r="L206" s="12">
        <f t="shared" si="23"/>
        <v>0.60726192564821813</v>
      </c>
      <c r="M206" t="str">
        <f t="shared" si="19"/>
        <v>A</v>
      </c>
      <c r="N206" t="str">
        <f t="shared" si="20"/>
        <v>ABA</v>
      </c>
      <c r="O206" s="11">
        <f>VLOOKUP(A206,XYZ!A205:G1008,2,FALSE)</f>
        <v>2.2360679774997894</v>
      </c>
      <c r="P206" t="str">
        <f t="shared" si="21"/>
        <v>Z</v>
      </c>
      <c r="Q206" t="str">
        <f t="shared" si="22"/>
        <v>ABAZ</v>
      </c>
    </row>
    <row r="207" spans="1:17" x14ac:dyDescent="0.15">
      <c r="A207" t="s">
        <v>321</v>
      </c>
      <c r="B207" s="9">
        <v>2</v>
      </c>
      <c r="C207" s="13">
        <v>0</v>
      </c>
      <c r="D207" s="13">
        <v>0.6</v>
      </c>
      <c r="E207" s="9" t="s">
        <v>1240</v>
      </c>
      <c r="F207">
        <v>264</v>
      </c>
      <c r="G207" s="11">
        <v>7.1721173325456518E-4</v>
      </c>
      <c r="H207" s="12">
        <v>0.87135097077856871</v>
      </c>
      <c r="I207" t="s">
        <v>1241</v>
      </c>
      <c r="J207">
        <v>12</v>
      </c>
      <c r="K207" s="11">
        <f t="shared" si="18"/>
        <v>1.2431155079799796E-3</v>
      </c>
      <c r="L207" s="12">
        <f t="shared" si="23"/>
        <v>0.60850504115619808</v>
      </c>
      <c r="M207" t="str">
        <f t="shared" si="19"/>
        <v>A</v>
      </c>
      <c r="N207" t="str">
        <f t="shared" si="20"/>
        <v>ABA</v>
      </c>
      <c r="O207" s="11">
        <f>VLOOKUP(A207,XYZ!A206:G1009,2,FALSE)</f>
        <v>2.2360679774997894</v>
      </c>
      <c r="P207" t="str">
        <f t="shared" si="21"/>
        <v>Z</v>
      </c>
      <c r="Q207" t="str">
        <f t="shared" si="22"/>
        <v>ABAZ</v>
      </c>
    </row>
    <row r="208" spans="1:17" x14ac:dyDescent="0.15">
      <c r="A208" t="s">
        <v>755</v>
      </c>
      <c r="B208" s="9">
        <v>2</v>
      </c>
      <c r="C208" s="13">
        <v>0</v>
      </c>
      <c r="D208" s="13">
        <v>0.66</v>
      </c>
      <c r="E208" s="9" t="s">
        <v>1240</v>
      </c>
      <c r="F208">
        <v>254</v>
      </c>
      <c r="G208" s="11">
        <v>6.9004462214643768E-4</v>
      </c>
      <c r="H208" s="12">
        <v>0.87552329570255494</v>
      </c>
      <c r="I208" t="s">
        <v>1241</v>
      </c>
      <c r="J208">
        <v>12</v>
      </c>
      <c r="K208" s="11">
        <f t="shared" si="18"/>
        <v>1.2431155079799796E-3</v>
      </c>
      <c r="L208" s="12">
        <f t="shared" si="23"/>
        <v>0.60974815666417803</v>
      </c>
      <c r="M208" t="str">
        <f t="shared" si="19"/>
        <v>A</v>
      </c>
      <c r="N208" t="str">
        <f t="shared" si="20"/>
        <v>ABA</v>
      </c>
      <c r="O208" s="11">
        <f>VLOOKUP(A208,XYZ!A207:G1010,2,FALSE)</f>
        <v>2.2360679774997894</v>
      </c>
      <c r="P208" t="str">
        <f t="shared" si="21"/>
        <v>Z</v>
      </c>
      <c r="Q208" t="str">
        <f t="shared" si="22"/>
        <v>ABAZ</v>
      </c>
    </row>
    <row r="209" spans="1:17" x14ac:dyDescent="0.15">
      <c r="A209" t="s">
        <v>113</v>
      </c>
      <c r="B209" s="9">
        <v>2</v>
      </c>
      <c r="C209" s="13">
        <v>0</v>
      </c>
      <c r="D209" s="13">
        <v>0.55000000000000004</v>
      </c>
      <c r="E209" s="9" t="s">
        <v>1240</v>
      </c>
      <c r="F209">
        <v>249</v>
      </c>
      <c r="G209" s="11">
        <v>6.7646106659237392E-4</v>
      </c>
      <c r="H209" s="12">
        <v>0.87963639632432533</v>
      </c>
      <c r="I209" t="s">
        <v>1241</v>
      </c>
      <c r="J209">
        <v>12</v>
      </c>
      <c r="K209" s="11">
        <f t="shared" si="18"/>
        <v>1.2431155079799796E-3</v>
      </c>
      <c r="L209" s="12">
        <f t="shared" si="23"/>
        <v>0.61099127217215798</v>
      </c>
      <c r="M209" t="str">
        <f t="shared" si="19"/>
        <v>A</v>
      </c>
      <c r="N209" t="str">
        <f t="shared" si="20"/>
        <v>ABA</v>
      </c>
      <c r="O209" s="11">
        <f>VLOOKUP(A209,XYZ!A208:G1011,2,FALSE)</f>
        <v>1.3693063937629151</v>
      </c>
      <c r="P209" t="str">
        <f t="shared" si="21"/>
        <v>Z</v>
      </c>
      <c r="Q209" t="str">
        <f t="shared" si="22"/>
        <v>ABAZ</v>
      </c>
    </row>
    <row r="210" spans="1:17" x14ac:dyDescent="0.15">
      <c r="A210" t="s">
        <v>396</v>
      </c>
      <c r="B210" s="9">
        <v>2</v>
      </c>
      <c r="C210" s="13">
        <v>0</v>
      </c>
      <c r="D210" s="13">
        <v>0.66</v>
      </c>
      <c r="E210" s="9" t="s">
        <v>1240</v>
      </c>
      <c r="F210">
        <v>212</v>
      </c>
      <c r="G210" s="11">
        <v>5.7594275549230226E-4</v>
      </c>
      <c r="H210" s="12">
        <v>0.90449973641048342</v>
      </c>
      <c r="I210" t="s">
        <v>1241</v>
      </c>
      <c r="J210">
        <v>12</v>
      </c>
      <c r="K210" s="11">
        <f t="shared" si="18"/>
        <v>1.2431155079799796E-3</v>
      </c>
      <c r="L210" s="12">
        <f t="shared" si="23"/>
        <v>0.61223438768013794</v>
      </c>
      <c r="M210" t="str">
        <f t="shared" si="19"/>
        <v>A</v>
      </c>
      <c r="N210" t="str">
        <f t="shared" si="20"/>
        <v>ABA</v>
      </c>
      <c r="O210" s="11">
        <f>VLOOKUP(A210,XYZ!A209:G1012,2,FALSE)</f>
        <v>1.3693063937629151</v>
      </c>
      <c r="P210" t="str">
        <f t="shared" si="21"/>
        <v>Z</v>
      </c>
      <c r="Q210" t="str">
        <f t="shared" si="22"/>
        <v>ABAZ</v>
      </c>
    </row>
    <row r="211" spans="1:17" x14ac:dyDescent="0.15">
      <c r="A211" t="s">
        <v>398</v>
      </c>
      <c r="B211" s="9">
        <v>2</v>
      </c>
      <c r="C211" s="13">
        <v>0</v>
      </c>
      <c r="D211" s="13">
        <v>0.61</v>
      </c>
      <c r="E211" s="9" t="s">
        <v>1240</v>
      </c>
      <c r="F211">
        <v>210</v>
      </c>
      <c r="G211" s="11">
        <v>5.7050933327067676E-4</v>
      </c>
      <c r="H211" s="12">
        <v>0.90678449045467679</v>
      </c>
      <c r="I211" t="s">
        <v>1241</v>
      </c>
      <c r="J211">
        <v>12</v>
      </c>
      <c r="K211" s="11">
        <f t="shared" si="18"/>
        <v>1.2431155079799796E-3</v>
      </c>
      <c r="L211" s="12">
        <f t="shared" si="23"/>
        <v>0.61347750318811789</v>
      </c>
      <c r="M211" t="str">
        <f t="shared" si="19"/>
        <v>A</v>
      </c>
      <c r="N211" t="str">
        <f t="shared" si="20"/>
        <v>ABA</v>
      </c>
      <c r="O211" s="11">
        <f>VLOOKUP(A211,XYZ!A210:G1013,2,FALSE)</f>
        <v>1.3693063937629151</v>
      </c>
      <c r="P211" t="str">
        <f t="shared" si="21"/>
        <v>Z</v>
      </c>
      <c r="Q211" t="str">
        <f t="shared" si="22"/>
        <v>ABAZ</v>
      </c>
    </row>
    <row r="212" spans="1:17" x14ac:dyDescent="0.15">
      <c r="A212" t="s">
        <v>50</v>
      </c>
      <c r="B212" s="9">
        <v>2</v>
      </c>
      <c r="C212" s="13">
        <v>0</v>
      </c>
      <c r="D212" s="13">
        <v>0.63</v>
      </c>
      <c r="E212" s="9" t="s">
        <v>1240</v>
      </c>
      <c r="F212">
        <v>206</v>
      </c>
      <c r="G212" s="11">
        <v>5.5964248882742586E-4</v>
      </c>
      <c r="H212" s="12">
        <v>0.90903664396554051</v>
      </c>
      <c r="I212" t="s">
        <v>1241</v>
      </c>
      <c r="J212">
        <v>12</v>
      </c>
      <c r="K212" s="11">
        <f t="shared" si="18"/>
        <v>1.2431155079799796E-3</v>
      </c>
      <c r="L212" s="12">
        <f t="shared" si="23"/>
        <v>0.61472061869609784</v>
      </c>
      <c r="M212" t="str">
        <f t="shared" si="19"/>
        <v>A</v>
      </c>
      <c r="N212" t="str">
        <f t="shared" si="20"/>
        <v>ABA</v>
      </c>
      <c r="O212" s="11">
        <f>VLOOKUP(A212,XYZ!A211:G1014,2,FALSE)</f>
        <v>2.2360679774997894</v>
      </c>
      <c r="P212" t="str">
        <f t="shared" si="21"/>
        <v>Z</v>
      </c>
      <c r="Q212" t="str">
        <f t="shared" si="22"/>
        <v>ABAZ</v>
      </c>
    </row>
    <row r="213" spans="1:17" x14ac:dyDescent="0.15">
      <c r="A213" t="s">
        <v>1015</v>
      </c>
      <c r="B213" s="9">
        <v>2</v>
      </c>
      <c r="C213" s="13">
        <v>0</v>
      </c>
      <c r="D213" s="13">
        <v>0.56999999999999995</v>
      </c>
      <c r="E213" s="9" t="s">
        <v>1240</v>
      </c>
      <c r="F213">
        <v>200</v>
      </c>
      <c r="G213" s="11">
        <v>5.4334222216254936E-4</v>
      </c>
      <c r="H213" s="12">
        <v>0.91180497258745874</v>
      </c>
      <c r="I213" t="s">
        <v>1241</v>
      </c>
      <c r="J213">
        <v>12</v>
      </c>
      <c r="K213" s="11">
        <f t="shared" si="18"/>
        <v>1.2431155079799796E-3</v>
      </c>
      <c r="L213" s="12">
        <f t="shared" si="23"/>
        <v>0.6159637342040778</v>
      </c>
      <c r="M213" t="str">
        <f t="shared" si="19"/>
        <v>A</v>
      </c>
      <c r="N213" t="str">
        <f t="shared" si="20"/>
        <v>ABA</v>
      </c>
      <c r="O213" s="11">
        <f>VLOOKUP(A213,XYZ!A212:G1015,2,FALSE)</f>
        <v>2.2360679774997894</v>
      </c>
      <c r="P213" t="str">
        <f t="shared" si="21"/>
        <v>Z</v>
      </c>
      <c r="Q213" t="str">
        <f t="shared" si="22"/>
        <v>ABAZ</v>
      </c>
    </row>
    <row r="214" spans="1:17" x14ac:dyDescent="0.15">
      <c r="A214" t="s">
        <v>213</v>
      </c>
      <c r="B214" s="9">
        <v>2</v>
      </c>
      <c r="C214" s="13">
        <v>0</v>
      </c>
      <c r="D214" s="13">
        <v>0.68</v>
      </c>
      <c r="E214" s="9" t="s">
        <v>1240</v>
      </c>
      <c r="F214">
        <v>199</v>
      </c>
      <c r="G214" s="11">
        <v>5.4062551105173661E-4</v>
      </c>
      <c r="H214" s="12">
        <v>0.91288894032067303</v>
      </c>
      <c r="I214" t="s">
        <v>1241</v>
      </c>
      <c r="J214">
        <v>12</v>
      </c>
      <c r="K214" s="11">
        <f t="shared" si="18"/>
        <v>1.2431155079799796E-3</v>
      </c>
      <c r="L214" s="12">
        <f t="shared" si="23"/>
        <v>0.61720684971205775</v>
      </c>
      <c r="M214" t="str">
        <f t="shared" si="19"/>
        <v>A</v>
      </c>
      <c r="N214" t="str">
        <f t="shared" si="20"/>
        <v>ABA</v>
      </c>
      <c r="O214" s="11">
        <f>VLOOKUP(A214,XYZ!A213:G1016,2,FALSE)</f>
        <v>1.3693063937629151</v>
      </c>
      <c r="P214" t="str">
        <f t="shared" si="21"/>
        <v>Z</v>
      </c>
      <c r="Q214" t="str">
        <f t="shared" si="22"/>
        <v>ABAZ</v>
      </c>
    </row>
    <row r="215" spans="1:17" x14ac:dyDescent="0.15">
      <c r="A215" t="s">
        <v>194</v>
      </c>
      <c r="B215" s="9">
        <v>2</v>
      </c>
      <c r="C215" s="13">
        <v>0</v>
      </c>
      <c r="D215" s="13">
        <v>0.55000000000000004</v>
      </c>
      <c r="E215" s="9" t="s">
        <v>1240</v>
      </c>
      <c r="F215">
        <v>192</v>
      </c>
      <c r="G215" s="11">
        <v>5.2160853327604736E-4</v>
      </c>
      <c r="H215" s="12">
        <v>0.91553230023149401</v>
      </c>
      <c r="I215" t="s">
        <v>1241</v>
      </c>
      <c r="J215">
        <v>12</v>
      </c>
      <c r="K215" s="11">
        <f t="shared" si="18"/>
        <v>1.2431155079799796E-3</v>
      </c>
      <c r="L215" s="12">
        <f t="shared" si="23"/>
        <v>0.6184499652200377</v>
      </c>
      <c r="M215" t="str">
        <f t="shared" si="19"/>
        <v>A</v>
      </c>
      <c r="N215" t="str">
        <f t="shared" si="20"/>
        <v>ABA</v>
      </c>
      <c r="O215" s="11">
        <f>VLOOKUP(A215,XYZ!A214:G1017,2,FALSE)</f>
        <v>2.2360679774997894</v>
      </c>
      <c r="P215" t="str">
        <f t="shared" si="21"/>
        <v>Z</v>
      </c>
      <c r="Q215" t="str">
        <f t="shared" si="22"/>
        <v>ABAZ</v>
      </c>
    </row>
    <row r="216" spans="1:17" x14ac:dyDescent="0.15">
      <c r="A216" t="s">
        <v>1020</v>
      </c>
      <c r="B216" s="9">
        <v>2</v>
      </c>
      <c r="C216" s="13">
        <v>0</v>
      </c>
      <c r="D216" s="13">
        <v>0.65</v>
      </c>
      <c r="E216" s="9" t="s">
        <v>1240</v>
      </c>
      <c r="F216">
        <v>192</v>
      </c>
      <c r="G216" s="11">
        <v>5.2160853327604736E-4</v>
      </c>
      <c r="H216" s="12">
        <v>0.91605390876477011</v>
      </c>
      <c r="I216" t="s">
        <v>1241</v>
      </c>
      <c r="J216">
        <v>12</v>
      </c>
      <c r="K216" s="11">
        <f t="shared" si="18"/>
        <v>1.2431155079799796E-3</v>
      </c>
      <c r="L216" s="12">
        <f t="shared" si="23"/>
        <v>0.61969308072801765</v>
      </c>
      <c r="M216" t="str">
        <f t="shared" si="19"/>
        <v>A</v>
      </c>
      <c r="N216" t="str">
        <f t="shared" si="20"/>
        <v>ABA</v>
      </c>
      <c r="O216" s="11">
        <f>VLOOKUP(A216,XYZ!A215:G1018,2,FALSE)</f>
        <v>2.2360679774997894</v>
      </c>
      <c r="P216" t="str">
        <f t="shared" si="21"/>
        <v>Z</v>
      </c>
      <c r="Q216" t="str">
        <f t="shared" si="22"/>
        <v>ABAZ</v>
      </c>
    </row>
    <row r="217" spans="1:17" x14ac:dyDescent="0.15">
      <c r="A217" t="s">
        <v>646</v>
      </c>
      <c r="B217" s="9">
        <v>2</v>
      </c>
      <c r="C217" s="13">
        <v>0</v>
      </c>
      <c r="D217" s="13">
        <v>0.54</v>
      </c>
      <c r="E217" s="9" t="s">
        <v>1240</v>
      </c>
      <c r="F217">
        <v>190</v>
      </c>
      <c r="G217" s="11">
        <v>5.1617511105442185E-4</v>
      </c>
      <c r="H217" s="12">
        <v>0.9170916924091006</v>
      </c>
      <c r="I217" t="s">
        <v>1241</v>
      </c>
      <c r="J217">
        <v>12</v>
      </c>
      <c r="K217" s="11">
        <f t="shared" si="18"/>
        <v>1.2431155079799796E-3</v>
      </c>
      <c r="L217" s="12">
        <f t="shared" si="23"/>
        <v>0.62093619623599761</v>
      </c>
      <c r="M217" t="str">
        <f t="shared" si="19"/>
        <v>A</v>
      </c>
      <c r="N217" t="str">
        <f t="shared" si="20"/>
        <v>ABA</v>
      </c>
      <c r="O217" s="11">
        <f>VLOOKUP(A217,XYZ!A216:G1019,2,FALSE)</f>
        <v>1.3693063937629151</v>
      </c>
      <c r="P217" t="str">
        <f t="shared" si="21"/>
        <v>Z</v>
      </c>
      <c r="Q217" t="str">
        <f t="shared" si="22"/>
        <v>ABAZ</v>
      </c>
    </row>
    <row r="218" spans="1:17" x14ac:dyDescent="0.15">
      <c r="A218" t="s">
        <v>454</v>
      </c>
      <c r="B218" s="9">
        <v>2</v>
      </c>
      <c r="C218" s="13">
        <v>0</v>
      </c>
      <c r="D218" s="13">
        <v>0.61</v>
      </c>
      <c r="E218" s="9" t="s">
        <v>1240</v>
      </c>
      <c r="F218">
        <v>186</v>
      </c>
      <c r="G218" s="11">
        <v>5.0530826661117085E-4</v>
      </c>
      <c r="H218" s="12">
        <v>0.9196372507199323</v>
      </c>
      <c r="I218" t="s">
        <v>1241</v>
      </c>
      <c r="J218">
        <v>12</v>
      </c>
      <c r="K218" s="11">
        <f t="shared" si="18"/>
        <v>1.2431155079799796E-3</v>
      </c>
      <c r="L218" s="12">
        <f t="shared" si="23"/>
        <v>0.62217931174397756</v>
      </c>
      <c r="M218" t="str">
        <f t="shared" si="19"/>
        <v>A</v>
      </c>
      <c r="N218" t="str">
        <f t="shared" si="20"/>
        <v>ABA</v>
      </c>
      <c r="O218" s="11">
        <f>VLOOKUP(A218,XYZ!A217:G1020,2,FALSE)</f>
        <v>2.2360679774997894</v>
      </c>
      <c r="P218" t="str">
        <f t="shared" si="21"/>
        <v>Z</v>
      </c>
      <c r="Q218" t="str">
        <f t="shared" si="22"/>
        <v>ABAZ</v>
      </c>
    </row>
    <row r="219" spans="1:17" x14ac:dyDescent="0.15">
      <c r="A219" t="s">
        <v>379</v>
      </c>
      <c r="B219" s="9">
        <v>2</v>
      </c>
      <c r="C219" s="13">
        <v>0</v>
      </c>
      <c r="D219" s="13">
        <v>0.57999999999999996</v>
      </c>
      <c r="E219" s="9" t="s">
        <v>1240</v>
      </c>
      <c r="F219">
        <v>178</v>
      </c>
      <c r="G219" s="11">
        <v>4.835745777246689E-4</v>
      </c>
      <c r="H219" s="12">
        <v>0.92162316655198828</v>
      </c>
      <c r="I219" t="s">
        <v>1241</v>
      </c>
      <c r="J219">
        <v>12</v>
      </c>
      <c r="K219" s="11">
        <f t="shared" si="18"/>
        <v>1.2431155079799796E-3</v>
      </c>
      <c r="L219" s="12">
        <f t="shared" si="23"/>
        <v>0.62342242725195751</v>
      </c>
      <c r="M219" t="str">
        <f t="shared" si="19"/>
        <v>A</v>
      </c>
      <c r="N219" t="str">
        <f t="shared" si="20"/>
        <v>ABA</v>
      </c>
      <c r="O219" s="11">
        <f>VLOOKUP(A219,XYZ!A218:G1021,2,FALSE)</f>
        <v>2.2360679774997894</v>
      </c>
      <c r="P219" t="str">
        <f t="shared" si="21"/>
        <v>Z</v>
      </c>
      <c r="Q219" t="str">
        <f t="shared" si="22"/>
        <v>ABAZ</v>
      </c>
    </row>
    <row r="220" spans="1:17" x14ac:dyDescent="0.15">
      <c r="A220" t="s">
        <v>847</v>
      </c>
      <c r="B220" s="9">
        <v>2</v>
      </c>
      <c r="C220" s="13">
        <v>0</v>
      </c>
      <c r="D220" s="13">
        <v>0.52</v>
      </c>
      <c r="E220" s="9" t="s">
        <v>1240</v>
      </c>
      <c r="F220">
        <v>168</v>
      </c>
      <c r="G220" s="11">
        <v>4.5640746661654145E-4</v>
      </c>
      <c r="H220" s="12">
        <v>0.92869340721787841</v>
      </c>
      <c r="I220" t="s">
        <v>1241</v>
      </c>
      <c r="J220">
        <v>12</v>
      </c>
      <c r="K220" s="11">
        <f t="shared" si="18"/>
        <v>1.2431155079799796E-3</v>
      </c>
      <c r="L220" s="12">
        <f t="shared" si="23"/>
        <v>0.62466554275993746</v>
      </c>
      <c r="M220" t="str">
        <f t="shared" si="19"/>
        <v>A</v>
      </c>
      <c r="N220" t="str">
        <f t="shared" si="20"/>
        <v>ABA</v>
      </c>
      <c r="O220" s="11">
        <f>VLOOKUP(A220,XYZ!A219:G1022,2,FALSE)</f>
        <v>2.2360679774997894</v>
      </c>
      <c r="P220" t="str">
        <f t="shared" si="21"/>
        <v>Z</v>
      </c>
      <c r="Q220" t="str">
        <f t="shared" si="22"/>
        <v>ABAZ</v>
      </c>
    </row>
    <row r="221" spans="1:17" x14ac:dyDescent="0.15">
      <c r="A221" t="s">
        <v>185</v>
      </c>
      <c r="B221" s="9">
        <v>2</v>
      </c>
      <c r="C221" s="13">
        <v>0</v>
      </c>
      <c r="D221" s="13">
        <v>0.53</v>
      </c>
      <c r="E221" s="9" t="s">
        <v>1240</v>
      </c>
      <c r="F221">
        <v>166</v>
      </c>
      <c r="G221" s="11">
        <v>4.5097404439491595E-4</v>
      </c>
      <c r="H221" s="12">
        <v>0.93095707958385199</v>
      </c>
      <c r="I221" t="s">
        <v>1241</v>
      </c>
      <c r="J221">
        <v>12</v>
      </c>
      <c r="K221" s="11">
        <f t="shared" si="18"/>
        <v>1.2431155079799796E-3</v>
      </c>
      <c r="L221" s="12">
        <f t="shared" si="23"/>
        <v>0.62590865826791742</v>
      </c>
      <c r="M221" t="str">
        <f t="shared" si="19"/>
        <v>A</v>
      </c>
      <c r="N221" t="str">
        <f t="shared" si="20"/>
        <v>ABA</v>
      </c>
      <c r="O221" s="11">
        <f>VLOOKUP(A221,XYZ!A220:G1023,2,FALSE)</f>
        <v>1.3693063937629151</v>
      </c>
      <c r="P221" t="str">
        <f t="shared" si="21"/>
        <v>Z</v>
      </c>
      <c r="Q221" t="str">
        <f t="shared" si="22"/>
        <v>ABAZ</v>
      </c>
    </row>
    <row r="222" spans="1:17" x14ac:dyDescent="0.15">
      <c r="A222" t="s">
        <v>267</v>
      </c>
      <c r="B222" s="9">
        <v>2</v>
      </c>
      <c r="C222" s="13">
        <v>0</v>
      </c>
      <c r="D222" s="13">
        <v>0.65</v>
      </c>
      <c r="E222" s="9" t="s">
        <v>1240</v>
      </c>
      <c r="F222">
        <v>156</v>
      </c>
      <c r="G222" s="11">
        <v>4.238069332867885E-4</v>
      </c>
      <c r="H222" s="12">
        <v>0.93399707931685139</v>
      </c>
      <c r="I222" t="s">
        <v>1241</v>
      </c>
      <c r="J222">
        <v>12</v>
      </c>
      <c r="K222" s="11">
        <f t="shared" si="18"/>
        <v>1.2431155079799796E-3</v>
      </c>
      <c r="L222" s="12">
        <f t="shared" si="23"/>
        <v>0.62715177377589737</v>
      </c>
      <c r="M222" t="str">
        <f t="shared" si="19"/>
        <v>A</v>
      </c>
      <c r="N222" t="str">
        <f t="shared" si="20"/>
        <v>ABA</v>
      </c>
      <c r="O222" s="11">
        <f>VLOOKUP(A222,XYZ!A221:G1024,2,FALSE)</f>
        <v>2.2360679774997894</v>
      </c>
      <c r="P222" t="str">
        <f t="shared" si="21"/>
        <v>Z</v>
      </c>
      <c r="Q222" t="str">
        <f t="shared" si="22"/>
        <v>ABAZ</v>
      </c>
    </row>
    <row r="223" spans="1:17" x14ac:dyDescent="0.15">
      <c r="A223" t="s">
        <v>920</v>
      </c>
      <c r="B223" s="9">
        <v>2</v>
      </c>
      <c r="C223" s="13">
        <v>0</v>
      </c>
      <c r="D223" s="13">
        <v>0.63</v>
      </c>
      <c r="E223" s="9" t="s">
        <v>1240</v>
      </c>
      <c r="F223">
        <v>154</v>
      </c>
      <c r="G223" s="11">
        <v>4.18373511065163E-4</v>
      </c>
      <c r="H223" s="12">
        <v>0.93610524713884213</v>
      </c>
      <c r="I223" t="s">
        <v>1241</v>
      </c>
      <c r="J223">
        <v>12</v>
      </c>
      <c r="K223" s="11">
        <f t="shared" si="18"/>
        <v>1.2431155079799796E-3</v>
      </c>
      <c r="L223" s="12">
        <f t="shared" si="23"/>
        <v>0.62839488928387732</v>
      </c>
      <c r="M223" t="str">
        <f t="shared" si="19"/>
        <v>A</v>
      </c>
      <c r="N223" t="str">
        <f t="shared" si="20"/>
        <v>ABA</v>
      </c>
      <c r="O223" s="11">
        <f>VLOOKUP(A223,XYZ!A222:G1025,2,FALSE)</f>
        <v>2.2360679774997894</v>
      </c>
      <c r="P223" t="str">
        <f t="shared" si="21"/>
        <v>Z</v>
      </c>
      <c r="Q223" t="str">
        <f t="shared" si="22"/>
        <v>ABAZ</v>
      </c>
    </row>
    <row r="224" spans="1:17" x14ac:dyDescent="0.15">
      <c r="A224" t="s">
        <v>325</v>
      </c>
      <c r="B224" s="9">
        <v>2</v>
      </c>
      <c r="C224" s="13">
        <v>0</v>
      </c>
      <c r="D224" s="13">
        <v>0.55000000000000004</v>
      </c>
      <c r="E224" s="9" t="s">
        <v>1240</v>
      </c>
      <c r="F224">
        <v>152</v>
      </c>
      <c r="G224" s="11">
        <v>4.1294008884353749E-4</v>
      </c>
      <c r="H224" s="12">
        <v>0.93901745278118909</v>
      </c>
      <c r="I224" t="s">
        <v>1241</v>
      </c>
      <c r="J224">
        <v>12</v>
      </c>
      <c r="K224" s="11">
        <f t="shared" si="18"/>
        <v>1.2431155079799796E-3</v>
      </c>
      <c r="L224" s="12">
        <f t="shared" si="23"/>
        <v>0.62963800479185728</v>
      </c>
      <c r="M224" t="str">
        <f t="shared" si="19"/>
        <v>A</v>
      </c>
      <c r="N224" t="str">
        <f t="shared" si="20"/>
        <v>ABA</v>
      </c>
      <c r="O224" s="11">
        <f>VLOOKUP(A224,XYZ!A223:G1026,2,FALSE)</f>
        <v>2.2360679774997894</v>
      </c>
      <c r="P224" t="str">
        <f t="shared" si="21"/>
        <v>Z</v>
      </c>
      <c r="Q224" t="str">
        <f t="shared" si="22"/>
        <v>ABAZ</v>
      </c>
    </row>
    <row r="225" spans="1:17" x14ac:dyDescent="0.15">
      <c r="A225" t="s">
        <v>382</v>
      </c>
      <c r="B225" s="9">
        <v>2</v>
      </c>
      <c r="C225" s="13">
        <v>0</v>
      </c>
      <c r="D225" s="13">
        <v>0.56999999999999995</v>
      </c>
      <c r="E225" s="9" t="s">
        <v>1240</v>
      </c>
      <c r="F225">
        <v>152</v>
      </c>
      <c r="G225" s="11">
        <v>4.1294008884353749E-4</v>
      </c>
      <c r="H225" s="12">
        <v>0.9394303928700326</v>
      </c>
      <c r="I225" t="s">
        <v>1241</v>
      </c>
      <c r="J225">
        <v>12</v>
      </c>
      <c r="K225" s="11">
        <f t="shared" si="18"/>
        <v>1.2431155079799796E-3</v>
      </c>
      <c r="L225" s="12">
        <f t="shared" si="23"/>
        <v>0.63088112029983723</v>
      </c>
      <c r="M225" t="str">
        <f t="shared" si="19"/>
        <v>A</v>
      </c>
      <c r="N225" t="str">
        <f t="shared" si="20"/>
        <v>ABA</v>
      </c>
      <c r="O225" s="11">
        <f>VLOOKUP(A225,XYZ!A224:G1027,2,FALSE)</f>
        <v>1.3693063937629151</v>
      </c>
      <c r="P225" t="str">
        <f t="shared" si="21"/>
        <v>Z</v>
      </c>
      <c r="Q225" t="str">
        <f t="shared" si="22"/>
        <v>ABAZ</v>
      </c>
    </row>
    <row r="226" spans="1:17" x14ac:dyDescent="0.15">
      <c r="A226" t="s">
        <v>79</v>
      </c>
      <c r="B226" s="9">
        <v>2</v>
      </c>
      <c r="C226" s="13">
        <v>0</v>
      </c>
      <c r="D226" s="13">
        <v>0.6</v>
      </c>
      <c r="E226" s="9" t="s">
        <v>1240</v>
      </c>
      <c r="F226">
        <v>147</v>
      </c>
      <c r="G226" s="11">
        <v>3.9935653328947374E-4</v>
      </c>
      <c r="H226" s="12">
        <v>0.9414489092253665</v>
      </c>
      <c r="I226" t="s">
        <v>1241</v>
      </c>
      <c r="J226">
        <v>12</v>
      </c>
      <c r="K226" s="11">
        <f t="shared" si="18"/>
        <v>1.2431155079799796E-3</v>
      </c>
      <c r="L226" s="12">
        <f t="shared" si="23"/>
        <v>0.63212423580781718</v>
      </c>
      <c r="M226" t="str">
        <f t="shared" si="19"/>
        <v>A</v>
      </c>
      <c r="N226" t="str">
        <f t="shared" si="20"/>
        <v>ABA</v>
      </c>
      <c r="O226" s="11">
        <f>VLOOKUP(A226,XYZ!A225:G1028,2,FALSE)</f>
        <v>1.3693063937629151</v>
      </c>
      <c r="P226" t="str">
        <f t="shared" si="21"/>
        <v>Z</v>
      </c>
      <c r="Q226" t="str">
        <f t="shared" si="22"/>
        <v>ABAZ</v>
      </c>
    </row>
    <row r="227" spans="1:17" x14ac:dyDescent="0.15">
      <c r="A227" t="s">
        <v>943</v>
      </c>
      <c r="B227" s="9">
        <v>2</v>
      </c>
      <c r="C227" s="13">
        <v>0</v>
      </c>
      <c r="D227" s="13">
        <v>0.61</v>
      </c>
      <c r="E227" s="9" t="s">
        <v>1240</v>
      </c>
      <c r="F227">
        <v>144</v>
      </c>
      <c r="G227" s="11">
        <v>3.9120639995703554E-4</v>
      </c>
      <c r="H227" s="12">
        <v>0.94302188495852712</v>
      </c>
      <c r="I227" t="s">
        <v>1241</v>
      </c>
      <c r="J227">
        <v>12</v>
      </c>
      <c r="K227" s="11">
        <f t="shared" si="18"/>
        <v>1.2431155079799796E-3</v>
      </c>
      <c r="L227" s="12">
        <f t="shared" si="23"/>
        <v>0.63336735131579713</v>
      </c>
      <c r="M227" t="str">
        <f t="shared" si="19"/>
        <v>A</v>
      </c>
      <c r="N227" t="str">
        <f t="shared" si="20"/>
        <v>ABA</v>
      </c>
      <c r="O227" s="11">
        <f>VLOOKUP(A227,XYZ!A226:G1029,2,FALSE)</f>
        <v>2.2360679774997894</v>
      </c>
      <c r="P227" t="str">
        <f t="shared" si="21"/>
        <v>Z</v>
      </c>
      <c r="Q227" t="str">
        <f t="shared" si="22"/>
        <v>ABAZ</v>
      </c>
    </row>
    <row r="228" spans="1:17" x14ac:dyDescent="0.15">
      <c r="A228" t="s">
        <v>199</v>
      </c>
      <c r="B228" s="9">
        <v>2</v>
      </c>
      <c r="C228" s="13">
        <v>0</v>
      </c>
      <c r="D228" s="13">
        <v>0.55000000000000004</v>
      </c>
      <c r="E228" s="9" t="s">
        <v>1240</v>
      </c>
      <c r="F228">
        <v>140</v>
      </c>
      <c r="G228" s="11">
        <v>3.8033955551378454E-4</v>
      </c>
      <c r="H228" s="12">
        <v>0.94532565598049645</v>
      </c>
      <c r="I228" t="s">
        <v>1241</v>
      </c>
      <c r="J228">
        <v>12</v>
      </c>
      <c r="K228" s="11">
        <f t="shared" si="18"/>
        <v>1.2431155079799796E-3</v>
      </c>
      <c r="L228" s="12">
        <f t="shared" si="23"/>
        <v>0.63461046682377709</v>
      </c>
      <c r="M228" t="str">
        <f t="shared" si="19"/>
        <v>A</v>
      </c>
      <c r="N228" t="str">
        <f t="shared" si="20"/>
        <v>ABA</v>
      </c>
      <c r="O228" s="11">
        <f>VLOOKUP(A228,XYZ!A227:G1030,2,FALSE)</f>
        <v>2.2360679774997894</v>
      </c>
      <c r="P228" t="str">
        <f t="shared" si="21"/>
        <v>Z</v>
      </c>
      <c r="Q228" t="str">
        <f t="shared" si="22"/>
        <v>ABAZ</v>
      </c>
    </row>
    <row r="229" spans="1:17" x14ac:dyDescent="0.15">
      <c r="A229" t="s">
        <v>289</v>
      </c>
      <c r="B229" s="9">
        <v>2</v>
      </c>
      <c r="C229" s="13">
        <v>0</v>
      </c>
      <c r="D229" s="13">
        <v>0.56999999999999995</v>
      </c>
      <c r="E229" s="9" t="s">
        <v>1240</v>
      </c>
      <c r="F229">
        <v>140</v>
      </c>
      <c r="G229" s="11">
        <v>3.8033955551378454E-4</v>
      </c>
      <c r="H229" s="12">
        <v>0.9457059955360102</v>
      </c>
      <c r="I229" t="s">
        <v>1241</v>
      </c>
      <c r="J229">
        <v>12</v>
      </c>
      <c r="K229" s="11">
        <f t="shared" si="18"/>
        <v>1.2431155079799796E-3</v>
      </c>
      <c r="L229" s="12">
        <f t="shared" si="23"/>
        <v>0.63585358233175704</v>
      </c>
      <c r="M229" t="str">
        <f t="shared" si="19"/>
        <v>A</v>
      </c>
      <c r="N229" t="str">
        <f t="shared" si="20"/>
        <v>ABA</v>
      </c>
      <c r="O229" s="11">
        <f>VLOOKUP(A229,XYZ!A228:G1031,2,FALSE)</f>
        <v>1.3693063937629151</v>
      </c>
      <c r="P229" t="str">
        <f t="shared" si="21"/>
        <v>Z</v>
      </c>
      <c r="Q229" t="str">
        <f t="shared" si="22"/>
        <v>ABAZ</v>
      </c>
    </row>
    <row r="230" spans="1:17" x14ac:dyDescent="0.15">
      <c r="A230" t="s">
        <v>569</v>
      </c>
      <c r="B230" s="9">
        <v>2</v>
      </c>
      <c r="C230" s="13">
        <v>0</v>
      </c>
      <c r="D230" s="13">
        <v>0.62</v>
      </c>
      <c r="E230" s="9" t="s">
        <v>1240</v>
      </c>
      <c r="F230">
        <v>130</v>
      </c>
      <c r="G230" s="11">
        <v>3.5317244440565709E-4</v>
      </c>
      <c r="H230" s="12">
        <v>0.95119646869096297</v>
      </c>
      <c r="I230" t="s">
        <v>1242</v>
      </c>
      <c r="J230">
        <v>12</v>
      </c>
      <c r="K230" s="11">
        <f t="shared" si="18"/>
        <v>1.2431155079799796E-3</v>
      </c>
      <c r="L230" s="12">
        <f t="shared" si="23"/>
        <v>0.63709669783973699</v>
      </c>
      <c r="M230" t="str">
        <f t="shared" si="19"/>
        <v>A</v>
      </c>
      <c r="N230" t="str">
        <f t="shared" si="20"/>
        <v>ACA</v>
      </c>
      <c r="O230" s="11">
        <f>VLOOKUP(A230,XYZ!A229:G1032,2,FALSE)</f>
        <v>2.2360679774997894</v>
      </c>
      <c r="P230" t="str">
        <f t="shared" si="21"/>
        <v>Z</v>
      </c>
      <c r="Q230" t="str">
        <f t="shared" si="22"/>
        <v>ACAZ</v>
      </c>
    </row>
    <row r="231" spans="1:17" x14ac:dyDescent="0.15">
      <c r="A231" t="s">
        <v>659</v>
      </c>
      <c r="B231" s="9">
        <v>2</v>
      </c>
      <c r="C231" s="13">
        <v>0</v>
      </c>
      <c r="D231" s="13">
        <v>0.53</v>
      </c>
      <c r="E231" s="9" t="s">
        <v>1240</v>
      </c>
      <c r="F231">
        <v>124</v>
      </c>
      <c r="G231" s="11">
        <v>3.3687217774078059E-4</v>
      </c>
      <c r="H231" s="12">
        <v>0.95602276031354405</v>
      </c>
      <c r="I231" t="s">
        <v>1242</v>
      </c>
      <c r="J231">
        <v>12</v>
      </c>
      <c r="K231" s="11">
        <f t="shared" si="18"/>
        <v>1.2431155079799796E-3</v>
      </c>
      <c r="L231" s="12">
        <f t="shared" si="23"/>
        <v>0.63833981334771694</v>
      </c>
      <c r="M231" t="str">
        <f t="shared" si="19"/>
        <v>A</v>
      </c>
      <c r="N231" t="str">
        <f t="shared" si="20"/>
        <v>ACA</v>
      </c>
      <c r="O231" s="11">
        <f>VLOOKUP(A231,XYZ!A230:G1033,2,FALSE)</f>
        <v>2.2360679774997894</v>
      </c>
      <c r="P231" t="str">
        <f t="shared" si="21"/>
        <v>Z</v>
      </c>
      <c r="Q231" t="str">
        <f t="shared" si="22"/>
        <v>ACAZ</v>
      </c>
    </row>
    <row r="232" spans="1:17" x14ac:dyDescent="0.15">
      <c r="A232" t="s">
        <v>437</v>
      </c>
      <c r="B232" s="9">
        <v>2</v>
      </c>
      <c r="C232" s="13">
        <v>0</v>
      </c>
      <c r="D232" s="13">
        <v>0.64</v>
      </c>
      <c r="E232" s="9" t="s">
        <v>1240</v>
      </c>
      <c r="F232">
        <v>114</v>
      </c>
      <c r="G232" s="11">
        <v>3.0970506663265313E-4</v>
      </c>
      <c r="H232" s="12">
        <v>0.96283733129679538</v>
      </c>
      <c r="I232" t="s">
        <v>1242</v>
      </c>
      <c r="J232">
        <v>12</v>
      </c>
      <c r="K232" s="11">
        <f t="shared" si="18"/>
        <v>1.2431155079799796E-3</v>
      </c>
      <c r="L232" s="12">
        <f t="shared" si="23"/>
        <v>0.6395829288556969</v>
      </c>
      <c r="M232" t="str">
        <f t="shared" si="19"/>
        <v>A</v>
      </c>
      <c r="N232" t="str">
        <f t="shared" si="20"/>
        <v>ACA</v>
      </c>
      <c r="O232" s="11">
        <f>VLOOKUP(A232,XYZ!A231:G1034,2,FALSE)</f>
        <v>2.2360679774997894</v>
      </c>
      <c r="P232" t="str">
        <f t="shared" si="21"/>
        <v>Z</v>
      </c>
      <c r="Q232" t="str">
        <f t="shared" si="22"/>
        <v>ACAZ</v>
      </c>
    </row>
    <row r="233" spans="1:17" x14ac:dyDescent="0.15">
      <c r="A233" t="s">
        <v>919</v>
      </c>
      <c r="B233" s="9">
        <v>2</v>
      </c>
      <c r="C233" s="13">
        <v>0</v>
      </c>
      <c r="D233" s="13">
        <v>0.56000000000000005</v>
      </c>
      <c r="E233" s="9" t="s">
        <v>1240</v>
      </c>
      <c r="F233">
        <v>108.66</v>
      </c>
      <c r="G233" s="11">
        <v>2.9519782930091307E-4</v>
      </c>
      <c r="H233" s="12">
        <v>0.96492229840589971</v>
      </c>
      <c r="I233" t="s">
        <v>1242</v>
      </c>
      <c r="J233">
        <v>12</v>
      </c>
      <c r="K233" s="11">
        <f t="shared" si="18"/>
        <v>1.2431155079799796E-3</v>
      </c>
      <c r="L233" s="12">
        <f t="shared" si="23"/>
        <v>0.64082604436367685</v>
      </c>
      <c r="M233" t="str">
        <f t="shared" si="19"/>
        <v>A</v>
      </c>
      <c r="N233" t="str">
        <f t="shared" si="20"/>
        <v>ACA</v>
      </c>
      <c r="O233" s="11">
        <f>VLOOKUP(A233,XYZ!A232:G1035,2,FALSE)</f>
        <v>1.3693063937629151</v>
      </c>
      <c r="P233" t="str">
        <f t="shared" si="21"/>
        <v>Z</v>
      </c>
      <c r="Q233" t="str">
        <f t="shared" si="22"/>
        <v>ACAZ</v>
      </c>
    </row>
    <row r="234" spans="1:17" x14ac:dyDescent="0.15">
      <c r="A234" t="s">
        <v>800</v>
      </c>
      <c r="B234" s="9">
        <v>2</v>
      </c>
      <c r="C234" s="13">
        <v>0</v>
      </c>
      <c r="D234" s="13">
        <v>0.55000000000000004</v>
      </c>
      <c r="E234" s="9" t="s">
        <v>1240</v>
      </c>
      <c r="F234">
        <v>106</v>
      </c>
      <c r="G234" s="11">
        <v>2.8797137774615113E-4</v>
      </c>
      <c r="H234" s="12">
        <v>0.96637791221907332</v>
      </c>
      <c r="I234" t="s">
        <v>1242</v>
      </c>
      <c r="J234">
        <v>12</v>
      </c>
      <c r="K234" s="11">
        <f t="shared" si="18"/>
        <v>1.2431155079799796E-3</v>
      </c>
      <c r="L234" s="12">
        <f t="shared" si="23"/>
        <v>0.6420691598716568</v>
      </c>
      <c r="M234" t="str">
        <f t="shared" si="19"/>
        <v>A</v>
      </c>
      <c r="N234" t="str">
        <f t="shared" si="20"/>
        <v>ACA</v>
      </c>
      <c r="O234" s="11">
        <f>VLOOKUP(A234,XYZ!A233:G1036,2,FALSE)</f>
        <v>2.2360679774997894</v>
      </c>
      <c r="P234" t="str">
        <f t="shared" si="21"/>
        <v>Z</v>
      </c>
      <c r="Q234" t="str">
        <f t="shared" si="22"/>
        <v>ACAZ</v>
      </c>
    </row>
    <row r="235" spans="1:17" x14ac:dyDescent="0.15">
      <c r="A235" t="s">
        <v>90</v>
      </c>
      <c r="B235" s="9">
        <v>2</v>
      </c>
      <c r="C235" s="13">
        <v>0</v>
      </c>
      <c r="D235" s="13">
        <v>0.56999999999999995</v>
      </c>
      <c r="E235" s="9" t="s">
        <v>1240</v>
      </c>
      <c r="F235">
        <v>106</v>
      </c>
      <c r="G235" s="11">
        <v>2.8797137774615113E-4</v>
      </c>
      <c r="H235" s="12">
        <v>0.96666588359681949</v>
      </c>
      <c r="I235" t="s">
        <v>1242</v>
      </c>
      <c r="J235">
        <v>12</v>
      </c>
      <c r="K235" s="11">
        <f t="shared" si="18"/>
        <v>1.2431155079799796E-3</v>
      </c>
      <c r="L235" s="12">
        <f t="shared" si="23"/>
        <v>0.64331227537963676</v>
      </c>
      <c r="M235" t="str">
        <f t="shared" si="19"/>
        <v>A</v>
      </c>
      <c r="N235" t="str">
        <f t="shared" si="20"/>
        <v>ACA</v>
      </c>
      <c r="O235" s="11">
        <f>VLOOKUP(A235,XYZ!A234:G1037,2,FALSE)</f>
        <v>1.3693063937629151</v>
      </c>
      <c r="P235" t="str">
        <f t="shared" si="21"/>
        <v>Z</v>
      </c>
      <c r="Q235" t="str">
        <f t="shared" si="22"/>
        <v>ACAZ</v>
      </c>
    </row>
    <row r="236" spans="1:17" x14ac:dyDescent="0.15">
      <c r="A236" t="s">
        <v>310</v>
      </c>
      <c r="B236" s="9">
        <v>2</v>
      </c>
      <c r="C236" s="13">
        <v>0</v>
      </c>
      <c r="D236" s="13">
        <v>0.53</v>
      </c>
      <c r="E236" s="9" t="s">
        <v>1240</v>
      </c>
      <c r="F236">
        <v>102</v>
      </c>
      <c r="G236" s="11">
        <v>2.7710453330290018E-4</v>
      </c>
      <c r="H236" s="12">
        <v>0.96920057506320789</v>
      </c>
      <c r="I236" t="s">
        <v>1242</v>
      </c>
      <c r="J236">
        <v>12</v>
      </c>
      <c r="K236" s="11">
        <f t="shared" si="18"/>
        <v>1.2431155079799796E-3</v>
      </c>
      <c r="L236" s="12">
        <f t="shared" si="23"/>
        <v>0.64455539088761671</v>
      </c>
      <c r="M236" t="str">
        <f t="shared" si="19"/>
        <v>A</v>
      </c>
      <c r="N236" t="str">
        <f t="shared" si="20"/>
        <v>ACA</v>
      </c>
      <c r="O236" s="11">
        <f>VLOOKUP(A236,XYZ!A235:G1038,2,FALSE)</f>
        <v>2.2360679774997894</v>
      </c>
      <c r="P236" t="str">
        <f t="shared" si="21"/>
        <v>Z</v>
      </c>
      <c r="Q236" t="str">
        <f t="shared" si="22"/>
        <v>ACAZ</v>
      </c>
    </row>
    <row r="237" spans="1:17" x14ac:dyDescent="0.15">
      <c r="A237" t="s">
        <v>446</v>
      </c>
      <c r="B237" s="9">
        <v>2</v>
      </c>
      <c r="C237" s="13">
        <v>0</v>
      </c>
      <c r="D237" s="13">
        <v>0.63</v>
      </c>
      <c r="E237" s="9" t="s">
        <v>1240</v>
      </c>
      <c r="F237">
        <v>100</v>
      </c>
      <c r="G237" s="11">
        <v>2.7167111108127468E-4</v>
      </c>
      <c r="H237" s="12">
        <v>0.97222155781843178</v>
      </c>
      <c r="I237" t="s">
        <v>1242</v>
      </c>
      <c r="J237">
        <v>12</v>
      </c>
      <c r="K237" s="11">
        <f t="shared" si="18"/>
        <v>1.2431155079799796E-3</v>
      </c>
      <c r="L237" s="12">
        <f t="shared" si="23"/>
        <v>0.64579850639559666</v>
      </c>
      <c r="M237" t="str">
        <f t="shared" si="19"/>
        <v>A</v>
      </c>
      <c r="N237" t="str">
        <f t="shared" si="20"/>
        <v>ACA</v>
      </c>
      <c r="O237" s="11">
        <f>VLOOKUP(A237,XYZ!A236:G1039,2,FALSE)</f>
        <v>1.3693063937629151</v>
      </c>
      <c r="P237" t="str">
        <f t="shared" si="21"/>
        <v>Z</v>
      </c>
      <c r="Q237" t="str">
        <f t="shared" si="22"/>
        <v>ACAZ</v>
      </c>
    </row>
    <row r="238" spans="1:17" x14ac:dyDescent="0.15">
      <c r="A238" t="s">
        <v>817</v>
      </c>
      <c r="B238" s="9">
        <v>2</v>
      </c>
      <c r="C238" s="13">
        <v>0</v>
      </c>
      <c r="D238" s="13">
        <v>0.56000000000000005</v>
      </c>
      <c r="E238" s="9" t="s">
        <v>1240</v>
      </c>
      <c r="F238">
        <v>96</v>
      </c>
      <c r="G238" s="11">
        <v>2.6080426663802368E-4</v>
      </c>
      <c r="H238" s="12">
        <v>0.97567993106249651</v>
      </c>
      <c r="I238" t="s">
        <v>1242</v>
      </c>
      <c r="J238">
        <v>12</v>
      </c>
      <c r="K238" s="11">
        <f t="shared" si="18"/>
        <v>1.2431155079799796E-3</v>
      </c>
      <c r="L238" s="12">
        <f t="shared" si="23"/>
        <v>0.64704162190357661</v>
      </c>
      <c r="M238" t="str">
        <f t="shared" si="19"/>
        <v>A</v>
      </c>
      <c r="N238" t="str">
        <f t="shared" si="20"/>
        <v>ACA</v>
      </c>
      <c r="O238" s="11">
        <f>VLOOKUP(A238,XYZ!A237:G1040,2,FALSE)</f>
        <v>2.2360679774997894</v>
      </c>
      <c r="P238" t="str">
        <f t="shared" si="21"/>
        <v>Z</v>
      </c>
      <c r="Q238" t="str">
        <f t="shared" si="22"/>
        <v>ACAZ</v>
      </c>
    </row>
    <row r="239" spans="1:17" x14ac:dyDescent="0.15">
      <c r="A239" t="s">
        <v>122</v>
      </c>
      <c r="B239" s="9">
        <v>2</v>
      </c>
      <c r="C239" s="13">
        <v>0</v>
      </c>
      <c r="D239" s="13">
        <v>0.67</v>
      </c>
      <c r="E239" s="9" t="s">
        <v>1240</v>
      </c>
      <c r="F239">
        <v>94.09</v>
      </c>
      <c r="G239" s="11">
        <v>2.5561534841637133E-4</v>
      </c>
      <c r="H239" s="12">
        <v>0.97645443823307809</v>
      </c>
      <c r="I239" t="s">
        <v>1242</v>
      </c>
      <c r="J239">
        <v>12</v>
      </c>
      <c r="K239" s="11">
        <f t="shared" si="18"/>
        <v>1.2431155079799796E-3</v>
      </c>
      <c r="L239" s="12">
        <f t="shared" si="23"/>
        <v>0.64828473741155657</v>
      </c>
      <c r="M239" t="str">
        <f t="shared" si="19"/>
        <v>A</v>
      </c>
      <c r="N239" t="str">
        <f t="shared" si="20"/>
        <v>ACA</v>
      </c>
      <c r="O239" s="11">
        <f>VLOOKUP(A239,XYZ!A238:G1041,2,FALSE)</f>
        <v>1.3693063937629151</v>
      </c>
      <c r="P239" t="str">
        <f t="shared" si="21"/>
        <v>Z</v>
      </c>
      <c r="Q239" t="str">
        <f t="shared" si="22"/>
        <v>ACAZ</v>
      </c>
    </row>
    <row r="240" spans="1:17" x14ac:dyDescent="0.15">
      <c r="A240" t="s">
        <v>903</v>
      </c>
      <c r="B240" s="9">
        <v>2</v>
      </c>
      <c r="C240" s="13">
        <v>0</v>
      </c>
      <c r="D240" s="13">
        <v>0.56000000000000005</v>
      </c>
      <c r="E240" s="9" t="s">
        <v>1240</v>
      </c>
      <c r="F240">
        <v>92</v>
      </c>
      <c r="G240" s="11">
        <v>2.4993742219477268E-4</v>
      </c>
      <c r="H240" s="12">
        <v>0.97720968392188401</v>
      </c>
      <c r="I240" t="s">
        <v>1242</v>
      </c>
      <c r="J240">
        <v>12</v>
      </c>
      <c r="K240" s="11">
        <f t="shared" si="18"/>
        <v>1.2431155079799796E-3</v>
      </c>
      <c r="L240" s="12">
        <f t="shared" si="23"/>
        <v>0.64952785291953652</v>
      </c>
      <c r="M240" t="str">
        <f t="shared" si="19"/>
        <v>A</v>
      </c>
      <c r="N240" t="str">
        <f t="shared" si="20"/>
        <v>ACA</v>
      </c>
      <c r="O240" s="11">
        <f>VLOOKUP(A240,XYZ!A239:G1042,2,FALSE)</f>
        <v>2.2360679774997894</v>
      </c>
      <c r="P240" t="str">
        <f t="shared" si="21"/>
        <v>Z</v>
      </c>
      <c r="Q240" t="str">
        <f t="shared" si="22"/>
        <v>ACAZ</v>
      </c>
    </row>
    <row r="241" spans="1:17" x14ac:dyDescent="0.15">
      <c r="A241" t="s">
        <v>975</v>
      </c>
      <c r="B241" s="9">
        <v>2</v>
      </c>
      <c r="C241" s="13">
        <v>0</v>
      </c>
      <c r="D241" s="13">
        <v>0.59</v>
      </c>
      <c r="E241" s="9" t="s">
        <v>1240</v>
      </c>
      <c r="F241">
        <v>88</v>
      </c>
      <c r="G241" s="11">
        <v>2.390705777515217E-4</v>
      </c>
      <c r="H241" s="12">
        <v>0.97891605017058558</v>
      </c>
      <c r="I241" t="s">
        <v>1242</v>
      </c>
      <c r="J241">
        <v>12</v>
      </c>
      <c r="K241" s="11">
        <f t="shared" si="18"/>
        <v>1.2431155079799796E-3</v>
      </c>
      <c r="L241" s="12">
        <f t="shared" si="23"/>
        <v>0.65077096842751647</v>
      </c>
      <c r="M241" t="str">
        <f t="shared" si="19"/>
        <v>A</v>
      </c>
      <c r="N241" t="str">
        <f t="shared" si="20"/>
        <v>ACA</v>
      </c>
      <c r="O241" s="11">
        <f>VLOOKUP(A241,XYZ!A240:G1043,2,FALSE)</f>
        <v>2.2360679774997894</v>
      </c>
      <c r="P241" t="str">
        <f t="shared" si="21"/>
        <v>Z</v>
      </c>
      <c r="Q241" t="str">
        <f t="shared" si="22"/>
        <v>ACAZ</v>
      </c>
    </row>
    <row r="242" spans="1:17" x14ac:dyDescent="0.15">
      <c r="A242" t="s">
        <v>380</v>
      </c>
      <c r="B242" s="9">
        <v>2</v>
      </c>
      <c r="C242" s="13">
        <v>0</v>
      </c>
      <c r="D242" s="13">
        <v>0.67</v>
      </c>
      <c r="E242" s="9" t="s">
        <v>1240</v>
      </c>
      <c r="F242">
        <v>88</v>
      </c>
      <c r="G242" s="11">
        <v>2.390705777515217E-4</v>
      </c>
      <c r="H242" s="12">
        <v>0.9791551207483371</v>
      </c>
      <c r="I242" t="s">
        <v>1242</v>
      </c>
      <c r="J242">
        <v>12</v>
      </c>
      <c r="K242" s="11">
        <f t="shared" si="18"/>
        <v>1.2431155079799796E-3</v>
      </c>
      <c r="L242" s="12">
        <f t="shared" si="23"/>
        <v>0.65201408393549642</v>
      </c>
      <c r="M242" t="str">
        <f t="shared" si="19"/>
        <v>A</v>
      </c>
      <c r="N242" t="str">
        <f t="shared" si="20"/>
        <v>ACA</v>
      </c>
      <c r="O242" s="11">
        <f>VLOOKUP(A242,XYZ!A241:G1044,2,FALSE)</f>
        <v>2.2360679774997894</v>
      </c>
      <c r="P242" t="str">
        <f t="shared" si="21"/>
        <v>Z</v>
      </c>
      <c r="Q242" t="str">
        <f t="shared" si="22"/>
        <v>ACAZ</v>
      </c>
    </row>
    <row r="243" spans="1:17" x14ac:dyDescent="0.15">
      <c r="A243" t="s">
        <v>712</v>
      </c>
      <c r="B243" s="9">
        <v>2</v>
      </c>
      <c r="C243" s="13">
        <v>0</v>
      </c>
      <c r="D243" s="13">
        <v>0.61</v>
      </c>
      <c r="E243" s="9" t="s">
        <v>1240</v>
      </c>
      <c r="F243">
        <v>87</v>
      </c>
      <c r="G243" s="11">
        <v>2.3635386664070898E-4</v>
      </c>
      <c r="H243" s="12">
        <v>0.9796305451927293</v>
      </c>
      <c r="I243" t="s">
        <v>1242</v>
      </c>
      <c r="J243">
        <v>12</v>
      </c>
      <c r="K243" s="11">
        <f t="shared" si="18"/>
        <v>1.2431155079799796E-3</v>
      </c>
      <c r="L243" s="12">
        <f t="shared" si="23"/>
        <v>0.65325719944347638</v>
      </c>
      <c r="M243" t="str">
        <f t="shared" si="19"/>
        <v>A</v>
      </c>
      <c r="N243" t="str">
        <f t="shared" si="20"/>
        <v>ACA</v>
      </c>
      <c r="O243" s="11">
        <f>VLOOKUP(A243,XYZ!A242:G1045,2,FALSE)</f>
        <v>2.2360679774997894</v>
      </c>
      <c r="P243" t="str">
        <f t="shared" si="21"/>
        <v>Z</v>
      </c>
      <c r="Q243" t="str">
        <f t="shared" si="22"/>
        <v>ACAZ</v>
      </c>
    </row>
    <row r="244" spans="1:17" x14ac:dyDescent="0.15">
      <c r="A244" t="s">
        <v>997</v>
      </c>
      <c r="B244" s="9">
        <v>2</v>
      </c>
      <c r="C244" s="13">
        <v>0</v>
      </c>
      <c r="D244" s="13">
        <v>0.65</v>
      </c>
      <c r="E244" s="9" t="s">
        <v>1240</v>
      </c>
      <c r="F244">
        <v>86</v>
      </c>
      <c r="G244" s="11">
        <v>2.3363715552989623E-4</v>
      </c>
      <c r="H244" s="12">
        <v>0.98057324394818124</v>
      </c>
      <c r="I244" t="s">
        <v>1242</v>
      </c>
      <c r="J244">
        <v>12</v>
      </c>
      <c r="K244" s="11">
        <f t="shared" si="18"/>
        <v>1.2431155079799796E-3</v>
      </c>
      <c r="L244" s="12">
        <f t="shared" si="23"/>
        <v>0.65450031495145633</v>
      </c>
      <c r="M244" t="str">
        <f t="shared" si="19"/>
        <v>A</v>
      </c>
      <c r="N244" t="str">
        <f t="shared" si="20"/>
        <v>ACA</v>
      </c>
      <c r="O244" s="11">
        <f>VLOOKUP(A244,XYZ!A243:G1046,2,FALSE)</f>
        <v>2.2360679774997894</v>
      </c>
      <c r="P244" t="str">
        <f t="shared" si="21"/>
        <v>Z</v>
      </c>
      <c r="Q244" t="str">
        <f t="shared" si="22"/>
        <v>ACAZ</v>
      </c>
    </row>
    <row r="245" spans="1:17" x14ac:dyDescent="0.15">
      <c r="A245" t="s">
        <v>460</v>
      </c>
      <c r="B245" s="9">
        <v>2</v>
      </c>
      <c r="C245" s="13">
        <v>0</v>
      </c>
      <c r="D245" s="13">
        <v>0.53</v>
      </c>
      <c r="E245" s="9" t="s">
        <v>1240</v>
      </c>
      <c r="F245">
        <v>83</v>
      </c>
      <c r="G245" s="11">
        <v>2.2548702219745797E-4</v>
      </c>
      <c r="H245" s="12">
        <v>0.98102693470368696</v>
      </c>
      <c r="I245" t="s">
        <v>1242</v>
      </c>
      <c r="J245">
        <v>12</v>
      </c>
      <c r="K245" s="11">
        <f t="shared" si="18"/>
        <v>1.2431155079799796E-3</v>
      </c>
      <c r="L245" s="12">
        <f t="shared" si="23"/>
        <v>0.65574343045943628</v>
      </c>
      <c r="M245" t="str">
        <f t="shared" si="19"/>
        <v>A</v>
      </c>
      <c r="N245" t="str">
        <f t="shared" si="20"/>
        <v>ACA</v>
      </c>
      <c r="O245" s="11">
        <f>VLOOKUP(A245,XYZ!A244:G1047,2,FALSE)</f>
        <v>1.3693063937629151</v>
      </c>
      <c r="P245" t="str">
        <f t="shared" si="21"/>
        <v>Z</v>
      </c>
      <c r="Q245" t="str">
        <f t="shared" si="22"/>
        <v>ACAZ</v>
      </c>
    </row>
    <row r="246" spans="1:17" x14ac:dyDescent="0.15">
      <c r="A246" t="s">
        <v>480</v>
      </c>
      <c r="B246" s="9">
        <v>2</v>
      </c>
      <c r="C246" s="13">
        <v>0</v>
      </c>
      <c r="D246" s="13">
        <v>0.53</v>
      </c>
      <c r="E246" s="9" t="s">
        <v>1240</v>
      </c>
      <c r="F246">
        <v>82</v>
      </c>
      <c r="G246" s="11">
        <v>2.2277031108664522E-4</v>
      </c>
      <c r="H246" s="12">
        <v>0.98192616608136607</v>
      </c>
      <c r="I246" t="s">
        <v>1242</v>
      </c>
      <c r="J246">
        <v>12</v>
      </c>
      <c r="K246" s="11">
        <f t="shared" si="18"/>
        <v>1.2431155079799796E-3</v>
      </c>
      <c r="L246" s="12">
        <f t="shared" si="23"/>
        <v>0.65698654596741624</v>
      </c>
      <c r="M246" t="str">
        <f t="shared" si="19"/>
        <v>A</v>
      </c>
      <c r="N246" t="str">
        <f t="shared" si="20"/>
        <v>ACA</v>
      </c>
      <c r="O246" s="11">
        <f>VLOOKUP(A246,XYZ!A245:G1048,2,FALSE)</f>
        <v>2.2360679774997894</v>
      </c>
      <c r="P246" t="str">
        <f t="shared" si="21"/>
        <v>Z</v>
      </c>
      <c r="Q246" t="str">
        <f t="shared" si="22"/>
        <v>ACAZ</v>
      </c>
    </row>
    <row r="247" spans="1:17" x14ac:dyDescent="0.15">
      <c r="A247" t="s">
        <v>1166</v>
      </c>
      <c r="B247" s="9">
        <v>2</v>
      </c>
      <c r="C247" s="13">
        <v>0</v>
      </c>
      <c r="D247" s="13">
        <v>0.6</v>
      </c>
      <c r="E247" s="9" t="s">
        <v>1240</v>
      </c>
      <c r="F247">
        <v>82</v>
      </c>
      <c r="G247" s="11">
        <v>2.2277031108664522E-4</v>
      </c>
      <c r="H247" s="12">
        <v>0.98214893639245271</v>
      </c>
      <c r="I247" t="s">
        <v>1242</v>
      </c>
      <c r="J247">
        <v>12</v>
      </c>
      <c r="K247" s="11">
        <f t="shared" si="18"/>
        <v>1.2431155079799796E-3</v>
      </c>
      <c r="L247" s="12">
        <f t="shared" si="23"/>
        <v>0.65822966147539619</v>
      </c>
      <c r="M247" t="str">
        <f t="shared" si="19"/>
        <v>A</v>
      </c>
      <c r="N247" t="str">
        <f t="shared" si="20"/>
        <v>ACA</v>
      </c>
      <c r="O247" s="11">
        <f>VLOOKUP(A247,XYZ!A246:G1049,2,FALSE)</f>
        <v>2.2360679774997894</v>
      </c>
      <c r="P247" t="str">
        <f t="shared" si="21"/>
        <v>Z</v>
      </c>
      <c r="Q247" t="str">
        <f t="shared" si="22"/>
        <v>ACAZ</v>
      </c>
    </row>
    <row r="248" spans="1:17" x14ac:dyDescent="0.15">
      <c r="A248" t="s">
        <v>673</v>
      </c>
      <c r="B248" s="9">
        <v>2</v>
      </c>
      <c r="C248" s="13">
        <v>0</v>
      </c>
      <c r="D248" s="13">
        <v>0.67</v>
      </c>
      <c r="E248" s="9" t="s">
        <v>1240</v>
      </c>
      <c r="F248">
        <v>82</v>
      </c>
      <c r="G248" s="11">
        <v>2.2277031108664522E-4</v>
      </c>
      <c r="H248" s="12">
        <v>0.98237170670353935</v>
      </c>
      <c r="I248" t="s">
        <v>1242</v>
      </c>
      <c r="J248">
        <v>12</v>
      </c>
      <c r="K248" s="11">
        <f t="shared" si="18"/>
        <v>1.2431155079799796E-3</v>
      </c>
      <c r="L248" s="12">
        <f t="shared" si="23"/>
        <v>0.65947277698337614</v>
      </c>
      <c r="M248" t="str">
        <f t="shared" si="19"/>
        <v>A</v>
      </c>
      <c r="N248" t="str">
        <f t="shared" si="20"/>
        <v>ACA</v>
      </c>
      <c r="O248" s="11">
        <f>VLOOKUP(A248,XYZ!A247:G1050,2,FALSE)</f>
        <v>1.3693063937629151</v>
      </c>
      <c r="P248" t="str">
        <f t="shared" si="21"/>
        <v>Z</v>
      </c>
      <c r="Q248" t="str">
        <f t="shared" si="22"/>
        <v>ACAZ</v>
      </c>
    </row>
    <row r="249" spans="1:17" x14ac:dyDescent="0.15">
      <c r="A249" t="s">
        <v>249</v>
      </c>
      <c r="B249" s="9">
        <v>2</v>
      </c>
      <c r="C249" s="13">
        <v>0</v>
      </c>
      <c r="D249" s="13">
        <v>0.54</v>
      </c>
      <c r="E249" s="9" t="s">
        <v>1240</v>
      </c>
      <c r="F249">
        <v>80</v>
      </c>
      <c r="G249" s="11">
        <v>2.1733688886501975E-4</v>
      </c>
      <c r="H249" s="12">
        <v>0.98347197470341841</v>
      </c>
      <c r="I249" t="s">
        <v>1242</v>
      </c>
      <c r="J249">
        <v>12</v>
      </c>
      <c r="K249" s="11">
        <f t="shared" si="18"/>
        <v>1.2431155079799796E-3</v>
      </c>
      <c r="L249" s="12">
        <f t="shared" si="23"/>
        <v>0.66071589249135609</v>
      </c>
      <c r="M249" t="str">
        <f t="shared" si="19"/>
        <v>A</v>
      </c>
      <c r="N249" t="str">
        <f t="shared" si="20"/>
        <v>ACA</v>
      </c>
      <c r="O249" s="11">
        <f>VLOOKUP(A249,XYZ!A248:G1051,2,FALSE)</f>
        <v>2.2360679774997894</v>
      </c>
      <c r="P249" t="str">
        <f t="shared" si="21"/>
        <v>Z</v>
      </c>
      <c r="Q249" t="str">
        <f t="shared" si="22"/>
        <v>ACAZ</v>
      </c>
    </row>
    <row r="250" spans="1:17" x14ac:dyDescent="0.15">
      <c r="A250" t="s">
        <v>381</v>
      </c>
      <c r="B250" s="9">
        <v>2</v>
      </c>
      <c r="C250" s="13">
        <v>0</v>
      </c>
      <c r="D250" s="13">
        <v>0.57999999999999996</v>
      </c>
      <c r="E250" s="9" t="s">
        <v>1240</v>
      </c>
      <c r="F250">
        <v>80</v>
      </c>
      <c r="G250" s="11">
        <v>2.1733688886501975E-4</v>
      </c>
      <c r="H250" s="12">
        <v>0.98368931159228346</v>
      </c>
      <c r="I250" t="s">
        <v>1242</v>
      </c>
      <c r="J250">
        <v>12</v>
      </c>
      <c r="K250" s="11">
        <f t="shared" si="18"/>
        <v>1.2431155079799796E-3</v>
      </c>
      <c r="L250" s="12">
        <f t="shared" si="23"/>
        <v>0.66195900799933605</v>
      </c>
      <c r="M250" t="str">
        <f t="shared" si="19"/>
        <v>A</v>
      </c>
      <c r="N250" t="str">
        <f t="shared" si="20"/>
        <v>ACA</v>
      </c>
      <c r="O250" s="11">
        <f>VLOOKUP(A250,XYZ!A249:G1052,2,FALSE)</f>
        <v>2.2360679774997894</v>
      </c>
      <c r="P250" t="str">
        <f t="shared" si="21"/>
        <v>Z</v>
      </c>
      <c r="Q250" t="str">
        <f t="shared" si="22"/>
        <v>ACAZ</v>
      </c>
    </row>
    <row r="251" spans="1:17" x14ac:dyDescent="0.15">
      <c r="A251" t="s">
        <v>748</v>
      </c>
      <c r="B251" s="9">
        <v>2</v>
      </c>
      <c r="C251" s="13">
        <v>0</v>
      </c>
      <c r="D251" s="13">
        <v>0.56999999999999995</v>
      </c>
      <c r="E251" s="9" t="s">
        <v>1240</v>
      </c>
      <c r="F251">
        <v>78</v>
      </c>
      <c r="G251" s="11">
        <v>2.1190346664339425E-4</v>
      </c>
      <c r="H251" s="12">
        <v>0.98497159923658695</v>
      </c>
      <c r="I251" t="s">
        <v>1242</v>
      </c>
      <c r="J251">
        <v>12</v>
      </c>
      <c r="K251" s="11">
        <f t="shared" si="18"/>
        <v>1.2431155079799796E-3</v>
      </c>
      <c r="L251" s="12">
        <f t="shared" si="23"/>
        <v>0.663202123507316</v>
      </c>
      <c r="M251" t="str">
        <f t="shared" si="19"/>
        <v>A</v>
      </c>
      <c r="N251" t="str">
        <f t="shared" si="20"/>
        <v>ACA</v>
      </c>
      <c r="O251" s="11">
        <f>VLOOKUP(A251,XYZ!A250:G1053,2,FALSE)</f>
        <v>1.3693063937629151</v>
      </c>
      <c r="P251" t="str">
        <f t="shared" si="21"/>
        <v>Z</v>
      </c>
      <c r="Q251" t="str">
        <f t="shared" si="22"/>
        <v>ACAZ</v>
      </c>
    </row>
    <row r="252" spans="1:17" x14ac:dyDescent="0.15">
      <c r="A252" t="s">
        <v>359</v>
      </c>
      <c r="B252" s="9">
        <v>2</v>
      </c>
      <c r="C252" s="13">
        <v>0</v>
      </c>
      <c r="D252" s="13">
        <v>0.65</v>
      </c>
      <c r="E252" s="9" t="s">
        <v>1240</v>
      </c>
      <c r="F252">
        <v>77</v>
      </c>
      <c r="G252" s="11">
        <v>2.091867555325815E-4</v>
      </c>
      <c r="H252" s="12">
        <v>0.9853926894587629</v>
      </c>
      <c r="I252" t="s">
        <v>1242</v>
      </c>
      <c r="J252">
        <v>12</v>
      </c>
      <c r="K252" s="11">
        <f t="shared" si="18"/>
        <v>1.2431155079799796E-3</v>
      </c>
      <c r="L252" s="12">
        <f t="shared" si="23"/>
        <v>0.66444523901529595</v>
      </c>
      <c r="M252" t="str">
        <f t="shared" si="19"/>
        <v>A</v>
      </c>
      <c r="N252" t="str">
        <f t="shared" si="20"/>
        <v>ACA</v>
      </c>
      <c r="O252" s="11">
        <f>VLOOKUP(A252,XYZ!A251:G1054,2,FALSE)</f>
        <v>2.2360679774997894</v>
      </c>
      <c r="P252" t="str">
        <f t="shared" si="21"/>
        <v>Z</v>
      </c>
      <c r="Q252" t="str">
        <f t="shared" si="22"/>
        <v>ACAZ</v>
      </c>
    </row>
    <row r="253" spans="1:17" x14ac:dyDescent="0.15">
      <c r="A253" t="s">
        <v>140</v>
      </c>
      <c r="B253" s="9">
        <v>2</v>
      </c>
      <c r="C253" s="13">
        <v>0</v>
      </c>
      <c r="D253" s="13">
        <v>0.57999999999999996</v>
      </c>
      <c r="E253" s="9" t="s">
        <v>1240</v>
      </c>
      <c r="F253">
        <v>76</v>
      </c>
      <c r="G253" s="11">
        <v>2.0647004442176875E-4</v>
      </c>
      <c r="H253" s="12">
        <v>0.98601481630313903</v>
      </c>
      <c r="I253" t="s">
        <v>1242</v>
      </c>
      <c r="J253">
        <v>12</v>
      </c>
      <c r="K253" s="11">
        <f t="shared" si="18"/>
        <v>1.2431155079799796E-3</v>
      </c>
      <c r="L253" s="12">
        <f t="shared" si="23"/>
        <v>0.6656883545232759</v>
      </c>
      <c r="M253" t="str">
        <f t="shared" si="19"/>
        <v>A</v>
      </c>
      <c r="N253" t="str">
        <f t="shared" si="20"/>
        <v>ACA</v>
      </c>
      <c r="O253" s="11">
        <f>VLOOKUP(A253,XYZ!A252:G1055,2,FALSE)</f>
        <v>1.3693063937629151</v>
      </c>
      <c r="P253" t="str">
        <f t="shared" si="21"/>
        <v>Z</v>
      </c>
      <c r="Q253" t="str">
        <f t="shared" si="22"/>
        <v>ACAZ</v>
      </c>
    </row>
    <row r="254" spans="1:17" x14ac:dyDescent="0.15">
      <c r="A254" t="s">
        <v>966</v>
      </c>
      <c r="B254" s="9">
        <v>2</v>
      </c>
      <c r="C254" s="13">
        <v>0</v>
      </c>
      <c r="D254" s="13">
        <v>0.55000000000000004</v>
      </c>
      <c r="E254" s="9" t="s">
        <v>1240</v>
      </c>
      <c r="F254">
        <v>74</v>
      </c>
      <c r="G254" s="11">
        <v>2.0103662220014325E-4</v>
      </c>
      <c r="H254" s="12">
        <v>0.98765543814295875</v>
      </c>
      <c r="I254" t="s">
        <v>1242</v>
      </c>
      <c r="J254">
        <v>12</v>
      </c>
      <c r="K254" s="11">
        <f t="shared" si="18"/>
        <v>1.2431155079799796E-3</v>
      </c>
      <c r="L254" s="12">
        <f t="shared" si="23"/>
        <v>0.66693147003125586</v>
      </c>
      <c r="M254" t="str">
        <f t="shared" si="19"/>
        <v>A</v>
      </c>
      <c r="N254" t="str">
        <f t="shared" si="20"/>
        <v>ACA</v>
      </c>
      <c r="O254" s="11">
        <f>VLOOKUP(A254,XYZ!A253:G1056,2,FALSE)</f>
        <v>1.3693063937629151</v>
      </c>
      <c r="P254" t="str">
        <f t="shared" si="21"/>
        <v>Z</v>
      </c>
      <c r="Q254" t="str">
        <f t="shared" si="22"/>
        <v>ACAZ</v>
      </c>
    </row>
    <row r="255" spans="1:17" x14ac:dyDescent="0.15">
      <c r="A255" t="s">
        <v>1089</v>
      </c>
      <c r="B255" s="9">
        <v>2</v>
      </c>
      <c r="C255" s="13">
        <v>0</v>
      </c>
      <c r="D255" s="13">
        <v>0.65</v>
      </c>
      <c r="E255" s="9" t="s">
        <v>1240</v>
      </c>
      <c r="F255">
        <v>72</v>
      </c>
      <c r="G255" s="11">
        <v>1.9560319997851777E-4</v>
      </c>
      <c r="H255" s="12">
        <v>0.98924335578722877</v>
      </c>
      <c r="I255" t="s">
        <v>1242</v>
      </c>
      <c r="J255">
        <v>12</v>
      </c>
      <c r="K255" s="11">
        <f t="shared" si="18"/>
        <v>1.2431155079799796E-3</v>
      </c>
      <c r="L255" s="12">
        <f t="shared" si="23"/>
        <v>0.66817458553923581</v>
      </c>
      <c r="M255" t="str">
        <f t="shared" si="19"/>
        <v>A</v>
      </c>
      <c r="N255" t="str">
        <f t="shared" si="20"/>
        <v>ACA</v>
      </c>
      <c r="O255" s="11">
        <f>VLOOKUP(A255,XYZ!A254:G1057,2,FALSE)</f>
        <v>2.2360679774997894</v>
      </c>
      <c r="P255" t="str">
        <f t="shared" si="21"/>
        <v>Z</v>
      </c>
      <c r="Q255" t="str">
        <f t="shared" si="22"/>
        <v>ACAZ</v>
      </c>
    </row>
    <row r="256" spans="1:17" x14ac:dyDescent="0.15">
      <c r="A256" t="s">
        <v>168</v>
      </c>
      <c r="B256" s="9">
        <v>2</v>
      </c>
      <c r="C256" s="13">
        <v>0</v>
      </c>
      <c r="D256" s="13">
        <v>0.66</v>
      </c>
      <c r="E256" s="9" t="s">
        <v>1240</v>
      </c>
      <c r="F256">
        <v>66.539999999999992</v>
      </c>
      <c r="G256" s="11">
        <v>1.8076995731348015E-4</v>
      </c>
      <c r="H256" s="12">
        <v>0.99055971098886197</v>
      </c>
      <c r="I256" t="s">
        <v>1242</v>
      </c>
      <c r="J256">
        <v>12</v>
      </c>
      <c r="K256" s="11">
        <f t="shared" si="18"/>
        <v>1.2431155079799796E-3</v>
      </c>
      <c r="L256" s="12">
        <f t="shared" si="23"/>
        <v>0.66941770104721576</v>
      </c>
      <c r="M256" t="str">
        <f t="shared" si="19"/>
        <v>A</v>
      </c>
      <c r="N256" t="str">
        <f t="shared" si="20"/>
        <v>ACA</v>
      </c>
      <c r="O256" s="11">
        <f>VLOOKUP(A256,XYZ!A255:G1058,2,FALSE)</f>
        <v>2.2360679774997894</v>
      </c>
      <c r="P256" t="str">
        <f t="shared" si="21"/>
        <v>Z</v>
      </c>
      <c r="Q256" t="str">
        <f t="shared" si="22"/>
        <v>ACAZ</v>
      </c>
    </row>
    <row r="257" spans="1:17" x14ac:dyDescent="0.15">
      <c r="A257" t="s">
        <v>390</v>
      </c>
      <c r="B257" s="9">
        <v>2</v>
      </c>
      <c r="C257" s="13">
        <v>0</v>
      </c>
      <c r="D257" s="13">
        <v>0.57999999999999996</v>
      </c>
      <c r="E257" s="9" t="s">
        <v>1240</v>
      </c>
      <c r="F257">
        <v>64</v>
      </c>
      <c r="G257" s="11">
        <v>1.7386951109201579E-4</v>
      </c>
      <c r="H257" s="12">
        <v>0.99197332444826247</v>
      </c>
      <c r="I257" t="s">
        <v>1242</v>
      </c>
      <c r="J257">
        <v>12</v>
      </c>
      <c r="K257" s="11">
        <f t="shared" si="18"/>
        <v>1.2431155079799796E-3</v>
      </c>
      <c r="L257" s="12">
        <f t="shared" si="23"/>
        <v>0.67066081655519572</v>
      </c>
      <c r="M257" t="str">
        <f t="shared" si="19"/>
        <v>A</v>
      </c>
      <c r="N257" t="str">
        <f t="shared" si="20"/>
        <v>ACA</v>
      </c>
      <c r="O257" s="11">
        <f>VLOOKUP(A257,XYZ!A256:G1059,2,FALSE)</f>
        <v>2.2360679774997894</v>
      </c>
      <c r="P257" t="str">
        <f t="shared" si="21"/>
        <v>Z</v>
      </c>
      <c r="Q257" t="str">
        <f t="shared" si="22"/>
        <v>ACAZ</v>
      </c>
    </row>
    <row r="258" spans="1:17" x14ac:dyDescent="0.15">
      <c r="A258" t="s">
        <v>615</v>
      </c>
      <c r="B258" s="9">
        <v>2</v>
      </c>
      <c r="C258" s="13">
        <v>0</v>
      </c>
      <c r="D258" s="13">
        <v>0.64</v>
      </c>
      <c r="E258" s="9" t="s">
        <v>1240</v>
      </c>
      <c r="F258">
        <v>64</v>
      </c>
      <c r="G258" s="11">
        <v>1.7386951109201579E-4</v>
      </c>
      <c r="H258" s="12">
        <v>0.99214719395935447</v>
      </c>
      <c r="I258" t="s">
        <v>1242</v>
      </c>
      <c r="J258">
        <v>12</v>
      </c>
      <c r="K258" s="11">
        <f t="shared" si="18"/>
        <v>1.2431155079799796E-3</v>
      </c>
      <c r="L258" s="12">
        <f t="shared" si="23"/>
        <v>0.67190393206317567</v>
      </c>
      <c r="M258" t="str">
        <f t="shared" si="19"/>
        <v>A</v>
      </c>
      <c r="N258" t="str">
        <f t="shared" si="20"/>
        <v>ACA</v>
      </c>
      <c r="O258" s="11">
        <f>VLOOKUP(A258,XYZ!A257:G1060,2,FALSE)</f>
        <v>2.2360679774997894</v>
      </c>
      <c r="P258" t="str">
        <f t="shared" si="21"/>
        <v>Z</v>
      </c>
      <c r="Q258" t="str">
        <f t="shared" si="22"/>
        <v>ACAZ</v>
      </c>
    </row>
    <row r="259" spans="1:17" x14ac:dyDescent="0.15">
      <c r="A259" t="s">
        <v>1080</v>
      </c>
      <c r="B259" s="9">
        <v>2</v>
      </c>
      <c r="C259" s="13">
        <v>0</v>
      </c>
      <c r="D259" s="13">
        <v>0.56000000000000005</v>
      </c>
      <c r="E259" s="9" t="s">
        <v>1240</v>
      </c>
      <c r="F259">
        <v>56</v>
      </c>
      <c r="G259" s="11">
        <v>1.5213582220551382E-4</v>
      </c>
      <c r="H259" s="12">
        <v>0.99340815542143834</v>
      </c>
      <c r="I259" t="s">
        <v>1242</v>
      </c>
      <c r="J259">
        <v>12</v>
      </c>
      <c r="K259" s="11">
        <f t="shared" ref="K259:K322" si="24">J259/SUM(J:J)</f>
        <v>1.2431155079799796E-3</v>
      </c>
      <c r="L259" s="12">
        <f t="shared" si="23"/>
        <v>0.67314704757115562</v>
      </c>
      <c r="M259" t="str">
        <f t="shared" ref="M259:M322" si="25">IF(L259&lt;0.8,"A",IF(L259&lt;0.95,"B","C"))</f>
        <v>A</v>
      </c>
      <c r="N259" t="str">
        <f t="shared" ref="N259:N322" si="26">E259&amp;I259&amp;M259</f>
        <v>ACA</v>
      </c>
      <c r="O259" s="11">
        <f>VLOOKUP(A259,XYZ!A258:G1061,2,FALSE)</f>
        <v>2.2360679774997894</v>
      </c>
      <c r="P259" t="str">
        <f t="shared" ref="P259:P322" si="27">IF(O259&lt;0.1,"A",IF(O259&lt;0.25,"Y","Z"))</f>
        <v>Z</v>
      </c>
      <c r="Q259" t="str">
        <f t="shared" ref="Q259:Q322" si="28">N259&amp;P259</f>
        <v>ACAZ</v>
      </c>
    </row>
    <row r="260" spans="1:17" x14ac:dyDescent="0.15">
      <c r="A260" t="s">
        <v>675</v>
      </c>
      <c r="B260" s="9">
        <v>2</v>
      </c>
      <c r="C260" s="13">
        <v>0</v>
      </c>
      <c r="D260" s="13">
        <v>0.6</v>
      </c>
      <c r="E260" s="9" t="s">
        <v>1240</v>
      </c>
      <c r="F260">
        <v>56</v>
      </c>
      <c r="G260" s="11">
        <v>1.5213582220551382E-4</v>
      </c>
      <c r="H260" s="12">
        <v>0.99356029124364387</v>
      </c>
      <c r="I260" t="s">
        <v>1242</v>
      </c>
      <c r="J260">
        <v>12</v>
      </c>
      <c r="K260" s="11">
        <f t="shared" si="24"/>
        <v>1.2431155079799796E-3</v>
      </c>
      <c r="L260" s="12">
        <f t="shared" ref="L260:L323" si="29">K260+L259</f>
        <v>0.67439016307913557</v>
      </c>
      <c r="M260" t="str">
        <f t="shared" si="25"/>
        <v>A</v>
      </c>
      <c r="N260" t="str">
        <f t="shared" si="26"/>
        <v>ACA</v>
      </c>
      <c r="O260" s="11">
        <f>VLOOKUP(A260,XYZ!A259:G1062,2,FALSE)</f>
        <v>1.3693063937629151</v>
      </c>
      <c r="P260" t="str">
        <f t="shared" si="27"/>
        <v>Z</v>
      </c>
      <c r="Q260" t="str">
        <f t="shared" si="28"/>
        <v>ACAZ</v>
      </c>
    </row>
    <row r="261" spans="1:17" x14ac:dyDescent="0.15">
      <c r="A261" t="s">
        <v>994</v>
      </c>
      <c r="B261" s="9">
        <v>2</v>
      </c>
      <c r="C261" s="13">
        <v>0</v>
      </c>
      <c r="D261" s="13">
        <v>0.59</v>
      </c>
      <c r="E261" s="9" t="s">
        <v>1240</v>
      </c>
      <c r="F261">
        <v>50</v>
      </c>
      <c r="G261" s="11">
        <v>1.3583555554063734E-4</v>
      </c>
      <c r="H261" s="12">
        <v>0.99514607399200139</v>
      </c>
      <c r="I261" t="s">
        <v>1242</v>
      </c>
      <c r="J261">
        <v>12</v>
      </c>
      <c r="K261" s="11">
        <f t="shared" si="24"/>
        <v>1.2431155079799796E-3</v>
      </c>
      <c r="L261" s="12">
        <f t="shared" si="29"/>
        <v>0.67563327858711553</v>
      </c>
      <c r="M261" t="str">
        <f t="shared" si="25"/>
        <v>A</v>
      </c>
      <c r="N261" t="str">
        <f t="shared" si="26"/>
        <v>ACA</v>
      </c>
      <c r="O261" s="11">
        <f>VLOOKUP(A261,XYZ!A260:G1063,2,FALSE)</f>
        <v>1.3693063937629151</v>
      </c>
      <c r="P261" t="str">
        <f t="shared" si="27"/>
        <v>Z</v>
      </c>
      <c r="Q261" t="str">
        <f t="shared" si="28"/>
        <v>ACAZ</v>
      </c>
    </row>
    <row r="262" spans="1:17" x14ac:dyDescent="0.15">
      <c r="A262" t="s">
        <v>967</v>
      </c>
      <c r="B262" s="9">
        <v>2</v>
      </c>
      <c r="C262" s="13">
        <v>0</v>
      </c>
      <c r="D262" s="13">
        <v>0.64</v>
      </c>
      <c r="E262" s="9" t="s">
        <v>1240</v>
      </c>
      <c r="F262">
        <v>50</v>
      </c>
      <c r="G262" s="11">
        <v>1.3583555554063734E-4</v>
      </c>
      <c r="H262" s="12">
        <v>0.99528190954754203</v>
      </c>
      <c r="I262" t="s">
        <v>1242</v>
      </c>
      <c r="J262">
        <v>12</v>
      </c>
      <c r="K262" s="11">
        <f t="shared" si="24"/>
        <v>1.2431155079799796E-3</v>
      </c>
      <c r="L262" s="12">
        <f t="shared" si="29"/>
        <v>0.67687639409509548</v>
      </c>
      <c r="M262" t="str">
        <f t="shared" si="25"/>
        <v>A</v>
      </c>
      <c r="N262" t="str">
        <f t="shared" si="26"/>
        <v>ACA</v>
      </c>
      <c r="O262" s="11">
        <f>VLOOKUP(A262,XYZ!A261:G1064,2,FALSE)</f>
        <v>2.2360679774997894</v>
      </c>
      <c r="P262" t="str">
        <f t="shared" si="27"/>
        <v>Z</v>
      </c>
      <c r="Q262" t="str">
        <f t="shared" si="28"/>
        <v>ACAZ</v>
      </c>
    </row>
    <row r="263" spans="1:17" x14ac:dyDescent="0.15">
      <c r="A263" t="s">
        <v>923</v>
      </c>
      <c r="B263" s="9">
        <v>2</v>
      </c>
      <c r="C263" s="13">
        <v>0</v>
      </c>
      <c r="D263" s="13">
        <v>0.66</v>
      </c>
      <c r="E263" s="9" t="s">
        <v>1240</v>
      </c>
      <c r="F263">
        <v>46</v>
      </c>
      <c r="G263" s="11">
        <v>1.2496871109738634E-4</v>
      </c>
      <c r="H263" s="12">
        <v>0.99606703905856686</v>
      </c>
      <c r="I263" t="s">
        <v>1242</v>
      </c>
      <c r="J263">
        <v>12</v>
      </c>
      <c r="K263" s="11">
        <f t="shared" si="24"/>
        <v>1.2431155079799796E-3</v>
      </c>
      <c r="L263" s="12">
        <f t="shared" si="29"/>
        <v>0.67811950960307543</v>
      </c>
      <c r="M263" t="str">
        <f t="shared" si="25"/>
        <v>A</v>
      </c>
      <c r="N263" t="str">
        <f t="shared" si="26"/>
        <v>ACA</v>
      </c>
      <c r="O263" s="11">
        <f>VLOOKUP(A263,XYZ!A262:G1065,2,FALSE)</f>
        <v>2.2360679774997894</v>
      </c>
      <c r="P263" t="str">
        <f t="shared" si="27"/>
        <v>Z</v>
      </c>
      <c r="Q263" t="str">
        <f t="shared" si="28"/>
        <v>ACAZ</v>
      </c>
    </row>
    <row r="264" spans="1:17" x14ac:dyDescent="0.15">
      <c r="A264" t="s">
        <v>33</v>
      </c>
      <c r="B264" s="9">
        <v>2</v>
      </c>
      <c r="C264" s="13">
        <v>0</v>
      </c>
      <c r="D264" s="13">
        <v>0.68</v>
      </c>
      <c r="E264" s="9" t="s">
        <v>1240</v>
      </c>
      <c r="F264">
        <v>44</v>
      </c>
      <c r="G264" s="11">
        <v>1.1953528887576085E-4</v>
      </c>
      <c r="H264" s="12">
        <v>0.99667829905849969</v>
      </c>
      <c r="I264" t="s">
        <v>1242</v>
      </c>
      <c r="J264">
        <v>12</v>
      </c>
      <c r="K264" s="11">
        <f t="shared" si="24"/>
        <v>1.2431155079799796E-3</v>
      </c>
      <c r="L264" s="12">
        <f t="shared" si="29"/>
        <v>0.67936262511105538</v>
      </c>
      <c r="M264" t="str">
        <f t="shared" si="25"/>
        <v>A</v>
      </c>
      <c r="N264" t="str">
        <f t="shared" si="26"/>
        <v>ACA</v>
      </c>
      <c r="O264" s="11">
        <f>VLOOKUP(A264,XYZ!A263:G1066,2,FALSE)</f>
        <v>2.2360679774997894</v>
      </c>
      <c r="P264" t="str">
        <f t="shared" si="27"/>
        <v>Z</v>
      </c>
      <c r="Q264" t="str">
        <f t="shared" si="28"/>
        <v>ACAZ</v>
      </c>
    </row>
    <row r="265" spans="1:17" x14ac:dyDescent="0.15">
      <c r="A265" t="s">
        <v>1053</v>
      </c>
      <c r="B265" s="9">
        <v>2</v>
      </c>
      <c r="C265" s="13">
        <v>0</v>
      </c>
      <c r="D265" s="13">
        <v>0.6</v>
      </c>
      <c r="E265" s="9" t="s">
        <v>1240</v>
      </c>
      <c r="F265">
        <v>38</v>
      </c>
      <c r="G265" s="11">
        <v>1.0323502221088437E-4</v>
      </c>
      <c r="H265" s="12">
        <v>0.99788417105267835</v>
      </c>
      <c r="I265" t="s">
        <v>1242</v>
      </c>
      <c r="J265">
        <v>12</v>
      </c>
      <c r="K265" s="11">
        <f t="shared" si="24"/>
        <v>1.2431155079799796E-3</v>
      </c>
      <c r="L265" s="12">
        <f t="shared" si="29"/>
        <v>0.68060574061903534</v>
      </c>
      <c r="M265" t="str">
        <f t="shared" si="25"/>
        <v>A</v>
      </c>
      <c r="N265" t="str">
        <f t="shared" si="26"/>
        <v>ACA</v>
      </c>
      <c r="O265" s="11">
        <f>VLOOKUP(A265,XYZ!A264:G1067,2,FALSE)</f>
        <v>1.3693063937629151</v>
      </c>
      <c r="P265" t="str">
        <f t="shared" si="27"/>
        <v>Z</v>
      </c>
      <c r="Q265" t="str">
        <f t="shared" si="28"/>
        <v>ACAZ</v>
      </c>
    </row>
    <row r="266" spans="1:17" x14ac:dyDescent="0.15">
      <c r="A266" t="s">
        <v>899</v>
      </c>
      <c r="B266" s="9">
        <v>2</v>
      </c>
      <c r="C266" s="13">
        <v>0</v>
      </c>
      <c r="D266" s="13">
        <v>0.64</v>
      </c>
      <c r="E266" s="9" t="s">
        <v>1240</v>
      </c>
      <c r="F266">
        <v>34</v>
      </c>
      <c r="G266" s="11">
        <v>9.2368177767633385E-5</v>
      </c>
      <c r="H266" s="12">
        <v>0.99866115043037074</v>
      </c>
      <c r="I266" t="s">
        <v>1242</v>
      </c>
      <c r="J266">
        <v>12</v>
      </c>
      <c r="K266" s="11">
        <f t="shared" si="24"/>
        <v>1.2431155079799796E-3</v>
      </c>
      <c r="L266" s="12">
        <f t="shared" si="29"/>
        <v>0.68184885612701529</v>
      </c>
      <c r="M266" t="str">
        <f t="shared" si="25"/>
        <v>A</v>
      </c>
      <c r="N266" t="str">
        <f t="shared" si="26"/>
        <v>ACA</v>
      </c>
      <c r="O266" s="11">
        <f>VLOOKUP(A266,XYZ!A265:G1068,2,FALSE)</f>
        <v>2.2360679774997894</v>
      </c>
      <c r="P266" t="str">
        <f t="shared" si="27"/>
        <v>Z</v>
      </c>
      <c r="Q266" t="str">
        <f t="shared" si="28"/>
        <v>ACAZ</v>
      </c>
    </row>
    <row r="267" spans="1:17" x14ac:dyDescent="0.15">
      <c r="A267" t="s">
        <v>96</v>
      </c>
      <c r="B267" s="9">
        <v>2</v>
      </c>
      <c r="C267" s="13">
        <v>0</v>
      </c>
      <c r="D267" s="13">
        <v>0.63</v>
      </c>
      <c r="E267" s="9" t="s">
        <v>1240</v>
      </c>
      <c r="F267">
        <v>32</v>
      </c>
      <c r="G267" s="11">
        <v>8.6934755546007897E-5</v>
      </c>
      <c r="H267" s="12">
        <v>0.99874808518591673</v>
      </c>
      <c r="I267" t="s">
        <v>1242</v>
      </c>
      <c r="J267">
        <v>12</v>
      </c>
      <c r="K267" s="11">
        <f t="shared" si="24"/>
        <v>1.2431155079799796E-3</v>
      </c>
      <c r="L267" s="12">
        <f t="shared" si="29"/>
        <v>0.68309197163499524</v>
      </c>
      <c r="M267" t="str">
        <f t="shared" si="25"/>
        <v>A</v>
      </c>
      <c r="N267" t="str">
        <f t="shared" si="26"/>
        <v>ACA</v>
      </c>
      <c r="O267" s="11">
        <f>VLOOKUP(A267,XYZ!A266:G1069,2,FALSE)</f>
        <v>2.2360679774997894</v>
      </c>
      <c r="P267" t="str">
        <f t="shared" si="27"/>
        <v>Z</v>
      </c>
      <c r="Q267" t="str">
        <f t="shared" si="28"/>
        <v>ACAZ</v>
      </c>
    </row>
    <row r="268" spans="1:17" x14ac:dyDescent="0.15">
      <c r="A268" t="s">
        <v>440</v>
      </c>
      <c r="B268" s="9">
        <v>2</v>
      </c>
      <c r="C268" s="13">
        <v>0</v>
      </c>
      <c r="D268" s="13">
        <v>0.59</v>
      </c>
      <c r="E268" s="9" t="s">
        <v>1240</v>
      </c>
      <c r="F268">
        <v>28</v>
      </c>
      <c r="G268" s="11">
        <v>7.6067911102756908E-5</v>
      </c>
      <c r="H268" s="12">
        <v>0.99923410480364117</v>
      </c>
      <c r="I268" t="s">
        <v>1242</v>
      </c>
      <c r="J268">
        <v>12</v>
      </c>
      <c r="K268" s="11">
        <f t="shared" si="24"/>
        <v>1.2431155079799796E-3</v>
      </c>
      <c r="L268" s="12">
        <f t="shared" si="29"/>
        <v>0.6843350871429752</v>
      </c>
      <c r="M268" t="str">
        <f t="shared" si="25"/>
        <v>A</v>
      </c>
      <c r="N268" t="str">
        <f t="shared" si="26"/>
        <v>ACA</v>
      </c>
      <c r="O268" s="11">
        <f>VLOOKUP(A268,XYZ!A267:G1070,2,FALSE)</f>
        <v>1.3693063937629151</v>
      </c>
      <c r="P268" t="str">
        <f t="shared" si="27"/>
        <v>Z</v>
      </c>
      <c r="Q268" t="str">
        <f t="shared" si="28"/>
        <v>ACAZ</v>
      </c>
    </row>
    <row r="269" spans="1:17" x14ac:dyDescent="0.15">
      <c r="A269" t="s">
        <v>416</v>
      </c>
      <c r="B269" s="9">
        <v>1.3</v>
      </c>
      <c r="C269" s="13">
        <v>0</v>
      </c>
      <c r="D269" s="13">
        <v>0.69</v>
      </c>
      <c r="E269" s="9" t="s">
        <v>1240</v>
      </c>
      <c r="F269">
        <v>1539.1000000000001</v>
      </c>
      <c r="G269" s="11">
        <v>4.1812900706518991E-3</v>
      </c>
      <c r="H269" s="12">
        <v>0.27533600593904506</v>
      </c>
      <c r="I269" t="s">
        <v>1240</v>
      </c>
      <c r="J269">
        <v>7.8000000000000007</v>
      </c>
      <c r="K269" s="11">
        <f t="shared" si="24"/>
        <v>8.0802508018698691E-4</v>
      </c>
      <c r="L269" s="12">
        <f t="shared" si="29"/>
        <v>0.68514311222316215</v>
      </c>
      <c r="M269" t="str">
        <f t="shared" si="25"/>
        <v>A</v>
      </c>
      <c r="N269" t="str">
        <f t="shared" si="26"/>
        <v>AAA</v>
      </c>
      <c r="O269" s="11">
        <f>VLOOKUP(A269,XYZ!A268:G1071,2,FALSE)</f>
        <v>1.599741103314263</v>
      </c>
      <c r="P269" t="str">
        <f t="shared" si="27"/>
        <v>Z</v>
      </c>
      <c r="Q269" t="str">
        <f t="shared" si="28"/>
        <v>AAAZ</v>
      </c>
    </row>
    <row r="270" spans="1:17" x14ac:dyDescent="0.15">
      <c r="A270" t="s">
        <v>60</v>
      </c>
      <c r="B270" s="9">
        <v>1</v>
      </c>
      <c r="C270" s="13">
        <v>0</v>
      </c>
      <c r="D270" s="13">
        <v>0.76</v>
      </c>
      <c r="E270" s="9" t="s">
        <v>1240</v>
      </c>
      <c r="F270">
        <v>4985</v>
      </c>
      <c r="G270" s="11">
        <v>1.3542804887401543E-2</v>
      </c>
      <c r="H270" s="12">
        <v>5.9927930393418385E-2</v>
      </c>
      <c r="I270" t="s">
        <v>1240</v>
      </c>
      <c r="J270">
        <v>6</v>
      </c>
      <c r="K270" s="11">
        <f t="shared" si="24"/>
        <v>6.2155775398998981E-4</v>
      </c>
      <c r="L270" s="12">
        <f t="shared" si="29"/>
        <v>0.68576466997715213</v>
      </c>
      <c r="M270" t="str">
        <f t="shared" si="25"/>
        <v>A</v>
      </c>
      <c r="N270" t="str">
        <f t="shared" si="26"/>
        <v>AAA</v>
      </c>
      <c r="O270" s="11">
        <f>VLOOKUP(A270,XYZ!A269:G1072,2,FALSE)</f>
        <v>2.2360679774997894</v>
      </c>
      <c r="P270" t="str">
        <f t="shared" si="27"/>
        <v>Z</v>
      </c>
      <c r="Q270" t="str">
        <f t="shared" si="28"/>
        <v>AAAZ</v>
      </c>
    </row>
    <row r="271" spans="1:17" x14ac:dyDescent="0.15">
      <c r="A271" t="s">
        <v>207</v>
      </c>
      <c r="B271" s="9">
        <v>1</v>
      </c>
      <c r="C271" s="13">
        <v>0</v>
      </c>
      <c r="D271" s="13">
        <v>0.89</v>
      </c>
      <c r="E271" s="9" t="s">
        <v>1241</v>
      </c>
      <c r="F271">
        <v>3832</v>
      </c>
      <c r="G271" s="11">
        <v>1.0410436976634446E-2</v>
      </c>
      <c r="H271" s="12">
        <v>7.0338367370052834E-2</v>
      </c>
      <c r="I271" t="s">
        <v>1240</v>
      </c>
      <c r="J271">
        <v>6</v>
      </c>
      <c r="K271" s="11">
        <f t="shared" si="24"/>
        <v>6.2155775398998981E-4</v>
      </c>
      <c r="L271" s="12">
        <f t="shared" si="29"/>
        <v>0.68638622773114211</v>
      </c>
      <c r="M271" t="str">
        <f t="shared" si="25"/>
        <v>A</v>
      </c>
      <c r="N271" t="str">
        <f t="shared" si="26"/>
        <v>BAA</v>
      </c>
      <c r="O271" s="11">
        <f>VLOOKUP(A271,XYZ!A270:G1073,2,FALSE)</f>
        <v>2.2360679774997894</v>
      </c>
      <c r="P271" t="str">
        <f t="shared" si="27"/>
        <v>Z</v>
      </c>
      <c r="Q271" t="str">
        <f t="shared" si="28"/>
        <v>BAAZ</v>
      </c>
    </row>
    <row r="272" spans="1:17" x14ac:dyDescent="0.15">
      <c r="A272" t="s">
        <v>535</v>
      </c>
      <c r="B272" s="9">
        <v>1</v>
      </c>
      <c r="C272" s="13">
        <v>0</v>
      </c>
      <c r="D272" s="13">
        <v>0.84</v>
      </c>
      <c r="E272" s="9" t="s">
        <v>1241</v>
      </c>
      <c r="F272">
        <v>3497</v>
      </c>
      <c r="G272" s="11">
        <v>9.5003387545121755E-3</v>
      </c>
      <c r="H272" s="12">
        <v>8.9882387101239733E-2</v>
      </c>
      <c r="I272" t="s">
        <v>1240</v>
      </c>
      <c r="J272">
        <v>6</v>
      </c>
      <c r="K272" s="11">
        <f t="shared" si="24"/>
        <v>6.2155775398998981E-4</v>
      </c>
      <c r="L272" s="12">
        <f t="shared" si="29"/>
        <v>0.68700778548513208</v>
      </c>
      <c r="M272" t="str">
        <f t="shared" si="25"/>
        <v>A</v>
      </c>
      <c r="N272" t="str">
        <f t="shared" si="26"/>
        <v>BAA</v>
      </c>
      <c r="O272" s="11">
        <f>VLOOKUP(A272,XYZ!A271:G1074,2,FALSE)</f>
        <v>2.2360679774997894</v>
      </c>
      <c r="P272" t="str">
        <f t="shared" si="27"/>
        <v>Z</v>
      </c>
      <c r="Q272" t="str">
        <f t="shared" si="28"/>
        <v>BAAZ</v>
      </c>
    </row>
    <row r="273" spans="1:17" x14ac:dyDescent="0.15">
      <c r="A273" t="s">
        <v>788</v>
      </c>
      <c r="B273" s="9">
        <v>1</v>
      </c>
      <c r="C273" s="13">
        <v>0</v>
      </c>
      <c r="D273" s="13">
        <v>0.75</v>
      </c>
      <c r="E273" s="9" t="s">
        <v>1240</v>
      </c>
      <c r="F273">
        <v>3482</v>
      </c>
      <c r="G273" s="11">
        <v>9.4595880878499839E-3</v>
      </c>
      <c r="H273" s="12">
        <v>9.9341975189089715E-2</v>
      </c>
      <c r="I273" t="s">
        <v>1240</v>
      </c>
      <c r="J273">
        <v>6</v>
      </c>
      <c r="K273" s="11">
        <f t="shared" si="24"/>
        <v>6.2155775398998981E-4</v>
      </c>
      <c r="L273" s="12">
        <f t="shared" si="29"/>
        <v>0.68762934323912206</v>
      </c>
      <c r="M273" t="str">
        <f t="shared" si="25"/>
        <v>A</v>
      </c>
      <c r="N273" t="str">
        <f t="shared" si="26"/>
        <v>AAA</v>
      </c>
      <c r="O273" s="11">
        <f>VLOOKUP(A273,XYZ!A272:G1075,2,FALSE)</f>
        <v>2.2360679774997894</v>
      </c>
      <c r="P273" t="str">
        <f t="shared" si="27"/>
        <v>Z</v>
      </c>
      <c r="Q273" t="str">
        <f t="shared" si="28"/>
        <v>AAAZ</v>
      </c>
    </row>
    <row r="274" spans="1:17" x14ac:dyDescent="0.15">
      <c r="A274" t="s">
        <v>946</v>
      </c>
      <c r="B274" s="9">
        <v>1</v>
      </c>
      <c r="C274" s="13">
        <v>0</v>
      </c>
      <c r="D274" s="13">
        <v>0.84</v>
      </c>
      <c r="E274" s="9" t="s">
        <v>1241</v>
      </c>
      <c r="F274">
        <v>2642</v>
      </c>
      <c r="G274" s="11">
        <v>7.1775507547672769E-3</v>
      </c>
      <c r="H274" s="12">
        <v>0.12326050644688029</v>
      </c>
      <c r="I274" t="s">
        <v>1240</v>
      </c>
      <c r="J274">
        <v>6</v>
      </c>
      <c r="K274" s="11">
        <f t="shared" si="24"/>
        <v>6.2155775398998981E-4</v>
      </c>
      <c r="L274" s="12">
        <f t="shared" si="29"/>
        <v>0.68825090099311204</v>
      </c>
      <c r="M274" t="str">
        <f t="shared" si="25"/>
        <v>A</v>
      </c>
      <c r="N274" t="str">
        <f t="shared" si="26"/>
        <v>BAA</v>
      </c>
      <c r="O274" s="11">
        <f>VLOOKUP(A274,XYZ!A273:G1076,2,FALSE)</f>
        <v>2.2360679774997894</v>
      </c>
      <c r="P274" t="str">
        <f t="shared" si="27"/>
        <v>Z</v>
      </c>
      <c r="Q274" t="str">
        <f t="shared" si="28"/>
        <v>BAAZ</v>
      </c>
    </row>
    <row r="275" spans="1:17" x14ac:dyDescent="0.15">
      <c r="A275" t="s">
        <v>1018</v>
      </c>
      <c r="B275" s="9">
        <v>1</v>
      </c>
      <c r="C275" s="13">
        <v>0</v>
      </c>
      <c r="D275" s="13">
        <v>0.95</v>
      </c>
      <c r="E275" s="9" t="s">
        <v>1241</v>
      </c>
      <c r="F275">
        <v>2456</v>
      </c>
      <c r="G275" s="11">
        <v>6.6722424881561059E-3</v>
      </c>
      <c r="H275" s="12">
        <v>0.14412484777792217</v>
      </c>
      <c r="I275" t="s">
        <v>1240</v>
      </c>
      <c r="J275">
        <v>6</v>
      </c>
      <c r="K275" s="11">
        <f t="shared" si="24"/>
        <v>6.2155775398998981E-4</v>
      </c>
      <c r="L275" s="12">
        <f t="shared" si="29"/>
        <v>0.68887245874710201</v>
      </c>
      <c r="M275" t="str">
        <f t="shared" si="25"/>
        <v>A</v>
      </c>
      <c r="N275" t="str">
        <f t="shared" si="26"/>
        <v>BAA</v>
      </c>
      <c r="O275" s="11">
        <f>VLOOKUP(A275,XYZ!A274:G1077,2,FALSE)</f>
        <v>2.2360679774997894</v>
      </c>
      <c r="P275" t="str">
        <f t="shared" si="27"/>
        <v>Z</v>
      </c>
      <c r="Q275" t="str">
        <f t="shared" si="28"/>
        <v>BAAZ</v>
      </c>
    </row>
    <row r="276" spans="1:17" x14ac:dyDescent="0.15">
      <c r="A276" t="s">
        <v>1028</v>
      </c>
      <c r="B276" s="9">
        <v>1</v>
      </c>
      <c r="C276" s="13">
        <v>0</v>
      </c>
      <c r="D276" s="13">
        <v>0.78</v>
      </c>
      <c r="E276" s="9" t="s">
        <v>1240</v>
      </c>
      <c r="F276">
        <v>2123</v>
      </c>
      <c r="G276" s="11">
        <v>5.7675776882554616E-3</v>
      </c>
      <c r="H276" s="12">
        <v>0.18664493555369679</v>
      </c>
      <c r="I276" t="s">
        <v>1240</v>
      </c>
      <c r="J276">
        <v>6</v>
      </c>
      <c r="K276" s="11">
        <f t="shared" si="24"/>
        <v>6.2155775398998981E-4</v>
      </c>
      <c r="L276" s="12">
        <f t="shared" si="29"/>
        <v>0.68949401650109199</v>
      </c>
      <c r="M276" t="str">
        <f t="shared" si="25"/>
        <v>A</v>
      </c>
      <c r="N276" t="str">
        <f t="shared" si="26"/>
        <v>AAA</v>
      </c>
      <c r="O276" s="11">
        <f>VLOOKUP(A276,XYZ!A275:G1078,2,FALSE)</f>
        <v>2.2360679774997894</v>
      </c>
      <c r="P276" t="str">
        <f t="shared" si="27"/>
        <v>Z</v>
      </c>
      <c r="Q276" t="str">
        <f t="shared" si="28"/>
        <v>AAAZ</v>
      </c>
    </row>
    <row r="277" spans="1:17" x14ac:dyDescent="0.15">
      <c r="A277" t="s">
        <v>88</v>
      </c>
      <c r="B277" s="9">
        <v>1</v>
      </c>
      <c r="C277" s="13">
        <v>0</v>
      </c>
      <c r="D277" s="13">
        <v>0.95</v>
      </c>
      <c r="E277" s="9" t="s">
        <v>1242</v>
      </c>
      <c r="F277">
        <v>1971</v>
      </c>
      <c r="G277" s="11">
        <v>5.3546375994119235E-3</v>
      </c>
      <c r="H277" s="12">
        <v>0.19199957315310873</v>
      </c>
      <c r="I277" t="s">
        <v>1240</v>
      </c>
      <c r="J277">
        <v>6</v>
      </c>
      <c r="K277" s="11">
        <f t="shared" si="24"/>
        <v>6.2155775398998981E-4</v>
      </c>
      <c r="L277" s="12">
        <f t="shared" si="29"/>
        <v>0.69011557425508196</v>
      </c>
      <c r="M277" t="str">
        <f t="shared" si="25"/>
        <v>A</v>
      </c>
      <c r="N277" t="str">
        <f t="shared" si="26"/>
        <v>CAA</v>
      </c>
      <c r="O277" s="11">
        <f>VLOOKUP(A277,XYZ!A276:G1079,2,FALSE)</f>
        <v>2.2360679774997894</v>
      </c>
      <c r="P277" t="str">
        <f t="shared" si="27"/>
        <v>Z</v>
      </c>
      <c r="Q277" t="str">
        <f t="shared" si="28"/>
        <v>CAAZ</v>
      </c>
    </row>
    <row r="278" spans="1:17" x14ac:dyDescent="0.15">
      <c r="A278" t="s">
        <v>649</v>
      </c>
      <c r="B278" s="9">
        <v>1</v>
      </c>
      <c r="C278" s="13">
        <v>0</v>
      </c>
      <c r="D278" s="13">
        <v>0.95</v>
      </c>
      <c r="E278" s="9" t="s">
        <v>1242</v>
      </c>
      <c r="F278">
        <v>1937</v>
      </c>
      <c r="G278" s="11">
        <v>5.2622694216442906E-3</v>
      </c>
      <c r="H278" s="12">
        <v>0.19726184257475302</v>
      </c>
      <c r="I278" t="s">
        <v>1240</v>
      </c>
      <c r="J278">
        <v>6</v>
      </c>
      <c r="K278" s="11">
        <f t="shared" si="24"/>
        <v>6.2155775398998981E-4</v>
      </c>
      <c r="L278" s="12">
        <f t="shared" si="29"/>
        <v>0.69073713200907194</v>
      </c>
      <c r="M278" t="str">
        <f t="shared" si="25"/>
        <v>A</v>
      </c>
      <c r="N278" t="str">
        <f t="shared" si="26"/>
        <v>CAA</v>
      </c>
      <c r="O278" s="11">
        <f>VLOOKUP(A278,XYZ!A277:G1080,2,FALSE)</f>
        <v>2.2360679774997894</v>
      </c>
      <c r="P278" t="str">
        <f t="shared" si="27"/>
        <v>Z</v>
      </c>
      <c r="Q278" t="str">
        <f t="shared" si="28"/>
        <v>CAAZ</v>
      </c>
    </row>
    <row r="279" spans="1:17" x14ac:dyDescent="0.15">
      <c r="A279" t="s">
        <v>1213</v>
      </c>
      <c r="B279" s="9">
        <v>1</v>
      </c>
      <c r="C279" s="13">
        <v>0</v>
      </c>
      <c r="D279" s="13">
        <v>0.82</v>
      </c>
      <c r="E279" s="9" t="s">
        <v>1241</v>
      </c>
      <c r="F279">
        <v>1812</v>
      </c>
      <c r="G279" s="11">
        <v>4.9226805327926967E-3</v>
      </c>
      <c r="H279" s="12">
        <v>0.21221462052866638</v>
      </c>
      <c r="I279" t="s">
        <v>1240</v>
      </c>
      <c r="J279">
        <v>6</v>
      </c>
      <c r="K279" s="11">
        <f t="shared" si="24"/>
        <v>6.2155775398998981E-4</v>
      </c>
      <c r="L279" s="12">
        <f t="shared" si="29"/>
        <v>0.69135868976306192</v>
      </c>
      <c r="M279" t="str">
        <f t="shared" si="25"/>
        <v>A</v>
      </c>
      <c r="N279" t="str">
        <f t="shared" si="26"/>
        <v>BAA</v>
      </c>
      <c r="O279" s="11">
        <f>VLOOKUP(A279,XYZ!A278:G1081,2,FALSE)</f>
        <v>2.2360679774997894</v>
      </c>
      <c r="P279" t="str">
        <f t="shared" si="27"/>
        <v>Z</v>
      </c>
      <c r="Q279" t="str">
        <f t="shared" si="28"/>
        <v>BAAZ</v>
      </c>
    </row>
    <row r="280" spans="1:17" x14ac:dyDescent="0.15">
      <c r="A280" t="s">
        <v>770</v>
      </c>
      <c r="B280" s="9">
        <v>1</v>
      </c>
      <c r="C280" s="13">
        <v>0</v>
      </c>
      <c r="D280" s="13">
        <v>0.71</v>
      </c>
      <c r="E280" s="9" t="s">
        <v>1240</v>
      </c>
      <c r="F280">
        <v>1750</v>
      </c>
      <c r="G280" s="11">
        <v>4.7542444439223064E-3</v>
      </c>
      <c r="H280" s="12">
        <v>0.22661590612708477</v>
      </c>
      <c r="I280" t="s">
        <v>1240</v>
      </c>
      <c r="J280">
        <v>6</v>
      </c>
      <c r="K280" s="11">
        <f t="shared" si="24"/>
        <v>6.2155775398998981E-4</v>
      </c>
      <c r="L280" s="12">
        <f t="shared" si="29"/>
        <v>0.69198024751705189</v>
      </c>
      <c r="M280" t="str">
        <f t="shared" si="25"/>
        <v>A</v>
      </c>
      <c r="N280" t="str">
        <f t="shared" si="26"/>
        <v>AAA</v>
      </c>
      <c r="O280" s="11">
        <f>VLOOKUP(A280,XYZ!A279:G1082,2,FALSE)</f>
        <v>2.2360679774997894</v>
      </c>
      <c r="P280" t="str">
        <f t="shared" si="27"/>
        <v>Z</v>
      </c>
      <c r="Q280" t="str">
        <f t="shared" si="28"/>
        <v>AAAZ</v>
      </c>
    </row>
    <row r="281" spans="1:17" x14ac:dyDescent="0.15">
      <c r="A281" t="s">
        <v>170</v>
      </c>
      <c r="B281" s="9">
        <v>1</v>
      </c>
      <c r="C281" s="13">
        <v>0</v>
      </c>
      <c r="D281" s="13">
        <v>0.71</v>
      </c>
      <c r="E281" s="9" t="s">
        <v>1240</v>
      </c>
      <c r="F281">
        <v>1727</v>
      </c>
      <c r="G281" s="11">
        <v>4.6917600883736137E-3</v>
      </c>
      <c r="H281" s="12">
        <v>0.23605104381493741</v>
      </c>
      <c r="I281" t="s">
        <v>1240</v>
      </c>
      <c r="J281">
        <v>6</v>
      </c>
      <c r="K281" s="11">
        <f t="shared" si="24"/>
        <v>6.2155775398998981E-4</v>
      </c>
      <c r="L281" s="12">
        <f t="shared" si="29"/>
        <v>0.69260180527104187</v>
      </c>
      <c r="M281" t="str">
        <f t="shared" si="25"/>
        <v>A</v>
      </c>
      <c r="N281" t="str">
        <f t="shared" si="26"/>
        <v>AAA</v>
      </c>
      <c r="O281" s="11">
        <f>VLOOKUP(A281,XYZ!A280:G1083,2,FALSE)</f>
        <v>2.2360679774997894</v>
      </c>
      <c r="P281" t="str">
        <f t="shared" si="27"/>
        <v>Z</v>
      </c>
      <c r="Q281" t="str">
        <f t="shared" si="28"/>
        <v>AAAZ</v>
      </c>
    </row>
    <row r="282" spans="1:17" x14ac:dyDescent="0.15">
      <c r="A282" t="s">
        <v>678</v>
      </c>
      <c r="B282" s="9">
        <v>1</v>
      </c>
      <c r="C282" s="13">
        <v>0</v>
      </c>
      <c r="D282" s="13">
        <v>0.7</v>
      </c>
      <c r="E282" s="9" t="s">
        <v>1240</v>
      </c>
      <c r="F282">
        <v>1706</v>
      </c>
      <c r="G282" s="11">
        <v>4.6347091550465458E-3</v>
      </c>
      <c r="H282" s="12">
        <v>0.24536936292502512</v>
      </c>
      <c r="I282" t="s">
        <v>1240</v>
      </c>
      <c r="J282">
        <v>6</v>
      </c>
      <c r="K282" s="11">
        <f t="shared" si="24"/>
        <v>6.2155775398998981E-4</v>
      </c>
      <c r="L282" s="12">
        <f t="shared" si="29"/>
        <v>0.69322336302503185</v>
      </c>
      <c r="M282" t="str">
        <f t="shared" si="25"/>
        <v>A</v>
      </c>
      <c r="N282" t="str">
        <f t="shared" si="26"/>
        <v>AAA</v>
      </c>
      <c r="O282" s="11">
        <f>VLOOKUP(A282,XYZ!A281:G1084,2,FALSE)</f>
        <v>2.2360679774997894</v>
      </c>
      <c r="P282" t="str">
        <f t="shared" si="27"/>
        <v>Z</v>
      </c>
      <c r="Q282" t="str">
        <f t="shared" si="28"/>
        <v>AAAZ</v>
      </c>
    </row>
    <row r="283" spans="1:17" x14ac:dyDescent="0.15">
      <c r="A283" t="s">
        <v>387</v>
      </c>
      <c r="B283" s="9">
        <v>1</v>
      </c>
      <c r="C283" s="13">
        <v>0</v>
      </c>
      <c r="D283" s="13">
        <v>0.8</v>
      </c>
      <c r="E283" s="9" t="s">
        <v>1241</v>
      </c>
      <c r="F283">
        <v>1522</v>
      </c>
      <c r="G283" s="11">
        <v>4.1348343106570006E-3</v>
      </c>
      <c r="H283" s="12">
        <v>0.2877962014487877</v>
      </c>
      <c r="I283" t="s">
        <v>1240</v>
      </c>
      <c r="J283">
        <v>6</v>
      </c>
      <c r="K283" s="11">
        <f t="shared" si="24"/>
        <v>6.2155775398998981E-4</v>
      </c>
      <c r="L283" s="12">
        <f t="shared" si="29"/>
        <v>0.69384492077902182</v>
      </c>
      <c r="M283" t="str">
        <f t="shared" si="25"/>
        <v>A</v>
      </c>
      <c r="N283" t="str">
        <f t="shared" si="26"/>
        <v>BAA</v>
      </c>
      <c r="O283" s="11">
        <f>VLOOKUP(A283,XYZ!A282:G1085,2,FALSE)</f>
        <v>2.2360679774997894</v>
      </c>
      <c r="P283" t="str">
        <f t="shared" si="27"/>
        <v>Z</v>
      </c>
      <c r="Q283" t="str">
        <f t="shared" si="28"/>
        <v>BAAZ</v>
      </c>
    </row>
    <row r="284" spans="1:17" x14ac:dyDescent="0.15">
      <c r="A284" t="s">
        <v>283</v>
      </c>
      <c r="B284" s="9">
        <v>1</v>
      </c>
      <c r="C284" s="13">
        <v>0</v>
      </c>
      <c r="D284" s="13">
        <v>0.82</v>
      </c>
      <c r="E284" s="9" t="s">
        <v>1241</v>
      </c>
      <c r="F284">
        <v>1354</v>
      </c>
      <c r="G284" s="11">
        <v>3.6784268440404589E-3</v>
      </c>
      <c r="H284" s="12">
        <v>0.330214928733018</v>
      </c>
      <c r="I284" t="s">
        <v>1240</v>
      </c>
      <c r="J284">
        <v>6</v>
      </c>
      <c r="K284" s="11">
        <f t="shared" si="24"/>
        <v>6.2155775398998981E-4</v>
      </c>
      <c r="L284" s="12">
        <f t="shared" si="29"/>
        <v>0.6944664785330118</v>
      </c>
      <c r="M284" t="str">
        <f t="shared" si="25"/>
        <v>A</v>
      </c>
      <c r="N284" t="str">
        <f t="shared" si="26"/>
        <v>BAA</v>
      </c>
      <c r="O284" s="11">
        <f>VLOOKUP(A284,XYZ!A283:G1086,2,FALSE)</f>
        <v>2.2360679774997894</v>
      </c>
      <c r="P284" t="str">
        <f t="shared" si="27"/>
        <v>Z</v>
      </c>
      <c r="Q284" t="str">
        <f t="shared" si="28"/>
        <v>BAAZ</v>
      </c>
    </row>
    <row r="285" spans="1:17" x14ac:dyDescent="0.15">
      <c r="A285" t="s">
        <v>619</v>
      </c>
      <c r="B285" s="9">
        <v>1</v>
      </c>
      <c r="C285" s="13">
        <v>0</v>
      </c>
      <c r="D285" s="13">
        <v>0.94</v>
      </c>
      <c r="E285" s="9" t="s">
        <v>1241</v>
      </c>
      <c r="F285">
        <v>1316</v>
      </c>
      <c r="G285" s="11">
        <v>3.5751918218295746E-3</v>
      </c>
      <c r="H285" s="12">
        <v>0.33379012055484758</v>
      </c>
      <c r="I285" t="s">
        <v>1240</v>
      </c>
      <c r="J285">
        <v>6</v>
      </c>
      <c r="K285" s="11">
        <f t="shared" si="24"/>
        <v>6.2155775398998981E-4</v>
      </c>
      <c r="L285" s="12">
        <f t="shared" si="29"/>
        <v>0.69508803628700178</v>
      </c>
      <c r="M285" t="str">
        <f t="shared" si="25"/>
        <v>A</v>
      </c>
      <c r="N285" t="str">
        <f t="shared" si="26"/>
        <v>BAA</v>
      </c>
      <c r="O285" s="11">
        <f>VLOOKUP(A285,XYZ!A284:G1087,2,FALSE)</f>
        <v>2.2360679774997894</v>
      </c>
      <c r="P285" t="str">
        <f t="shared" si="27"/>
        <v>Z</v>
      </c>
      <c r="Q285" t="str">
        <f t="shared" si="28"/>
        <v>BAAZ</v>
      </c>
    </row>
    <row r="286" spans="1:17" x14ac:dyDescent="0.15">
      <c r="A286" t="s">
        <v>1204</v>
      </c>
      <c r="B286" s="9">
        <v>1</v>
      </c>
      <c r="C286" s="13">
        <v>0</v>
      </c>
      <c r="D286" s="13">
        <v>0.75</v>
      </c>
      <c r="E286" s="9" t="s">
        <v>1240</v>
      </c>
      <c r="F286">
        <v>1276</v>
      </c>
      <c r="G286" s="11">
        <v>3.466523377397065E-3</v>
      </c>
      <c r="H286" s="12">
        <v>0.34430379255369287</v>
      </c>
      <c r="I286" t="s">
        <v>1240</v>
      </c>
      <c r="J286">
        <v>6</v>
      </c>
      <c r="K286" s="11">
        <f t="shared" si="24"/>
        <v>6.2155775398998981E-4</v>
      </c>
      <c r="L286" s="12">
        <f t="shared" si="29"/>
        <v>0.69570959404099175</v>
      </c>
      <c r="M286" t="str">
        <f t="shared" si="25"/>
        <v>A</v>
      </c>
      <c r="N286" t="str">
        <f t="shared" si="26"/>
        <v>AAA</v>
      </c>
      <c r="O286" s="11">
        <f>VLOOKUP(A286,XYZ!A285:G1088,2,FALSE)</f>
        <v>2.2360679774997894</v>
      </c>
      <c r="P286" t="str">
        <f t="shared" si="27"/>
        <v>Z</v>
      </c>
      <c r="Q286" t="str">
        <f t="shared" si="28"/>
        <v>AAAZ</v>
      </c>
    </row>
    <row r="287" spans="1:17" x14ac:dyDescent="0.15">
      <c r="A287" t="s">
        <v>858</v>
      </c>
      <c r="B287" s="9">
        <v>1</v>
      </c>
      <c r="C287" s="13">
        <v>0</v>
      </c>
      <c r="D287" s="13">
        <v>0.97</v>
      </c>
      <c r="E287" s="9" t="s">
        <v>1242</v>
      </c>
      <c r="F287">
        <v>1258</v>
      </c>
      <c r="G287" s="11">
        <v>3.4176225774024353E-3</v>
      </c>
      <c r="H287" s="12">
        <v>0.34772141513109528</v>
      </c>
      <c r="I287" t="s">
        <v>1240</v>
      </c>
      <c r="J287">
        <v>6</v>
      </c>
      <c r="K287" s="11">
        <f t="shared" si="24"/>
        <v>6.2155775398998981E-4</v>
      </c>
      <c r="L287" s="12">
        <f t="shared" si="29"/>
        <v>0.69633115179498173</v>
      </c>
      <c r="M287" t="str">
        <f t="shared" si="25"/>
        <v>A</v>
      </c>
      <c r="N287" t="str">
        <f t="shared" si="26"/>
        <v>CAA</v>
      </c>
      <c r="O287" s="11">
        <f>VLOOKUP(A287,XYZ!A286:G1089,2,FALSE)</f>
        <v>2.2360679774997894</v>
      </c>
      <c r="P287" t="str">
        <f t="shared" si="27"/>
        <v>Z</v>
      </c>
      <c r="Q287" t="str">
        <f t="shared" si="28"/>
        <v>CAAZ</v>
      </c>
    </row>
    <row r="288" spans="1:17" x14ac:dyDescent="0.15">
      <c r="A288" t="s">
        <v>778</v>
      </c>
      <c r="B288" s="9">
        <v>1</v>
      </c>
      <c r="C288" s="13">
        <v>0</v>
      </c>
      <c r="D288" s="13">
        <v>0.8</v>
      </c>
      <c r="E288" s="9" t="s">
        <v>1241</v>
      </c>
      <c r="F288">
        <v>1257</v>
      </c>
      <c r="G288" s="11">
        <v>3.4149058662916224E-3</v>
      </c>
      <c r="H288" s="12">
        <v>0.3511363209973869</v>
      </c>
      <c r="I288" t="s">
        <v>1240</v>
      </c>
      <c r="J288">
        <v>6</v>
      </c>
      <c r="K288" s="11">
        <f t="shared" si="24"/>
        <v>6.2155775398998981E-4</v>
      </c>
      <c r="L288" s="12">
        <f t="shared" si="29"/>
        <v>0.69695270954897171</v>
      </c>
      <c r="M288" t="str">
        <f t="shared" si="25"/>
        <v>A</v>
      </c>
      <c r="N288" t="str">
        <f t="shared" si="26"/>
        <v>BAA</v>
      </c>
      <c r="O288" s="11">
        <f>VLOOKUP(A288,XYZ!A287:G1090,2,FALSE)</f>
        <v>2.2360679774997894</v>
      </c>
      <c r="P288" t="str">
        <f t="shared" si="27"/>
        <v>Z</v>
      </c>
      <c r="Q288" t="str">
        <f t="shared" si="28"/>
        <v>BAAZ</v>
      </c>
    </row>
    <row r="289" spans="1:17" x14ac:dyDescent="0.15">
      <c r="A289" t="s">
        <v>660</v>
      </c>
      <c r="B289" s="9">
        <v>1</v>
      </c>
      <c r="C289" s="13">
        <v>0</v>
      </c>
      <c r="D289" s="13">
        <v>0.8</v>
      </c>
      <c r="E289" s="9" t="s">
        <v>1240</v>
      </c>
      <c r="F289">
        <v>1219</v>
      </c>
      <c r="G289" s="11">
        <v>3.3116708440807381E-3</v>
      </c>
      <c r="H289" s="12">
        <v>0.35785474757442681</v>
      </c>
      <c r="I289" t="s">
        <v>1240</v>
      </c>
      <c r="J289">
        <v>6</v>
      </c>
      <c r="K289" s="11">
        <f t="shared" si="24"/>
        <v>6.2155775398998981E-4</v>
      </c>
      <c r="L289" s="12">
        <f t="shared" si="29"/>
        <v>0.69757426730296168</v>
      </c>
      <c r="M289" t="str">
        <f t="shared" si="25"/>
        <v>A</v>
      </c>
      <c r="N289" t="str">
        <f t="shared" si="26"/>
        <v>AAA</v>
      </c>
      <c r="O289" s="11">
        <f>VLOOKUP(A289,XYZ!A288:G1091,2,FALSE)</f>
        <v>2.2360679774997894</v>
      </c>
      <c r="P289" t="str">
        <f t="shared" si="27"/>
        <v>Z</v>
      </c>
      <c r="Q289" t="str">
        <f t="shared" si="28"/>
        <v>AAAZ</v>
      </c>
    </row>
    <row r="290" spans="1:17" x14ac:dyDescent="0.15">
      <c r="A290" t="s">
        <v>839</v>
      </c>
      <c r="B290" s="9">
        <v>1</v>
      </c>
      <c r="C290" s="13">
        <v>0</v>
      </c>
      <c r="D290" s="13">
        <v>0.96</v>
      </c>
      <c r="E290" s="9" t="s">
        <v>1242</v>
      </c>
      <c r="F290">
        <v>1206</v>
      </c>
      <c r="G290" s="11">
        <v>3.2763535996401727E-3</v>
      </c>
      <c r="H290" s="12">
        <v>0.36440745477370717</v>
      </c>
      <c r="I290" t="s">
        <v>1240</v>
      </c>
      <c r="J290">
        <v>6</v>
      </c>
      <c r="K290" s="11">
        <f t="shared" si="24"/>
        <v>6.2155775398998981E-4</v>
      </c>
      <c r="L290" s="12">
        <f t="shared" si="29"/>
        <v>0.69819582505695166</v>
      </c>
      <c r="M290" t="str">
        <f t="shared" si="25"/>
        <v>A</v>
      </c>
      <c r="N290" t="str">
        <f t="shared" si="26"/>
        <v>CAA</v>
      </c>
      <c r="O290" s="11">
        <f>VLOOKUP(A290,XYZ!A289:G1092,2,FALSE)</f>
        <v>2.2360679774997894</v>
      </c>
      <c r="P290" t="str">
        <f t="shared" si="27"/>
        <v>Z</v>
      </c>
      <c r="Q290" t="str">
        <f t="shared" si="28"/>
        <v>CAAZ</v>
      </c>
    </row>
    <row r="291" spans="1:17" x14ac:dyDescent="0.15">
      <c r="A291" t="s">
        <v>1079</v>
      </c>
      <c r="B291" s="9">
        <v>1</v>
      </c>
      <c r="C291" s="13">
        <v>0</v>
      </c>
      <c r="D291" s="13">
        <v>0.69</v>
      </c>
      <c r="E291" s="9" t="s">
        <v>1240</v>
      </c>
      <c r="F291">
        <v>1153</v>
      </c>
      <c r="G291" s="11">
        <v>3.1323679107670968E-3</v>
      </c>
      <c r="H291" s="12">
        <v>0.3739458274837707</v>
      </c>
      <c r="I291" t="s">
        <v>1240</v>
      </c>
      <c r="J291">
        <v>6</v>
      </c>
      <c r="K291" s="11">
        <f t="shared" si="24"/>
        <v>6.2155775398998981E-4</v>
      </c>
      <c r="L291" s="12">
        <f t="shared" si="29"/>
        <v>0.69881738281094163</v>
      </c>
      <c r="M291" t="str">
        <f t="shared" si="25"/>
        <v>A</v>
      </c>
      <c r="N291" t="str">
        <f t="shared" si="26"/>
        <v>AAA</v>
      </c>
      <c r="O291" s="11">
        <f>VLOOKUP(A291,XYZ!A290:G1093,2,FALSE)</f>
        <v>2.2360679774997894</v>
      </c>
      <c r="P291" t="str">
        <f t="shared" si="27"/>
        <v>Z</v>
      </c>
      <c r="Q291" t="str">
        <f t="shared" si="28"/>
        <v>AAAZ</v>
      </c>
    </row>
    <row r="292" spans="1:17" x14ac:dyDescent="0.15">
      <c r="A292" t="s">
        <v>1117</v>
      </c>
      <c r="B292" s="9">
        <v>1</v>
      </c>
      <c r="C292" s="13">
        <v>0</v>
      </c>
      <c r="D292" s="13">
        <v>0.86</v>
      </c>
      <c r="E292" s="9" t="s">
        <v>1241</v>
      </c>
      <c r="F292">
        <v>1150</v>
      </c>
      <c r="G292" s="11">
        <v>3.1242177774346586E-3</v>
      </c>
      <c r="H292" s="12">
        <v>0.37707004526120536</v>
      </c>
      <c r="I292" t="s">
        <v>1240</v>
      </c>
      <c r="J292">
        <v>6</v>
      </c>
      <c r="K292" s="11">
        <f t="shared" si="24"/>
        <v>6.2155775398998981E-4</v>
      </c>
      <c r="L292" s="12">
        <f t="shared" si="29"/>
        <v>0.69943894056493161</v>
      </c>
      <c r="M292" t="str">
        <f t="shared" si="25"/>
        <v>A</v>
      </c>
      <c r="N292" t="str">
        <f t="shared" si="26"/>
        <v>BAA</v>
      </c>
      <c r="O292" s="11">
        <f>VLOOKUP(A292,XYZ!A291:G1094,2,FALSE)</f>
        <v>2.2360679774997894</v>
      </c>
      <c r="P292" t="str">
        <f t="shared" si="27"/>
        <v>Z</v>
      </c>
      <c r="Q292" t="str">
        <f t="shared" si="28"/>
        <v>BAAZ</v>
      </c>
    </row>
    <row r="293" spans="1:17" x14ac:dyDescent="0.15">
      <c r="A293" t="s">
        <v>1041</v>
      </c>
      <c r="B293" s="9">
        <v>1</v>
      </c>
      <c r="C293" s="13">
        <v>0</v>
      </c>
      <c r="D293" s="13">
        <v>0.92</v>
      </c>
      <c r="E293" s="9" t="s">
        <v>1241</v>
      </c>
      <c r="F293">
        <v>1147</v>
      </c>
      <c r="G293" s="11">
        <v>3.1160676441022205E-3</v>
      </c>
      <c r="H293" s="12">
        <v>0.38018611290530757</v>
      </c>
      <c r="I293" t="s">
        <v>1240</v>
      </c>
      <c r="J293">
        <v>6</v>
      </c>
      <c r="K293" s="11">
        <f t="shared" si="24"/>
        <v>6.2155775398998981E-4</v>
      </c>
      <c r="L293" s="12">
        <f t="shared" si="29"/>
        <v>0.70006049831892159</v>
      </c>
      <c r="M293" t="str">
        <f t="shared" si="25"/>
        <v>A</v>
      </c>
      <c r="N293" t="str">
        <f t="shared" si="26"/>
        <v>BAA</v>
      </c>
      <c r="O293" s="11">
        <f>VLOOKUP(A293,XYZ!A292:G1095,2,FALSE)</f>
        <v>2.2360679774997894</v>
      </c>
      <c r="P293" t="str">
        <f t="shared" si="27"/>
        <v>Z</v>
      </c>
      <c r="Q293" t="str">
        <f t="shared" si="28"/>
        <v>BAAZ</v>
      </c>
    </row>
    <row r="294" spans="1:17" x14ac:dyDescent="0.15">
      <c r="A294" t="s">
        <v>953</v>
      </c>
      <c r="B294" s="9">
        <v>1</v>
      </c>
      <c r="C294" s="13">
        <v>0</v>
      </c>
      <c r="D294" s="13">
        <v>0.79</v>
      </c>
      <c r="E294" s="9" t="s">
        <v>1240</v>
      </c>
      <c r="F294">
        <v>1145</v>
      </c>
      <c r="G294" s="11">
        <v>3.1106342218805948E-3</v>
      </c>
      <c r="H294" s="12">
        <v>0.38329674712718814</v>
      </c>
      <c r="I294" t="s">
        <v>1240</v>
      </c>
      <c r="J294">
        <v>6</v>
      </c>
      <c r="K294" s="11">
        <f t="shared" si="24"/>
        <v>6.2155775398998981E-4</v>
      </c>
      <c r="L294" s="12">
        <f t="shared" si="29"/>
        <v>0.70068205607291156</v>
      </c>
      <c r="M294" t="str">
        <f t="shared" si="25"/>
        <v>A</v>
      </c>
      <c r="N294" t="str">
        <f t="shared" si="26"/>
        <v>AAA</v>
      </c>
      <c r="O294" s="11">
        <f>VLOOKUP(A294,XYZ!A293:G1096,2,FALSE)</f>
        <v>2.2360679774997894</v>
      </c>
      <c r="P294" t="str">
        <f t="shared" si="27"/>
        <v>Z</v>
      </c>
      <c r="Q294" t="str">
        <f t="shared" si="28"/>
        <v>AAAZ</v>
      </c>
    </row>
    <row r="295" spans="1:17" x14ac:dyDescent="0.15">
      <c r="A295" t="s">
        <v>1036</v>
      </c>
      <c r="B295" s="9">
        <v>1</v>
      </c>
      <c r="C295" s="13">
        <v>0</v>
      </c>
      <c r="D295" s="13">
        <v>0.95</v>
      </c>
      <c r="E295" s="9" t="s">
        <v>1242</v>
      </c>
      <c r="F295">
        <v>1141</v>
      </c>
      <c r="G295" s="11">
        <v>3.0997673774373442E-3</v>
      </c>
      <c r="H295" s="12">
        <v>0.38639651450462548</v>
      </c>
      <c r="I295" t="s">
        <v>1240</v>
      </c>
      <c r="J295">
        <v>6</v>
      </c>
      <c r="K295" s="11">
        <f t="shared" si="24"/>
        <v>6.2155775398998981E-4</v>
      </c>
      <c r="L295" s="12">
        <f t="shared" si="29"/>
        <v>0.70130361382690154</v>
      </c>
      <c r="M295" t="str">
        <f t="shared" si="25"/>
        <v>A</v>
      </c>
      <c r="N295" t="str">
        <f t="shared" si="26"/>
        <v>CAA</v>
      </c>
      <c r="O295" s="11">
        <f>VLOOKUP(A295,XYZ!A294:G1097,2,FALSE)</f>
        <v>2.2360679774997894</v>
      </c>
      <c r="P295" t="str">
        <f t="shared" si="27"/>
        <v>Z</v>
      </c>
      <c r="Q295" t="str">
        <f t="shared" si="28"/>
        <v>CAAZ</v>
      </c>
    </row>
    <row r="296" spans="1:17" x14ac:dyDescent="0.15">
      <c r="A296" t="s">
        <v>757</v>
      </c>
      <c r="B296" s="9">
        <v>1</v>
      </c>
      <c r="C296" s="13">
        <v>0</v>
      </c>
      <c r="D296" s="13">
        <v>0.94</v>
      </c>
      <c r="E296" s="9" t="s">
        <v>1241</v>
      </c>
      <c r="F296">
        <v>1124</v>
      </c>
      <c r="G296" s="11">
        <v>3.0535832885535273E-3</v>
      </c>
      <c r="H296" s="12">
        <v>0.38945009779317902</v>
      </c>
      <c r="I296" t="s">
        <v>1240</v>
      </c>
      <c r="J296">
        <v>6</v>
      </c>
      <c r="K296" s="11">
        <f t="shared" si="24"/>
        <v>6.2155775398998981E-4</v>
      </c>
      <c r="L296" s="12">
        <f t="shared" si="29"/>
        <v>0.70192517158089152</v>
      </c>
      <c r="M296" t="str">
        <f t="shared" si="25"/>
        <v>A</v>
      </c>
      <c r="N296" t="str">
        <f t="shared" si="26"/>
        <v>BAA</v>
      </c>
      <c r="O296" s="11">
        <f>VLOOKUP(A296,XYZ!A295:G1098,2,FALSE)</f>
        <v>2.2360679774997894</v>
      </c>
      <c r="P296" t="str">
        <f t="shared" si="27"/>
        <v>Z</v>
      </c>
      <c r="Q296" t="str">
        <f t="shared" si="28"/>
        <v>BAAZ</v>
      </c>
    </row>
    <row r="297" spans="1:17" x14ac:dyDescent="0.15">
      <c r="A297" t="s">
        <v>1206</v>
      </c>
      <c r="B297" s="9">
        <v>1</v>
      </c>
      <c r="C297" s="13">
        <v>0</v>
      </c>
      <c r="D297" s="13">
        <v>0.7</v>
      </c>
      <c r="E297" s="9" t="s">
        <v>1240</v>
      </c>
      <c r="F297">
        <v>1115</v>
      </c>
      <c r="G297" s="11">
        <v>3.0291328885562125E-3</v>
      </c>
      <c r="H297" s="12">
        <v>0.39247923068173524</v>
      </c>
      <c r="I297" t="s">
        <v>1240</v>
      </c>
      <c r="J297">
        <v>6</v>
      </c>
      <c r="K297" s="11">
        <f t="shared" si="24"/>
        <v>6.2155775398998981E-4</v>
      </c>
      <c r="L297" s="12">
        <f t="shared" si="29"/>
        <v>0.70254672933488149</v>
      </c>
      <c r="M297" t="str">
        <f t="shared" si="25"/>
        <v>A</v>
      </c>
      <c r="N297" t="str">
        <f t="shared" si="26"/>
        <v>AAA</v>
      </c>
      <c r="O297" s="11">
        <f>VLOOKUP(A297,XYZ!A296:G1099,2,FALSE)</f>
        <v>2.2360679774997894</v>
      </c>
      <c r="P297" t="str">
        <f t="shared" si="27"/>
        <v>Z</v>
      </c>
      <c r="Q297" t="str">
        <f t="shared" si="28"/>
        <v>AAAZ</v>
      </c>
    </row>
    <row r="298" spans="1:17" x14ac:dyDescent="0.15">
      <c r="A298" t="s">
        <v>763</v>
      </c>
      <c r="B298" s="9">
        <v>1</v>
      </c>
      <c r="C298" s="13">
        <v>0</v>
      </c>
      <c r="D298" s="13">
        <v>0.91</v>
      </c>
      <c r="E298" s="9" t="s">
        <v>1241</v>
      </c>
      <c r="F298">
        <v>1111.0000002199999</v>
      </c>
      <c r="G298" s="11">
        <v>3.0182660447106379E-3</v>
      </c>
      <c r="H298" s="12">
        <v>0.39852391290389128</v>
      </c>
      <c r="I298" t="s">
        <v>1240</v>
      </c>
      <c r="J298">
        <v>6</v>
      </c>
      <c r="K298" s="11">
        <f t="shared" si="24"/>
        <v>6.2155775398998981E-4</v>
      </c>
      <c r="L298" s="12">
        <f t="shared" si="29"/>
        <v>0.70316828708887147</v>
      </c>
      <c r="M298" t="str">
        <f t="shared" si="25"/>
        <v>A</v>
      </c>
      <c r="N298" t="str">
        <f t="shared" si="26"/>
        <v>BAA</v>
      </c>
      <c r="O298" s="11">
        <f>VLOOKUP(A298,XYZ!A297:G1100,2,FALSE)</f>
        <v>1.4907119896583345</v>
      </c>
      <c r="P298" t="str">
        <f t="shared" si="27"/>
        <v>Z</v>
      </c>
      <c r="Q298" t="str">
        <f t="shared" si="28"/>
        <v>BAAZ</v>
      </c>
    </row>
    <row r="299" spans="1:17" x14ac:dyDescent="0.15">
      <c r="A299" t="s">
        <v>696</v>
      </c>
      <c r="B299" s="9">
        <v>1</v>
      </c>
      <c r="C299" s="13">
        <v>0</v>
      </c>
      <c r="D299" s="13">
        <v>0.94</v>
      </c>
      <c r="E299" s="9" t="s">
        <v>1241</v>
      </c>
      <c r="F299">
        <v>1111</v>
      </c>
      <c r="G299" s="11">
        <v>3.0182660441129615E-3</v>
      </c>
      <c r="H299" s="12">
        <v>0.40154217894800426</v>
      </c>
      <c r="I299" t="s">
        <v>1240</v>
      </c>
      <c r="J299">
        <v>6</v>
      </c>
      <c r="K299" s="11">
        <f t="shared" si="24"/>
        <v>6.2155775398998981E-4</v>
      </c>
      <c r="L299" s="12">
        <f t="shared" si="29"/>
        <v>0.70378984484286145</v>
      </c>
      <c r="M299" t="str">
        <f t="shared" si="25"/>
        <v>A</v>
      </c>
      <c r="N299" t="str">
        <f t="shared" si="26"/>
        <v>BAA</v>
      </c>
      <c r="O299" s="11">
        <f>VLOOKUP(A299,XYZ!A298:G1101,2,FALSE)</f>
        <v>2.2360679774997894</v>
      </c>
      <c r="P299" t="str">
        <f t="shared" si="27"/>
        <v>Z</v>
      </c>
      <c r="Q299" t="str">
        <f t="shared" si="28"/>
        <v>BAAZ</v>
      </c>
    </row>
    <row r="300" spans="1:17" x14ac:dyDescent="0.15">
      <c r="A300" t="s">
        <v>375</v>
      </c>
      <c r="B300" s="9">
        <v>1</v>
      </c>
      <c r="C300" s="13">
        <v>0</v>
      </c>
      <c r="D300" s="13">
        <v>0.96</v>
      </c>
      <c r="E300" s="9" t="s">
        <v>1242</v>
      </c>
      <c r="F300">
        <v>1105</v>
      </c>
      <c r="G300" s="11">
        <v>3.0019657774480852E-3</v>
      </c>
      <c r="H300" s="12">
        <v>0.40454414472545236</v>
      </c>
      <c r="I300" t="s">
        <v>1240</v>
      </c>
      <c r="J300">
        <v>6</v>
      </c>
      <c r="K300" s="11">
        <f t="shared" si="24"/>
        <v>6.2155775398998981E-4</v>
      </c>
      <c r="L300" s="12">
        <f t="shared" si="29"/>
        <v>0.70441140259685142</v>
      </c>
      <c r="M300" t="str">
        <f t="shared" si="25"/>
        <v>A</v>
      </c>
      <c r="N300" t="str">
        <f t="shared" si="26"/>
        <v>CAA</v>
      </c>
      <c r="O300" s="11">
        <f>VLOOKUP(A300,XYZ!A299:G1102,2,FALSE)</f>
        <v>2.2360679774997894</v>
      </c>
      <c r="P300" t="str">
        <f t="shared" si="27"/>
        <v>Z</v>
      </c>
      <c r="Q300" t="str">
        <f t="shared" si="28"/>
        <v>CAAZ</v>
      </c>
    </row>
    <row r="301" spans="1:17" x14ac:dyDescent="0.15">
      <c r="A301" t="s">
        <v>931</v>
      </c>
      <c r="B301" s="9">
        <v>1</v>
      </c>
      <c r="C301" s="13">
        <v>0</v>
      </c>
      <c r="D301" s="13">
        <v>0.96</v>
      </c>
      <c r="E301" s="9" t="s">
        <v>1242</v>
      </c>
      <c r="F301">
        <v>1083</v>
      </c>
      <c r="G301" s="11">
        <v>2.9421981330102049E-3</v>
      </c>
      <c r="H301" s="12">
        <v>0.40748634285846258</v>
      </c>
      <c r="I301" t="s">
        <v>1240</v>
      </c>
      <c r="J301">
        <v>6</v>
      </c>
      <c r="K301" s="11">
        <f t="shared" si="24"/>
        <v>6.2155775398998981E-4</v>
      </c>
      <c r="L301" s="12">
        <f t="shared" si="29"/>
        <v>0.7050329603508414</v>
      </c>
      <c r="M301" t="str">
        <f t="shared" si="25"/>
        <v>A</v>
      </c>
      <c r="N301" t="str">
        <f t="shared" si="26"/>
        <v>CAA</v>
      </c>
      <c r="O301" s="11">
        <f>VLOOKUP(A301,XYZ!A300:G1103,2,FALSE)</f>
        <v>2.2360679774997894</v>
      </c>
      <c r="P301" t="str">
        <f t="shared" si="27"/>
        <v>Z</v>
      </c>
      <c r="Q301" t="str">
        <f t="shared" si="28"/>
        <v>CAAZ</v>
      </c>
    </row>
    <row r="302" spans="1:17" x14ac:dyDescent="0.15">
      <c r="A302" t="s">
        <v>786</v>
      </c>
      <c r="B302" s="9">
        <v>1</v>
      </c>
      <c r="C302" s="13">
        <v>0</v>
      </c>
      <c r="D302" s="13">
        <v>0.75</v>
      </c>
      <c r="E302" s="9" t="s">
        <v>1240</v>
      </c>
      <c r="F302">
        <v>1081</v>
      </c>
      <c r="G302" s="11">
        <v>2.9367647107885792E-3</v>
      </c>
      <c r="H302" s="12">
        <v>0.41042310756925116</v>
      </c>
      <c r="I302" t="s">
        <v>1240</v>
      </c>
      <c r="J302">
        <v>6</v>
      </c>
      <c r="K302" s="11">
        <f t="shared" si="24"/>
        <v>6.2155775398998981E-4</v>
      </c>
      <c r="L302" s="12">
        <f t="shared" si="29"/>
        <v>0.70565451810483137</v>
      </c>
      <c r="M302" t="str">
        <f t="shared" si="25"/>
        <v>A</v>
      </c>
      <c r="N302" t="str">
        <f t="shared" si="26"/>
        <v>AAA</v>
      </c>
      <c r="O302" s="11">
        <f>VLOOKUP(A302,XYZ!A301:G1104,2,FALSE)</f>
        <v>2.2360679774997894</v>
      </c>
      <c r="P302" t="str">
        <f t="shared" si="27"/>
        <v>Z</v>
      </c>
      <c r="Q302" t="str">
        <f t="shared" si="28"/>
        <v>AAAZ</v>
      </c>
    </row>
    <row r="303" spans="1:17" x14ac:dyDescent="0.15">
      <c r="A303" t="s">
        <v>1055</v>
      </c>
      <c r="B303" s="9">
        <v>1</v>
      </c>
      <c r="C303" s="13">
        <v>0</v>
      </c>
      <c r="D303" s="13">
        <v>0.79</v>
      </c>
      <c r="E303" s="9" t="s">
        <v>1240</v>
      </c>
      <c r="F303">
        <v>1047</v>
      </c>
      <c r="G303" s="11">
        <v>2.8443965330209459E-3</v>
      </c>
      <c r="H303" s="12">
        <v>0.41617891281357899</v>
      </c>
      <c r="I303" t="s">
        <v>1240</v>
      </c>
      <c r="J303">
        <v>6</v>
      </c>
      <c r="K303" s="11">
        <f t="shared" si="24"/>
        <v>6.2155775398998981E-4</v>
      </c>
      <c r="L303" s="12">
        <f t="shared" si="29"/>
        <v>0.70627607585882135</v>
      </c>
      <c r="M303" t="str">
        <f t="shared" si="25"/>
        <v>A</v>
      </c>
      <c r="N303" t="str">
        <f t="shared" si="26"/>
        <v>AAA</v>
      </c>
      <c r="O303" s="11">
        <f>VLOOKUP(A303,XYZ!A302:G1105,2,FALSE)</f>
        <v>2.2360679774997894</v>
      </c>
      <c r="P303" t="str">
        <f t="shared" si="27"/>
        <v>Z</v>
      </c>
      <c r="Q303" t="str">
        <f t="shared" si="28"/>
        <v>AAAZ</v>
      </c>
    </row>
    <row r="304" spans="1:17" x14ac:dyDescent="0.15">
      <c r="A304" t="s">
        <v>181</v>
      </c>
      <c r="B304" s="9">
        <v>1</v>
      </c>
      <c r="C304" s="13">
        <v>0</v>
      </c>
      <c r="D304" s="13">
        <v>0.78</v>
      </c>
      <c r="E304" s="9" t="s">
        <v>1240</v>
      </c>
      <c r="F304">
        <v>1039</v>
      </c>
      <c r="G304" s="11">
        <v>2.8226628441344439E-3</v>
      </c>
      <c r="H304" s="12">
        <v>0.41900157565771345</v>
      </c>
      <c r="I304" t="s">
        <v>1240</v>
      </c>
      <c r="J304">
        <v>6</v>
      </c>
      <c r="K304" s="11">
        <f t="shared" si="24"/>
        <v>6.2155775398998981E-4</v>
      </c>
      <c r="L304" s="12">
        <f t="shared" si="29"/>
        <v>0.70689763361281133</v>
      </c>
      <c r="M304" t="str">
        <f t="shared" si="25"/>
        <v>A</v>
      </c>
      <c r="N304" t="str">
        <f t="shared" si="26"/>
        <v>AAA</v>
      </c>
      <c r="O304" s="11">
        <f>VLOOKUP(A304,XYZ!A303:G1106,2,FALSE)</f>
        <v>2.2360679774997894</v>
      </c>
      <c r="P304" t="str">
        <f t="shared" si="27"/>
        <v>Z</v>
      </c>
      <c r="Q304" t="str">
        <f t="shared" si="28"/>
        <v>AAAZ</v>
      </c>
    </row>
    <row r="305" spans="1:17" x14ac:dyDescent="0.15">
      <c r="A305" t="s">
        <v>711</v>
      </c>
      <c r="B305" s="9">
        <v>1</v>
      </c>
      <c r="C305" s="13">
        <v>0</v>
      </c>
      <c r="D305" s="13">
        <v>0.72</v>
      </c>
      <c r="E305" s="9" t="s">
        <v>1240</v>
      </c>
      <c r="F305">
        <v>1036</v>
      </c>
      <c r="G305" s="11">
        <v>2.8145127108020057E-3</v>
      </c>
      <c r="H305" s="12">
        <v>0.42181608836851547</v>
      </c>
      <c r="I305" t="s">
        <v>1240</v>
      </c>
      <c r="J305">
        <v>6</v>
      </c>
      <c r="K305" s="11">
        <f t="shared" si="24"/>
        <v>6.2155775398998981E-4</v>
      </c>
      <c r="L305" s="12">
        <f t="shared" si="29"/>
        <v>0.7075191913668013</v>
      </c>
      <c r="M305" t="str">
        <f t="shared" si="25"/>
        <v>A</v>
      </c>
      <c r="N305" t="str">
        <f t="shared" si="26"/>
        <v>AAA</v>
      </c>
      <c r="O305" s="11">
        <f>VLOOKUP(A305,XYZ!A304:G1107,2,FALSE)</f>
        <v>2.2360679774997894</v>
      </c>
      <c r="P305" t="str">
        <f t="shared" si="27"/>
        <v>Z</v>
      </c>
      <c r="Q305" t="str">
        <f t="shared" si="28"/>
        <v>AAAZ</v>
      </c>
    </row>
    <row r="306" spans="1:17" x14ac:dyDescent="0.15">
      <c r="A306" t="s">
        <v>661</v>
      </c>
      <c r="B306" s="9">
        <v>1</v>
      </c>
      <c r="C306" s="13">
        <v>0</v>
      </c>
      <c r="D306" s="13">
        <v>0.84</v>
      </c>
      <c r="E306" s="9" t="s">
        <v>1241</v>
      </c>
      <c r="F306">
        <v>1018</v>
      </c>
      <c r="G306" s="11">
        <v>2.765611910807376E-3</v>
      </c>
      <c r="H306" s="12">
        <v>0.42735817900680867</v>
      </c>
      <c r="I306" t="s">
        <v>1240</v>
      </c>
      <c r="J306">
        <v>6</v>
      </c>
      <c r="K306" s="11">
        <f t="shared" si="24"/>
        <v>6.2155775398998981E-4</v>
      </c>
      <c r="L306" s="12">
        <f t="shared" si="29"/>
        <v>0.70814074912079128</v>
      </c>
      <c r="M306" t="str">
        <f t="shared" si="25"/>
        <v>A</v>
      </c>
      <c r="N306" t="str">
        <f t="shared" si="26"/>
        <v>BAA</v>
      </c>
      <c r="O306" s="11">
        <f>VLOOKUP(A306,XYZ!A305:G1108,2,FALSE)</f>
        <v>2.2360679774997894</v>
      </c>
      <c r="P306" t="str">
        <f t="shared" si="27"/>
        <v>Z</v>
      </c>
      <c r="Q306" t="str">
        <f t="shared" si="28"/>
        <v>BAAZ</v>
      </c>
    </row>
    <row r="307" spans="1:17" x14ac:dyDescent="0.15">
      <c r="A307" t="s">
        <v>354</v>
      </c>
      <c r="B307" s="9">
        <v>1</v>
      </c>
      <c r="C307" s="13">
        <v>0</v>
      </c>
      <c r="D307" s="13">
        <v>0.9</v>
      </c>
      <c r="E307" s="9" t="s">
        <v>1241</v>
      </c>
      <c r="F307">
        <v>996.23</v>
      </c>
      <c r="G307" s="11">
        <v>2.7064691099249827E-3</v>
      </c>
      <c r="H307" s="12">
        <v>0.43277592580532481</v>
      </c>
      <c r="I307" t="s">
        <v>1240</v>
      </c>
      <c r="J307">
        <v>6</v>
      </c>
      <c r="K307" s="11">
        <f t="shared" si="24"/>
        <v>6.2155775398998981E-4</v>
      </c>
      <c r="L307" s="12">
        <f t="shared" si="29"/>
        <v>0.70876230687478126</v>
      </c>
      <c r="M307" t="str">
        <f t="shared" si="25"/>
        <v>A</v>
      </c>
      <c r="N307" t="str">
        <f t="shared" si="26"/>
        <v>BAA</v>
      </c>
      <c r="O307" s="11">
        <f>VLOOKUP(A307,XYZ!A306:G1109,2,FALSE)</f>
        <v>2.2360679774997894</v>
      </c>
      <c r="P307" t="str">
        <f t="shared" si="27"/>
        <v>Z</v>
      </c>
      <c r="Q307" t="str">
        <f t="shared" si="28"/>
        <v>BAAZ</v>
      </c>
    </row>
    <row r="308" spans="1:17" x14ac:dyDescent="0.15">
      <c r="A308" t="s">
        <v>897</v>
      </c>
      <c r="B308" s="9">
        <v>1</v>
      </c>
      <c r="C308" s="13">
        <v>0</v>
      </c>
      <c r="D308" s="13">
        <v>0.7</v>
      </c>
      <c r="E308" s="9" t="s">
        <v>1240</v>
      </c>
      <c r="F308">
        <v>987</v>
      </c>
      <c r="G308" s="11">
        <v>2.6813938663721808E-3</v>
      </c>
      <c r="H308" s="12">
        <v>0.43816316393806648</v>
      </c>
      <c r="I308" t="s">
        <v>1240</v>
      </c>
      <c r="J308">
        <v>6</v>
      </c>
      <c r="K308" s="11">
        <f t="shared" si="24"/>
        <v>6.2155775398998981E-4</v>
      </c>
      <c r="L308" s="12">
        <f t="shared" si="29"/>
        <v>0.70938386462877123</v>
      </c>
      <c r="M308" t="str">
        <f t="shared" si="25"/>
        <v>A</v>
      </c>
      <c r="N308" t="str">
        <f t="shared" si="26"/>
        <v>AAA</v>
      </c>
      <c r="O308" s="11">
        <f>VLOOKUP(A308,XYZ!A307:G1110,2,FALSE)</f>
        <v>2.2360679774997894</v>
      </c>
      <c r="P308" t="str">
        <f t="shared" si="27"/>
        <v>Z</v>
      </c>
      <c r="Q308" t="str">
        <f t="shared" si="28"/>
        <v>AAAZ</v>
      </c>
    </row>
    <row r="309" spans="1:17" x14ac:dyDescent="0.15">
      <c r="A309" t="s">
        <v>823</v>
      </c>
      <c r="B309" s="9">
        <v>1</v>
      </c>
      <c r="C309" s="13">
        <v>0</v>
      </c>
      <c r="D309" s="13">
        <v>0.85</v>
      </c>
      <c r="E309" s="9" t="s">
        <v>1241</v>
      </c>
      <c r="F309">
        <v>955</v>
      </c>
      <c r="G309" s="11">
        <v>2.5944591108261732E-3</v>
      </c>
      <c r="H309" s="12">
        <v>0.44343630020415403</v>
      </c>
      <c r="I309" t="s">
        <v>1240</v>
      </c>
      <c r="J309">
        <v>6</v>
      </c>
      <c r="K309" s="11">
        <f t="shared" si="24"/>
        <v>6.2155775398998981E-4</v>
      </c>
      <c r="L309" s="12">
        <f t="shared" si="29"/>
        <v>0.71000542238276121</v>
      </c>
      <c r="M309" t="str">
        <f t="shared" si="25"/>
        <v>A</v>
      </c>
      <c r="N309" t="str">
        <f t="shared" si="26"/>
        <v>BAA</v>
      </c>
      <c r="O309" s="11">
        <f>VLOOKUP(A309,XYZ!A308:G1111,2,FALSE)</f>
        <v>2.2360679774997894</v>
      </c>
      <c r="P309" t="str">
        <f t="shared" si="27"/>
        <v>Z</v>
      </c>
      <c r="Q309" t="str">
        <f t="shared" si="28"/>
        <v>BAAZ</v>
      </c>
    </row>
    <row r="310" spans="1:17" x14ac:dyDescent="0.15">
      <c r="A310" t="s">
        <v>243</v>
      </c>
      <c r="B310" s="9">
        <v>1</v>
      </c>
      <c r="C310" s="13">
        <v>0</v>
      </c>
      <c r="D310" s="13">
        <v>0.93</v>
      </c>
      <c r="E310" s="9" t="s">
        <v>1241</v>
      </c>
      <c r="F310">
        <v>948</v>
      </c>
      <c r="G310" s="11">
        <v>2.5754421330504837E-3</v>
      </c>
      <c r="H310" s="12">
        <v>0.45117621015885956</v>
      </c>
      <c r="I310" t="s">
        <v>1240</v>
      </c>
      <c r="J310">
        <v>6</v>
      </c>
      <c r="K310" s="11">
        <f t="shared" si="24"/>
        <v>6.2155775398998981E-4</v>
      </c>
      <c r="L310" s="12">
        <f t="shared" si="29"/>
        <v>0.71062698013675119</v>
      </c>
      <c r="M310" t="str">
        <f t="shared" si="25"/>
        <v>A</v>
      </c>
      <c r="N310" t="str">
        <f t="shared" si="26"/>
        <v>BAA</v>
      </c>
      <c r="O310" s="11">
        <f>VLOOKUP(A310,XYZ!A309:G1112,2,FALSE)</f>
        <v>2.2360679774997894</v>
      </c>
      <c r="P310" t="str">
        <f t="shared" si="27"/>
        <v>Z</v>
      </c>
      <c r="Q310" t="str">
        <f t="shared" si="28"/>
        <v>BAAZ</v>
      </c>
    </row>
    <row r="311" spans="1:17" x14ac:dyDescent="0.15">
      <c r="A311" t="s">
        <v>621</v>
      </c>
      <c r="B311" s="9">
        <v>1</v>
      </c>
      <c r="C311" s="13">
        <v>0</v>
      </c>
      <c r="D311" s="13">
        <v>0.7</v>
      </c>
      <c r="E311" s="9" t="s">
        <v>1240</v>
      </c>
      <c r="F311">
        <v>935</v>
      </c>
      <c r="G311" s="11">
        <v>2.5401248886099182E-3</v>
      </c>
      <c r="H311" s="12">
        <v>0.4537163350474695</v>
      </c>
      <c r="I311" t="s">
        <v>1240</v>
      </c>
      <c r="J311">
        <v>6</v>
      </c>
      <c r="K311" s="11">
        <f t="shared" si="24"/>
        <v>6.2155775398998981E-4</v>
      </c>
      <c r="L311" s="12">
        <f t="shared" si="29"/>
        <v>0.71124853789074116</v>
      </c>
      <c r="M311" t="str">
        <f t="shared" si="25"/>
        <v>A</v>
      </c>
      <c r="N311" t="str">
        <f t="shared" si="26"/>
        <v>AAA</v>
      </c>
      <c r="O311" s="11">
        <f>VLOOKUP(A311,XYZ!A310:G1113,2,FALSE)</f>
        <v>2.2360679774997894</v>
      </c>
      <c r="P311" t="str">
        <f t="shared" si="27"/>
        <v>Z</v>
      </c>
      <c r="Q311" t="str">
        <f t="shared" si="28"/>
        <v>AAAZ</v>
      </c>
    </row>
    <row r="312" spans="1:17" x14ac:dyDescent="0.15">
      <c r="A312" t="s">
        <v>686</v>
      </c>
      <c r="B312" s="9">
        <v>1</v>
      </c>
      <c r="C312" s="13">
        <v>0</v>
      </c>
      <c r="D312" s="13">
        <v>0.75</v>
      </c>
      <c r="E312" s="9" t="s">
        <v>1240</v>
      </c>
      <c r="F312">
        <v>935</v>
      </c>
      <c r="G312" s="11">
        <v>2.5401248886099182E-3</v>
      </c>
      <c r="H312" s="12">
        <v>0.45625645993607944</v>
      </c>
      <c r="I312" t="s">
        <v>1240</v>
      </c>
      <c r="J312">
        <v>6</v>
      </c>
      <c r="K312" s="11">
        <f t="shared" si="24"/>
        <v>6.2155775398998981E-4</v>
      </c>
      <c r="L312" s="12">
        <f t="shared" si="29"/>
        <v>0.71187009564473114</v>
      </c>
      <c r="M312" t="str">
        <f t="shared" si="25"/>
        <v>A</v>
      </c>
      <c r="N312" t="str">
        <f t="shared" si="26"/>
        <v>AAA</v>
      </c>
      <c r="O312" s="11">
        <f>VLOOKUP(A312,XYZ!A311:G1114,2,FALSE)</f>
        <v>2.2360679774997894</v>
      </c>
      <c r="P312" t="str">
        <f t="shared" si="27"/>
        <v>Z</v>
      </c>
      <c r="Q312" t="str">
        <f t="shared" si="28"/>
        <v>AAAZ</v>
      </c>
    </row>
    <row r="313" spans="1:17" x14ac:dyDescent="0.15">
      <c r="A313" t="s">
        <v>785</v>
      </c>
      <c r="B313" s="9">
        <v>1</v>
      </c>
      <c r="C313" s="13">
        <v>0</v>
      </c>
      <c r="D313" s="13">
        <v>0.9</v>
      </c>
      <c r="E313" s="9" t="s">
        <v>1241</v>
      </c>
      <c r="F313">
        <v>928</v>
      </c>
      <c r="G313" s="11">
        <v>2.5211079108342291E-3</v>
      </c>
      <c r="H313" s="12">
        <v>0.45877756784691365</v>
      </c>
      <c r="I313" t="s">
        <v>1240</v>
      </c>
      <c r="J313">
        <v>6</v>
      </c>
      <c r="K313" s="11">
        <f t="shared" si="24"/>
        <v>6.2155775398998981E-4</v>
      </c>
      <c r="L313" s="12">
        <f t="shared" si="29"/>
        <v>0.71249165339872111</v>
      </c>
      <c r="M313" t="str">
        <f t="shared" si="25"/>
        <v>A</v>
      </c>
      <c r="N313" t="str">
        <f t="shared" si="26"/>
        <v>BAA</v>
      </c>
      <c r="O313" s="11">
        <f>VLOOKUP(A313,XYZ!A312:G1115,2,FALSE)</f>
        <v>2.2360679774997894</v>
      </c>
      <c r="P313" t="str">
        <f t="shared" si="27"/>
        <v>Z</v>
      </c>
      <c r="Q313" t="str">
        <f t="shared" si="28"/>
        <v>BAAZ</v>
      </c>
    </row>
    <row r="314" spans="1:17" x14ac:dyDescent="0.15">
      <c r="A314" t="s">
        <v>476</v>
      </c>
      <c r="B314" s="9">
        <v>1</v>
      </c>
      <c r="C314" s="13">
        <v>0</v>
      </c>
      <c r="D314" s="13">
        <v>0.98</v>
      </c>
      <c r="E314" s="9" t="s">
        <v>1242</v>
      </c>
      <c r="F314">
        <v>907</v>
      </c>
      <c r="G314" s="11">
        <v>2.4640569775071612E-3</v>
      </c>
      <c r="H314" s="12">
        <v>0.46124162482442083</v>
      </c>
      <c r="I314" t="s">
        <v>1240</v>
      </c>
      <c r="J314">
        <v>6</v>
      </c>
      <c r="K314" s="11">
        <f t="shared" si="24"/>
        <v>6.2155775398998981E-4</v>
      </c>
      <c r="L314" s="12">
        <f t="shared" si="29"/>
        <v>0.71311321115271109</v>
      </c>
      <c r="M314" t="str">
        <f t="shared" si="25"/>
        <v>A</v>
      </c>
      <c r="N314" t="str">
        <f t="shared" si="26"/>
        <v>CAA</v>
      </c>
      <c r="O314" s="11">
        <f>VLOOKUP(A314,XYZ!A313:G1116,2,FALSE)</f>
        <v>2.2360679774997894</v>
      </c>
      <c r="P314" t="str">
        <f t="shared" si="27"/>
        <v>Z</v>
      </c>
      <c r="Q314" t="str">
        <f t="shared" si="28"/>
        <v>CAAZ</v>
      </c>
    </row>
    <row r="315" spans="1:17" x14ac:dyDescent="0.15">
      <c r="A315" t="s">
        <v>489</v>
      </c>
      <c r="B315" s="9">
        <v>1</v>
      </c>
      <c r="C315" s="13">
        <v>0</v>
      </c>
      <c r="D315" s="13">
        <v>0.73</v>
      </c>
      <c r="E315" s="9" t="s">
        <v>1240</v>
      </c>
      <c r="F315">
        <v>901</v>
      </c>
      <c r="G315" s="11">
        <v>2.4477567108422849E-3</v>
      </c>
      <c r="H315" s="12">
        <v>0.46368938153526312</v>
      </c>
      <c r="I315" t="s">
        <v>1240</v>
      </c>
      <c r="J315">
        <v>6</v>
      </c>
      <c r="K315" s="11">
        <f t="shared" si="24"/>
        <v>6.2155775398998981E-4</v>
      </c>
      <c r="L315" s="12">
        <f t="shared" si="29"/>
        <v>0.71373476890670107</v>
      </c>
      <c r="M315" t="str">
        <f t="shared" si="25"/>
        <v>A</v>
      </c>
      <c r="N315" t="str">
        <f t="shared" si="26"/>
        <v>AAA</v>
      </c>
      <c r="O315" s="11">
        <f>VLOOKUP(A315,XYZ!A314:G1117,2,FALSE)</f>
        <v>2.2360679774997894</v>
      </c>
      <c r="P315" t="str">
        <f t="shared" si="27"/>
        <v>Z</v>
      </c>
      <c r="Q315" t="str">
        <f t="shared" si="28"/>
        <v>AAAZ</v>
      </c>
    </row>
    <row r="316" spans="1:17" x14ac:dyDescent="0.15">
      <c r="A316" t="s">
        <v>644</v>
      </c>
      <c r="B316" s="9">
        <v>1</v>
      </c>
      <c r="C316" s="13">
        <v>0</v>
      </c>
      <c r="D316" s="13">
        <v>0.82</v>
      </c>
      <c r="E316" s="9" t="s">
        <v>1241</v>
      </c>
      <c r="F316">
        <v>899</v>
      </c>
      <c r="G316" s="11">
        <v>2.4423232886206592E-3</v>
      </c>
      <c r="H316" s="12">
        <v>0.46613170482388377</v>
      </c>
      <c r="I316" t="s">
        <v>1240</v>
      </c>
      <c r="J316">
        <v>6</v>
      </c>
      <c r="K316" s="11">
        <f t="shared" si="24"/>
        <v>6.2155775398998981E-4</v>
      </c>
      <c r="L316" s="12">
        <f t="shared" si="29"/>
        <v>0.71435632666069104</v>
      </c>
      <c r="M316" t="str">
        <f t="shared" si="25"/>
        <v>A</v>
      </c>
      <c r="N316" t="str">
        <f t="shared" si="26"/>
        <v>BAA</v>
      </c>
      <c r="O316" s="11">
        <f>VLOOKUP(A316,XYZ!A315:G1118,2,FALSE)</f>
        <v>2.2360679774997894</v>
      </c>
      <c r="P316" t="str">
        <f t="shared" si="27"/>
        <v>Z</v>
      </c>
      <c r="Q316" t="str">
        <f t="shared" si="28"/>
        <v>BAAZ</v>
      </c>
    </row>
    <row r="317" spans="1:17" x14ac:dyDescent="0.15">
      <c r="A317" t="s">
        <v>1061</v>
      </c>
      <c r="B317" s="9">
        <v>1</v>
      </c>
      <c r="C317" s="13">
        <v>0</v>
      </c>
      <c r="D317" s="13">
        <v>0.9</v>
      </c>
      <c r="E317" s="9" t="s">
        <v>1241</v>
      </c>
      <c r="F317">
        <v>869</v>
      </c>
      <c r="G317" s="11">
        <v>2.3608219552962769E-3</v>
      </c>
      <c r="H317" s="12">
        <v>0.47568773615616766</v>
      </c>
      <c r="I317" t="s">
        <v>1240</v>
      </c>
      <c r="J317">
        <v>6</v>
      </c>
      <c r="K317" s="11">
        <f t="shared" si="24"/>
        <v>6.2155775398998981E-4</v>
      </c>
      <c r="L317" s="12">
        <f t="shared" si="29"/>
        <v>0.71497788441468102</v>
      </c>
      <c r="M317" t="str">
        <f t="shared" si="25"/>
        <v>A</v>
      </c>
      <c r="N317" t="str">
        <f t="shared" si="26"/>
        <v>BAA</v>
      </c>
      <c r="O317" s="11">
        <f>VLOOKUP(A317,XYZ!A316:G1119,2,FALSE)</f>
        <v>2.2360679774997894</v>
      </c>
      <c r="P317" t="str">
        <f t="shared" si="27"/>
        <v>Z</v>
      </c>
      <c r="Q317" t="str">
        <f t="shared" si="28"/>
        <v>BAAZ</v>
      </c>
    </row>
    <row r="318" spans="1:17" x14ac:dyDescent="0.15">
      <c r="A318" t="s">
        <v>768</v>
      </c>
      <c r="B318" s="9">
        <v>1</v>
      </c>
      <c r="C318" s="13">
        <v>0</v>
      </c>
      <c r="D318" s="13">
        <v>0.85</v>
      </c>
      <c r="E318" s="9" t="s">
        <v>1241</v>
      </c>
      <c r="F318">
        <v>861</v>
      </c>
      <c r="G318" s="11">
        <v>2.3390882664097749E-3</v>
      </c>
      <c r="H318" s="12">
        <v>0.47802682442257743</v>
      </c>
      <c r="I318" t="s">
        <v>1240</v>
      </c>
      <c r="J318">
        <v>6</v>
      </c>
      <c r="K318" s="11">
        <f t="shared" si="24"/>
        <v>6.2155775398998981E-4</v>
      </c>
      <c r="L318" s="12">
        <f t="shared" si="29"/>
        <v>0.715599442168671</v>
      </c>
      <c r="M318" t="str">
        <f t="shared" si="25"/>
        <v>A</v>
      </c>
      <c r="N318" t="str">
        <f t="shared" si="26"/>
        <v>BAA</v>
      </c>
      <c r="O318" s="11">
        <f>VLOOKUP(A318,XYZ!A317:G1120,2,FALSE)</f>
        <v>2.2360679774997894</v>
      </c>
      <c r="P318" t="str">
        <f t="shared" si="27"/>
        <v>Z</v>
      </c>
      <c r="Q318" t="str">
        <f t="shared" si="28"/>
        <v>BAAZ</v>
      </c>
    </row>
    <row r="319" spans="1:17" x14ac:dyDescent="0.15">
      <c r="A319" t="s">
        <v>606</v>
      </c>
      <c r="B319" s="9">
        <v>1</v>
      </c>
      <c r="C319" s="13">
        <v>0</v>
      </c>
      <c r="D319" s="13">
        <v>0.84</v>
      </c>
      <c r="E319" s="9" t="s">
        <v>1241</v>
      </c>
      <c r="F319">
        <v>835</v>
      </c>
      <c r="G319" s="11">
        <v>2.2684537775286436E-3</v>
      </c>
      <c r="H319" s="12">
        <v>0.48259361579985366</v>
      </c>
      <c r="I319" t="s">
        <v>1240</v>
      </c>
      <c r="J319">
        <v>6</v>
      </c>
      <c r="K319" s="11">
        <f t="shared" si="24"/>
        <v>6.2155775398998981E-4</v>
      </c>
      <c r="L319" s="12">
        <f t="shared" si="29"/>
        <v>0.71622099992266097</v>
      </c>
      <c r="M319" t="str">
        <f t="shared" si="25"/>
        <v>A</v>
      </c>
      <c r="N319" t="str">
        <f t="shared" si="26"/>
        <v>BAA</v>
      </c>
      <c r="O319" s="11">
        <f>VLOOKUP(A319,XYZ!A318:G1121,2,FALSE)</f>
        <v>2.2360679774997894</v>
      </c>
      <c r="P319" t="str">
        <f t="shared" si="27"/>
        <v>Z</v>
      </c>
      <c r="Q319" t="str">
        <f t="shared" si="28"/>
        <v>BAAZ</v>
      </c>
    </row>
    <row r="320" spans="1:17" x14ac:dyDescent="0.15">
      <c r="A320" t="s">
        <v>889</v>
      </c>
      <c r="B320" s="9">
        <v>1</v>
      </c>
      <c r="C320" s="13">
        <v>0</v>
      </c>
      <c r="D320" s="13">
        <v>0.8</v>
      </c>
      <c r="E320" s="9" t="s">
        <v>1241</v>
      </c>
      <c r="F320">
        <v>824</v>
      </c>
      <c r="G320" s="11">
        <v>2.2385699553097035E-3</v>
      </c>
      <c r="H320" s="12">
        <v>0.48708977268824871</v>
      </c>
      <c r="I320" t="s">
        <v>1240</v>
      </c>
      <c r="J320">
        <v>6</v>
      </c>
      <c r="K320" s="11">
        <f t="shared" si="24"/>
        <v>6.2155775398998981E-4</v>
      </c>
      <c r="L320" s="12">
        <f t="shared" si="29"/>
        <v>0.71684255767665095</v>
      </c>
      <c r="M320" t="str">
        <f t="shared" si="25"/>
        <v>A</v>
      </c>
      <c r="N320" t="str">
        <f t="shared" si="26"/>
        <v>BAA</v>
      </c>
      <c r="O320" s="11">
        <f>VLOOKUP(A320,XYZ!A319:G1122,2,FALSE)</f>
        <v>2.2360679774997894</v>
      </c>
      <c r="P320" t="str">
        <f t="shared" si="27"/>
        <v>Z</v>
      </c>
      <c r="Q320" t="str">
        <f t="shared" si="28"/>
        <v>BAAZ</v>
      </c>
    </row>
    <row r="321" spans="1:17" x14ac:dyDescent="0.15">
      <c r="A321" t="s">
        <v>687</v>
      </c>
      <c r="B321" s="9">
        <v>1</v>
      </c>
      <c r="C321" s="13">
        <v>0</v>
      </c>
      <c r="D321" s="13">
        <v>0.86</v>
      </c>
      <c r="E321" s="9" t="s">
        <v>1241</v>
      </c>
      <c r="F321">
        <v>818</v>
      </c>
      <c r="G321" s="11">
        <v>2.2222696886448267E-3</v>
      </c>
      <c r="H321" s="12">
        <v>0.48931204237689352</v>
      </c>
      <c r="I321" t="s">
        <v>1240</v>
      </c>
      <c r="J321">
        <v>6</v>
      </c>
      <c r="K321" s="11">
        <f t="shared" si="24"/>
        <v>6.2155775398998981E-4</v>
      </c>
      <c r="L321" s="12">
        <f t="shared" si="29"/>
        <v>0.71746411543064093</v>
      </c>
      <c r="M321" t="str">
        <f t="shared" si="25"/>
        <v>A</v>
      </c>
      <c r="N321" t="str">
        <f t="shared" si="26"/>
        <v>BAA</v>
      </c>
      <c r="O321" s="11">
        <f>VLOOKUP(A321,XYZ!A320:G1123,2,FALSE)</f>
        <v>2.2360679774997894</v>
      </c>
      <c r="P321" t="str">
        <f t="shared" si="27"/>
        <v>Z</v>
      </c>
      <c r="Q321" t="str">
        <f t="shared" si="28"/>
        <v>BAAZ</v>
      </c>
    </row>
    <row r="322" spans="1:17" x14ac:dyDescent="0.15">
      <c r="A322" t="s">
        <v>1184</v>
      </c>
      <c r="B322" s="9">
        <v>1</v>
      </c>
      <c r="C322" s="13">
        <v>0</v>
      </c>
      <c r="D322" s="13">
        <v>0.87</v>
      </c>
      <c r="E322" s="9" t="s">
        <v>1241</v>
      </c>
      <c r="F322">
        <v>798</v>
      </c>
      <c r="G322" s="11">
        <v>2.1679354664285717E-3</v>
      </c>
      <c r="H322" s="12">
        <v>0.49364791330975066</v>
      </c>
      <c r="I322" t="s">
        <v>1240</v>
      </c>
      <c r="J322">
        <v>6</v>
      </c>
      <c r="K322" s="11">
        <f t="shared" si="24"/>
        <v>6.2155775398998981E-4</v>
      </c>
      <c r="L322" s="12">
        <f t="shared" si="29"/>
        <v>0.7180856731846309</v>
      </c>
      <c r="M322" t="str">
        <f t="shared" si="25"/>
        <v>A</v>
      </c>
      <c r="N322" t="str">
        <f t="shared" si="26"/>
        <v>BAA</v>
      </c>
      <c r="O322" s="11">
        <f>VLOOKUP(A322,XYZ!A321:G1124,2,FALSE)</f>
        <v>2.2360679774997894</v>
      </c>
      <c r="P322" t="str">
        <f t="shared" si="27"/>
        <v>Z</v>
      </c>
      <c r="Q322" t="str">
        <f t="shared" si="28"/>
        <v>BAAZ</v>
      </c>
    </row>
    <row r="323" spans="1:17" x14ac:dyDescent="0.15">
      <c r="A323" t="s">
        <v>275</v>
      </c>
      <c r="B323" s="9">
        <v>1</v>
      </c>
      <c r="C323" s="13">
        <v>0</v>
      </c>
      <c r="D323" s="13">
        <v>0.88</v>
      </c>
      <c r="E323" s="9" t="s">
        <v>1241</v>
      </c>
      <c r="F323">
        <v>788</v>
      </c>
      <c r="G323" s="11">
        <v>2.1407683553204444E-3</v>
      </c>
      <c r="H323" s="12">
        <v>0.49793488342115116</v>
      </c>
      <c r="I323" t="s">
        <v>1240</v>
      </c>
      <c r="J323">
        <v>6</v>
      </c>
      <c r="K323" s="11">
        <f t="shared" ref="K323:K386" si="30">J323/SUM(J:J)</f>
        <v>6.2155775398998981E-4</v>
      </c>
      <c r="L323" s="12">
        <f t="shared" si="29"/>
        <v>0.71870723093862088</v>
      </c>
      <c r="M323" t="str">
        <f t="shared" ref="M323:M386" si="31">IF(L323&lt;0.8,"A",IF(L323&lt;0.95,"B","C"))</f>
        <v>A</v>
      </c>
      <c r="N323" t="str">
        <f t="shared" ref="N323:N386" si="32">E323&amp;I323&amp;M323</f>
        <v>BAA</v>
      </c>
      <c r="O323" s="11">
        <f>VLOOKUP(A323,XYZ!A322:G1125,2,FALSE)</f>
        <v>2.2360679774997894</v>
      </c>
      <c r="P323" t="str">
        <f t="shared" ref="P323:P386" si="33">IF(O323&lt;0.1,"A",IF(O323&lt;0.25,"Y","Z"))</f>
        <v>Z</v>
      </c>
      <c r="Q323" t="str">
        <f t="shared" ref="Q323:Q386" si="34">N323&amp;P323</f>
        <v>BAAZ</v>
      </c>
    </row>
    <row r="324" spans="1:17" x14ac:dyDescent="0.15">
      <c r="A324" t="s">
        <v>1125</v>
      </c>
      <c r="B324" s="9">
        <v>1</v>
      </c>
      <c r="C324" s="13">
        <v>0</v>
      </c>
      <c r="D324" s="13">
        <v>0.89</v>
      </c>
      <c r="E324" s="9" t="s">
        <v>1241</v>
      </c>
      <c r="F324">
        <v>782</v>
      </c>
      <c r="G324" s="11">
        <v>2.1244680886555677E-3</v>
      </c>
      <c r="H324" s="12">
        <v>0.50005935150980674</v>
      </c>
      <c r="I324" t="s">
        <v>1240</v>
      </c>
      <c r="J324">
        <v>6</v>
      </c>
      <c r="K324" s="11">
        <f t="shared" si="30"/>
        <v>6.2155775398998981E-4</v>
      </c>
      <c r="L324" s="12">
        <f t="shared" ref="L324:L387" si="35">K324+L323</f>
        <v>0.71932878869261085</v>
      </c>
      <c r="M324" t="str">
        <f t="shared" si="31"/>
        <v>A</v>
      </c>
      <c r="N324" t="str">
        <f t="shared" si="32"/>
        <v>BAA</v>
      </c>
      <c r="O324" s="11">
        <f>VLOOKUP(A324,XYZ!A323:G1126,2,FALSE)</f>
        <v>2.2360679774997894</v>
      </c>
      <c r="P324" t="str">
        <f t="shared" si="33"/>
        <v>Z</v>
      </c>
      <c r="Q324" t="str">
        <f t="shared" si="34"/>
        <v>BAAZ</v>
      </c>
    </row>
    <row r="325" spans="1:17" x14ac:dyDescent="0.15">
      <c r="A325" t="s">
        <v>698</v>
      </c>
      <c r="B325" s="9">
        <v>1</v>
      </c>
      <c r="C325" s="13">
        <v>0</v>
      </c>
      <c r="D325" s="13">
        <v>0.77</v>
      </c>
      <c r="E325" s="9" t="s">
        <v>1240</v>
      </c>
      <c r="F325">
        <v>781</v>
      </c>
      <c r="G325" s="11">
        <v>2.1217513775447553E-3</v>
      </c>
      <c r="H325" s="12">
        <v>0.50218110288735152</v>
      </c>
      <c r="I325" t="s">
        <v>1240</v>
      </c>
      <c r="J325">
        <v>6</v>
      </c>
      <c r="K325" s="11">
        <f t="shared" si="30"/>
        <v>6.2155775398998981E-4</v>
      </c>
      <c r="L325" s="12">
        <f t="shared" si="35"/>
        <v>0.71995034644660083</v>
      </c>
      <c r="M325" t="str">
        <f t="shared" si="31"/>
        <v>A</v>
      </c>
      <c r="N325" t="str">
        <f t="shared" si="32"/>
        <v>AAA</v>
      </c>
      <c r="O325" s="11">
        <f>VLOOKUP(A325,XYZ!A324:G1127,2,FALSE)</f>
        <v>2.2360679774997894</v>
      </c>
      <c r="P325" t="str">
        <f t="shared" si="33"/>
        <v>Z</v>
      </c>
      <c r="Q325" t="str">
        <f t="shared" si="34"/>
        <v>AAAZ</v>
      </c>
    </row>
    <row r="326" spans="1:17" x14ac:dyDescent="0.15">
      <c r="A326" t="s">
        <v>1120</v>
      </c>
      <c r="B326" s="9">
        <v>1</v>
      </c>
      <c r="C326" s="13">
        <v>0</v>
      </c>
      <c r="D326" s="13">
        <v>0.75</v>
      </c>
      <c r="E326" s="9" t="s">
        <v>1240</v>
      </c>
      <c r="F326">
        <v>773</v>
      </c>
      <c r="G326" s="11">
        <v>2.1000176886582533E-3</v>
      </c>
      <c r="H326" s="12">
        <v>0.50428112057600982</v>
      </c>
      <c r="I326" t="s">
        <v>1240</v>
      </c>
      <c r="J326">
        <v>6</v>
      </c>
      <c r="K326" s="11">
        <f t="shared" si="30"/>
        <v>6.2155775398998981E-4</v>
      </c>
      <c r="L326" s="12">
        <f t="shared" si="35"/>
        <v>0.72057190420059081</v>
      </c>
      <c r="M326" t="str">
        <f t="shared" si="31"/>
        <v>A</v>
      </c>
      <c r="N326" t="str">
        <f t="shared" si="32"/>
        <v>AAA</v>
      </c>
      <c r="O326" s="11">
        <f>VLOOKUP(A326,XYZ!A325:G1128,2,FALSE)</f>
        <v>2.2360679774997894</v>
      </c>
      <c r="P326" t="str">
        <f t="shared" si="33"/>
        <v>Z</v>
      </c>
      <c r="Q326" t="str">
        <f t="shared" si="34"/>
        <v>AAAZ</v>
      </c>
    </row>
    <row r="327" spans="1:17" x14ac:dyDescent="0.15">
      <c r="A327" t="s">
        <v>1060</v>
      </c>
      <c r="B327" s="9">
        <v>1</v>
      </c>
      <c r="C327" s="13">
        <v>0</v>
      </c>
      <c r="D327" s="13">
        <v>0.74</v>
      </c>
      <c r="E327" s="9" t="s">
        <v>1240</v>
      </c>
      <c r="F327">
        <v>766</v>
      </c>
      <c r="G327" s="11">
        <v>2.0810007108825641E-3</v>
      </c>
      <c r="H327" s="12">
        <v>0.5063621212868924</v>
      </c>
      <c r="I327" t="s">
        <v>1240</v>
      </c>
      <c r="J327">
        <v>6</v>
      </c>
      <c r="K327" s="11">
        <f t="shared" si="30"/>
        <v>6.2155775398998981E-4</v>
      </c>
      <c r="L327" s="12">
        <f t="shared" si="35"/>
        <v>0.72119346195458078</v>
      </c>
      <c r="M327" t="str">
        <f t="shared" si="31"/>
        <v>A</v>
      </c>
      <c r="N327" t="str">
        <f t="shared" si="32"/>
        <v>AAA</v>
      </c>
      <c r="O327" s="11">
        <f>VLOOKUP(A327,XYZ!A326:G1129,2,FALSE)</f>
        <v>2.2360679774997894</v>
      </c>
      <c r="P327" t="str">
        <f t="shared" si="33"/>
        <v>Z</v>
      </c>
      <c r="Q327" t="str">
        <f t="shared" si="34"/>
        <v>AAAZ</v>
      </c>
    </row>
    <row r="328" spans="1:17" x14ac:dyDescent="0.15">
      <c r="A328" t="s">
        <v>412</v>
      </c>
      <c r="B328" s="9">
        <v>1</v>
      </c>
      <c r="C328" s="13">
        <v>0</v>
      </c>
      <c r="D328" s="13">
        <v>0.91</v>
      </c>
      <c r="E328" s="9" t="s">
        <v>1241</v>
      </c>
      <c r="F328">
        <v>759</v>
      </c>
      <c r="G328" s="11">
        <v>2.0619837331068746E-3</v>
      </c>
      <c r="H328" s="12">
        <v>0.50842410501999924</v>
      </c>
      <c r="I328" t="s">
        <v>1240</v>
      </c>
      <c r="J328">
        <v>6</v>
      </c>
      <c r="K328" s="11">
        <f t="shared" si="30"/>
        <v>6.2155775398998981E-4</v>
      </c>
      <c r="L328" s="12">
        <f t="shared" si="35"/>
        <v>0.72181501970857076</v>
      </c>
      <c r="M328" t="str">
        <f t="shared" si="31"/>
        <v>A</v>
      </c>
      <c r="N328" t="str">
        <f t="shared" si="32"/>
        <v>BAA</v>
      </c>
      <c r="O328" s="11">
        <f>VLOOKUP(A328,XYZ!A327:G1130,2,FALSE)</f>
        <v>2.2360679774997894</v>
      </c>
      <c r="P328" t="str">
        <f t="shared" si="33"/>
        <v>Z</v>
      </c>
      <c r="Q328" t="str">
        <f t="shared" si="34"/>
        <v>BAAZ</v>
      </c>
    </row>
    <row r="329" spans="1:17" x14ac:dyDescent="0.15">
      <c r="A329" t="s">
        <v>909</v>
      </c>
      <c r="B329" s="9">
        <v>1</v>
      </c>
      <c r="C329" s="13">
        <v>0</v>
      </c>
      <c r="D329" s="13">
        <v>0.9</v>
      </c>
      <c r="E329" s="9" t="s">
        <v>1241</v>
      </c>
      <c r="F329">
        <v>742</v>
      </c>
      <c r="G329" s="11">
        <v>2.0157996442230581E-3</v>
      </c>
      <c r="H329" s="12">
        <v>0.51247472128622107</v>
      </c>
      <c r="I329" t="s">
        <v>1240</v>
      </c>
      <c r="J329">
        <v>6</v>
      </c>
      <c r="K329" s="11">
        <f t="shared" si="30"/>
        <v>6.2155775398998981E-4</v>
      </c>
      <c r="L329" s="12">
        <f t="shared" si="35"/>
        <v>0.72243657746256074</v>
      </c>
      <c r="M329" t="str">
        <f t="shared" si="31"/>
        <v>A</v>
      </c>
      <c r="N329" t="str">
        <f t="shared" si="32"/>
        <v>BAA</v>
      </c>
      <c r="O329" s="11">
        <f>VLOOKUP(A329,XYZ!A328:G1131,2,FALSE)</f>
        <v>2.2360679774997894</v>
      </c>
      <c r="P329" t="str">
        <f t="shared" si="33"/>
        <v>Z</v>
      </c>
      <c r="Q329" t="str">
        <f t="shared" si="34"/>
        <v>BAAZ</v>
      </c>
    </row>
    <row r="330" spans="1:17" x14ac:dyDescent="0.15">
      <c r="A330" t="s">
        <v>588</v>
      </c>
      <c r="B330" s="9">
        <v>1</v>
      </c>
      <c r="C330" s="13">
        <v>0</v>
      </c>
      <c r="D330" s="13">
        <v>0.77</v>
      </c>
      <c r="E330" s="9" t="s">
        <v>1240</v>
      </c>
      <c r="F330">
        <v>731</v>
      </c>
      <c r="G330" s="11">
        <v>1.985915822004118E-3</v>
      </c>
      <c r="H330" s="12">
        <v>0.51647100333022666</v>
      </c>
      <c r="I330" t="s">
        <v>1240</v>
      </c>
      <c r="J330">
        <v>6</v>
      </c>
      <c r="K330" s="11">
        <f t="shared" si="30"/>
        <v>6.2155775398998981E-4</v>
      </c>
      <c r="L330" s="12">
        <f t="shared" si="35"/>
        <v>0.72305813521655071</v>
      </c>
      <c r="M330" t="str">
        <f t="shared" si="31"/>
        <v>A</v>
      </c>
      <c r="N330" t="str">
        <f t="shared" si="32"/>
        <v>AAA</v>
      </c>
      <c r="O330" s="11">
        <f>VLOOKUP(A330,XYZ!A329:G1132,2,FALSE)</f>
        <v>2.2360679774997894</v>
      </c>
      <c r="P330" t="str">
        <f t="shared" si="33"/>
        <v>Z</v>
      </c>
      <c r="Q330" t="str">
        <f t="shared" si="34"/>
        <v>AAAZ</v>
      </c>
    </row>
    <row r="331" spans="1:17" x14ac:dyDescent="0.15">
      <c r="A331" t="s">
        <v>841</v>
      </c>
      <c r="B331" s="9">
        <v>1</v>
      </c>
      <c r="C331" s="13">
        <v>0</v>
      </c>
      <c r="D331" s="13">
        <v>0.81</v>
      </c>
      <c r="E331" s="9" t="s">
        <v>1241</v>
      </c>
      <c r="F331">
        <v>726</v>
      </c>
      <c r="G331" s="11">
        <v>1.9723322664500541E-3</v>
      </c>
      <c r="H331" s="12">
        <v>0.52042653470757005</v>
      </c>
      <c r="I331" t="s">
        <v>1240</v>
      </c>
      <c r="J331">
        <v>6</v>
      </c>
      <c r="K331" s="11">
        <f t="shared" si="30"/>
        <v>6.2155775398998981E-4</v>
      </c>
      <c r="L331" s="12">
        <f t="shared" si="35"/>
        <v>0.72367969297054069</v>
      </c>
      <c r="M331" t="str">
        <f t="shared" si="31"/>
        <v>A</v>
      </c>
      <c r="N331" t="str">
        <f t="shared" si="32"/>
        <v>BAA</v>
      </c>
      <c r="O331" s="11">
        <f>VLOOKUP(A331,XYZ!A330:G1133,2,FALSE)</f>
        <v>2.2360679774997894</v>
      </c>
      <c r="P331" t="str">
        <f t="shared" si="33"/>
        <v>Z</v>
      </c>
      <c r="Q331" t="str">
        <f t="shared" si="34"/>
        <v>BAAZ</v>
      </c>
    </row>
    <row r="332" spans="1:17" x14ac:dyDescent="0.15">
      <c r="A332" t="s">
        <v>510</v>
      </c>
      <c r="B332" s="9">
        <v>1</v>
      </c>
      <c r="C332" s="13">
        <v>0</v>
      </c>
      <c r="D332" s="13">
        <v>0.9</v>
      </c>
      <c r="E332" s="9" t="s">
        <v>1241</v>
      </c>
      <c r="F332">
        <v>726</v>
      </c>
      <c r="G332" s="11">
        <v>1.9723322664500541E-3</v>
      </c>
      <c r="H332" s="12">
        <v>0.52239886697402016</v>
      </c>
      <c r="I332" t="s">
        <v>1240</v>
      </c>
      <c r="J332">
        <v>6</v>
      </c>
      <c r="K332" s="11">
        <f t="shared" si="30"/>
        <v>6.2155775398998981E-4</v>
      </c>
      <c r="L332" s="12">
        <f t="shared" si="35"/>
        <v>0.72430125072453067</v>
      </c>
      <c r="M332" t="str">
        <f t="shared" si="31"/>
        <v>A</v>
      </c>
      <c r="N332" t="str">
        <f t="shared" si="32"/>
        <v>BAA</v>
      </c>
      <c r="O332" s="11">
        <f>VLOOKUP(A332,XYZ!A331:G1134,2,FALSE)</f>
        <v>2.2360679774997894</v>
      </c>
      <c r="P332" t="str">
        <f t="shared" si="33"/>
        <v>Z</v>
      </c>
      <c r="Q332" t="str">
        <f t="shared" si="34"/>
        <v>BAAZ</v>
      </c>
    </row>
    <row r="333" spans="1:17" x14ac:dyDescent="0.15">
      <c r="A333" t="s">
        <v>537</v>
      </c>
      <c r="B333" s="9">
        <v>1</v>
      </c>
      <c r="C333" s="13">
        <v>0</v>
      </c>
      <c r="D333" s="13">
        <v>0.92</v>
      </c>
      <c r="E333" s="9" t="s">
        <v>1241</v>
      </c>
      <c r="F333">
        <v>722</v>
      </c>
      <c r="G333" s="11">
        <v>1.9614654220068031E-3</v>
      </c>
      <c r="H333" s="12">
        <v>0.52436033239602697</v>
      </c>
      <c r="I333" t="s">
        <v>1240</v>
      </c>
      <c r="J333">
        <v>6</v>
      </c>
      <c r="K333" s="11">
        <f t="shared" si="30"/>
        <v>6.2155775398998981E-4</v>
      </c>
      <c r="L333" s="12">
        <f t="shared" si="35"/>
        <v>0.72492280847852064</v>
      </c>
      <c r="M333" t="str">
        <f t="shared" si="31"/>
        <v>A</v>
      </c>
      <c r="N333" t="str">
        <f t="shared" si="32"/>
        <v>BAA</v>
      </c>
      <c r="O333" s="11">
        <f>VLOOKUP(A333,XYZ!A332:G1135,2,FALSE)</f>
        <v>2.2360679774997894</v>
      </c>
      <c r="P333" t="str">
        <f t="shared" si="33"/>
        <v>Z</v>
      </c>
      <c r="Q333" t="str">
        <f t="shared" si="34"/>
        <v>BAAZ</v>
      </c>
    </row>
    <row r="334" spans="1:17" x14ac:dyDescent="0.15">
      <c r="A334" t="s">
        <v>603</v>
      </c>
      <c r="B334" s="9">
        <v>1</v>
      </c>
      <c r="C334" s="13">
        <v>0</v>
      </c>
      <c r="D334" s="13">
        <v>0.88</v>
      </c>
      <c r="E334" s="9" t="s">
        <v>1241</v>
      </c>
      <c r="F334">
        <v>719</v>
      </c>
      <c r="G334" s="11">
        <v>1.953315288674365E-3</v>
      </c>
      <c r="H334" s="12">
        <v>0.52826967968448657</v>
      </c>
      <c r="I334" t="s">
        <v>1240</v>
      </c>
      <c r="J334">
        <v>6</v>
      </c>
      <c r="K334" s="11">
        <f t="shared" si="30"/>
        <v>6.2155775398998981E-4</v>
      </c>
      <c r="L334" s="12">
        <f t="shared" si="35"/>
        <v>0.72554436623251062</v>
      </c>
      <c r="M334" t="str">
        <f t="shared" si="31"/>
        <v>A</v>
      </c>
      <c r="N334" t="str">
        <f t="shared" si="32"/>
        <v>BAA</v>
      </c>
      <c r="O334" s="11">
        <f>VLOOKUP(A334,XYZ!A333:G1136,2,FALSE)</f>
        <v>2.2360679774997894</v>
      </c>
      <c r="P334" t="str">
        <f t="shared" si="33"/>
        <v>Z</v>
      </c>
      <c r="Q334" t="str">
        <f t="shared" si="34"/>
        <v>BAAZ</v>
      </c>
    </row>
    <row r="335" spans="1:17" x14ac:dyDescent="0.15">
      <c r="A335" t="s">
        <v>1119</v>
      </c>
      <c r="B335" s="9">
        <v>1</v>
      </c>
      <c r="C335" s="13">
        <v>0</v>
      </c>
      <c r="D335" s="13">
        <v>0.95</v>
      </c>
      <c r="E335" s="9" t="s">
        <v>1242</v>
      </c>
      <c r="F335">
        <v>719</v>
      </c>
      <c r="G335" s="11">
        <v>1.953315288674365E-3</v>
      </c>
      <c r="H335" s="12">
        <v>0.53022299497316094</v>
      </c>
      <c r="I335" t="s">
        <v>1240</v>
      </c>
      <c r="J335">
        <v>6</v>
      </c>
      <c r="K335" s="11">
        <f t="shared" si="30"/>
        <v>6.2155775398998981E-4</v>
      </c>
      <c r="L335" s="12">
        <f t="shared" si="35"/>
        <v>0.72616592398650059</v>
      </c>
      <c r="M335" t="str">
        <f t="shared" si="31"/>
        <v>A</v>
      </c>
      <c r="N335" t="str">
        <f t="shared" si="32"/>
        <v>CAA</v>
      </c>
      <c r="O335" s="11">
        <f>VLOOKUP(A335,XYZ!A334:G1137,2,FALSE)</f>
        <v>2.2360679774997894</v>
      </c>
      <c r="P335" t="str">
        <f t="shared" si="33"/>
        <v>Z</v>
      </c>
      <c r="Q335" t="str">
        <f t="shared" si="34"/>
        <v>CAAZ</v>
      </c>
    </row>
    <row r="336" spans="1:17" x14ac:dyDescent="0.15">
      <c r="A336" t="s">
        <v>1171</v>
      </c>
      <c r="B336" s="9">
        <v>1</v>
      </c>
      <c r="C336" s="13">
        <v>0</v>
      </c>
      <c r="D336" s="13">
        <v>0.94</v>
      </c>
      <c r="E336" s="9" t="s">
        <v>1241</v>
      </c>
      <c r="F336">
        <v>714</v>
      </c>
      <c r="G336" s="11">
        <v>1.9397317331203011E-3</v>
      </c>
      <c r="H336" s="12">
        <v>0.53800637234459725</v>
      </c>
      <c r="I336" t="s">
        <v>1240</v>
      </c>
      <c r="J336">
        <v>6</v>
      </c>
      <c r="K336" s="11">
        <f t="shared" si="30"/>
        <v>6.2155775398998981E-4</v>
      </c>
      <c r="L336" s="12">
        <f t="shared" si="35"/>
        <v>0.72678748174049057</v>
      </c>
      <c r="M336" t="str">
        <f t="shared" si="31"/>
        <v>A</v>
      </c>
      <c r="N336" t="str">
        <f t="shared" si="32"/>
        <v>BAA</v>
      </c>
      <c r="O336" s="11">
        <f>VLOOKUP(A336,XYZ!A335:G1138,2,FALSE)</f>
        <v>2.2360679774997894</v>
      </c>
      <c r="P336" t="str">
        <f t="shared" si="33"/>
        <v>Z</v>
      </c>
      <c r="Q336" t="str">
        <f t="shared" si="34"/>
        <v>BAAZ</v>
      </c>
    </row>
    <row r="337" spans="1:17" x14ac:dyDescent="0.15">
      <c r="A337" t="s">
        <v>1195</v>
      </c>
      <c r="B337" s="9">
        <v>1</v>
      </c>
      <c r="C337" s="13">
        <v>0</v>
      </c>
      <c r="D337" s="13">
        <v>0.98</v>
      </c>
      <c r="E337" s="9" t="s">
        <v>1242</v>
      </c>
      <c r="F337">
        <v>702</v>
      </c>
      <c r="G337" s="11">
        <v>1.9071311997905481E-3</v>
      </c>
      <c r="H337" s="12">
        <v>0.54373863278841217</v>
      </c>
      <c r="I337" t="s">
        <v>1240</v>
      </c>
      <c r="J337">
        <v>6</v>
      </c>
      <c r="K337" s="11">
        <f t="shared" si="30"/>
        <v>6.2155775398998981E-4</v>
      </c>
      <c r="L337" s="12">
        <f t="shared" si="35"/>
        <v>0.72740903949448055</v>
      </c>
      <c r="M337" t="str">
        <f t="shared" si="31"/>
        <v>A</v>
      </c>
      <c r="N337" t="str">
        <f t="shared" si="32"/>
        <v>CAA</v>
      </c>
      <c r="O337" s="11">
        <f>VLOOKUP(A337,XYZ!A336:G1139,2,FALSE)</f>
        <v>2.2360679774997894</v>
      </c>
      <c r="P337" t="str">
        <f t="shared" si="33"/>
        <v>Z</v>
      </c>
      <c r="Q337" t="str">
        <f t="shared" si="34"/>
        <v>CAAZ</v>
      </c>
    </row>
    <row r="338" spans="1:17" x14ac:dyDescent="0.15">
      <c r="A338" t="s">
        <v>693</v>
      </c>
      <c r="B338" s="9">
        <v>1</v>
      </c>
      <c r="C338" s="13">
        <v>0</v>
      </c>
      <c r="D338" s="13">
        <v>0.84</v>
      </c>
      <c r="E338" s="9" t="s">
        <v>1241</v>
      </c>
      <c r="F338">
        <v>698</v>
      </c>
      <c r="G338" s="11">
        <v>1.8962643553472971E-3</v>
      </c>
      <c r="H338" s="12">
        <v>0.54563489714375946</v>
      </c>
      <c r="I338" t="s">
        <v>1240</v>
      </c>
      <c r="J338">
        <v>6</v>
      </c>
      <c r="K338" s="11">
        <f t="shared" si="30"/>
        <v>6.2155775398998981E-4</v>
      </c>
      <c r="L338" s="12">
        <f t="shared" si="35"/>
        <v>0.72803059724847052</v>
      </c>
      <c r="M338" t="str">
        <f t="shared" si="31"/>
        <v>A</v>
      </c>
      <c r="N338" t="str">
        <f t="shared" si="32"/>
        <v>BAA</v>
      </c>
      <c r="O338" s="11">
        <f>VLOOKUP(A338,XYZ!A337:G1140,2,FALSE)</f>
        <v>2.2360679774997894</v>
      </c>
      <c r="P338" t="str">
        <f t="shared" si="33"/>
        <v>Z</v>
      </c>
      <c r="Q338" t="str">
        <f t="shared" si="34"/>
        <v>BAAZ</v>
      </c>
    </row>
    <row r="339" spans="1:17" x14ac:dyDescent="0.15">
      <c r="A339" t="s">
        <v>38</v>
      </c>
      <c r="B339" s="9">
        <v>1</v>
      </c>
      <c r="C339" s="13">
        <v>0</v>
      </c>
      <c r="D339" s="13">
        <v>0.81</v>
      </c>
      <c r="E339" s="9" t="s">
        <v>1241</v>
      </c>
      <c r="F339">
        <v>693</v>
      </c>
      <c r="G339" s="11">
        <v>1.8826807997932335E-3</v>
      </c>
      <c r="H339" s="12">
        <v>0.54751757794355271</v>
      </c>
      <c r="I339" t="s">
        <v>1240</v>
      </c>
      <c r="J339">
        <v>6</v>
      </c>
      <c r="K339" s="11">
        <f t="shared" si="30"/>
        <v>6.2155775398998981E-4</v>
      </c>
      <c r="L339" s="12">
        <f t="shared" si="35"/>
        <v>0.7286521550024605</v>
      </c>
      <c r="M339" t="str">
        <f t="shared" si="31"/>
        <v>A</v>
      </c>
      <c r="N339" t="str">
        <f t="shared" si="32"/>
        <v>BAA</v>
      </c>
      <c r="O339" s="11">
        <f>VLOOKUP(A339,XYZ!A338:G1141,2,FALSE)</f>
        <v>2.2360679774997894</v>
      </c>
      <c r="P339" t="str">
        <f t="shared" si="33"/>
        <v>Z</v>
      </c>
      <c r="Q339" t="str">
        <f t="shared" si="34"/>
        <v>BAAZ</v>
      </c>
    </row>
    <row r="340" spans="1:17" x14ac:dyDescent="0.15">
      <c r="A340" t="s">
        <v>366</v>
      </c>
      <c r="B340" s="9">
        <v>1</v>
      </c>
      <c r="C340" s="13">
        <v>0</v>
      </c>
      <c r="D340" s="13">
        <v>0.88</v>
      </c>
      <c r="E340" s="9" t="s">
        <v>1241</v>
      </c>
      <c r="F340">
        <v>678</v>
      </c>
      <c r="G340" s="11">
        <v>1.8419301331310423E-3</v>
      </c>
      <c r="H340" s="12">
        <v>0.55120777723937209</v>
      </c>
      <c r="I340" t="s">
        <v>1240</v>
      </c>
      <c r="J340">
        <v>6</v>
      </c>
      <c r="K340" s="11">
        <f t="shared" si="30"/>
        <v>6.2155775398998981E-4</v>
      </c>
      <c r="L340" s="12">
        <f t="shared" si="35"/>
        <v>0.72927371275645048</v>
      </c>
      <c r="M340" t="str">
        <f t="shared" si="31"/>
        <v>A</v>
      </c>
      <c r="N340" t="str">
        <f t="shared" si="32"/>
        <v>BAA</v>
      </c>
      <c r="O340" s="11">
        <f>VLOOKUP(A340,XYZ!A339:G1142,2,FALSE)</f>
        <v>2.2360679774997894</v>
      </c>
      <c r="P340" t="str">
        <f t="shared" si="33"/>
        <v>Z</v>
      </c>
      <c r="Q340" t="str">
        <f t="shared" si="34"/>
        <v>BAAZ</v>
      </c>
    </row>
    <row r="341" spans="1:17" x14ac:dyDescent="0.15">
      <c r="A341" t="s">
        <v>556</v>
      </c>
      <c r="B341" s="9">
        <v>1</v>
      </c>
      <c r="C341" s="13">
        <v>0</v>
      </c>
      <c r="D341" s="13">
        <v>0.69</v>
      </c>
      <c r="E341" s="9" t="s">
        <v>1240</v>
      </c>
      <c r="F341">
        <v>668</v>
      </c>
      <c r="G341" s="11">
        <v>1.8147630220229148E-3</v>
      </c>
      <c r="H341" s="12">
        <v>0.55668557239076677</v>
      </c>
      <c r="I341" t="s">
        <v>1240</v>
      </c>
      <c r="J341">
        <v>6</v>
      </c>
      <c r="K341" s="11">
        <f t="shared" si="30"/>
        <v>6.2155775398998981E-4</v>
      </c>
      <c r="L341" s="12">
        <f t="shared" si="35"/>
        <v>0.72989527051044045</v>
      </c>
      <c r="M341" t="str">
        <f t="shared" si="31"/>
        <v>A</v>
      </c>
      <c r="N341" t="str">
        <f t="shared" si="32"/>
        <v>AAA</v>
      </c>
      <c r="O341" s="11">
        <f>VLOOKUP(A341,XYZ!A340:G1143,2,FALSE)</f>
        <v>2.2360679774997894</v>
      </c>
      <c r="P341" t="str">
        <f t="shared" si="33"/>
        <v>Z</v>
      </c>
      <c r="Q341" t="str">
        <f t="shared" si="34"/>
        <v>AAAZ</v>
      </c>
    </row>
    <row r="342" spans="1:17" x14ac:dyDescent="0.15">
      <c r="A342" t="s">
        <v>796</v>
      </c>
      <c r="B342" s="9">
        <v>1</v>
      </c>
      <c r="C342" s="13">
        <v>0</v>
      </c>
      <c r="D342" s="13">
        <v>0.74</v>
      </c>
      <c r="E342" s="9" t="s">
        <v>1240</v>
      </c>
      <c r="F342">
        <v>659</v>
      </c>
      <c r="G342" s="11">
        <v>1.7903126220256001E-3</v>
      </c>
      <c r="H342" s="12">
        <v>0.55847588501279233</v>
      </c>
      <c r="I342" t="s">
        <v>1240</v>
      </c>
      <c r="J342">
        <v>6</v>
      </c>
      <c r="K342" s="11">
        <f t="shared" si="30"/>
        <v>6.2155775398998981E-4</v>
      </c>
      <c r="L342" s="12">
        <f t="shared" si="35"/>
        <v>0.73051682826443043</v>
      </c>
      <c r="M342" t="str">
        <f t="shared" si="31"/>
        <v>A</v>
      </c>
      <c r="N342" t="str">
        <f t="shared" si="32"/>
        <v>AAA</v>
      </c>
      <c r="O342" s="11">
        <f>VLOOKUP(A342,XYZ!A341:G1144,2,FALSE)</f>
        <v>2.2360679774997894</v>
      </c>
      <c r="P342" t="str">
        <f t="shared" si="33"/>
        <v>Z</v>
      </c>
      <c r="Q342" t="str">
        <f t="shared" si="34"/>
        <v>AAAZ</v>
      </c>
    </row>
    <row r="343" spans="1:17" x14ac:dyDescent="0.15">
      <c r="A343" t="s">
        <v>940</v>
      </c>
      <c r="B343" s="9">
        <v>1</v>
      </c>
      <c r="C343" s="13">
        <v>0</v>
      </c>
      <c r="D343" s="13">
        <v>0.84</v>
      </c>
      <c r="E343" s="9" t="s">
        <v>1241</v>
      </c>
      <c r="F343">
        <v>659</v>
      </c>
      <c r="G343" s="11">
        <v>1.7903126220256001E-3</v>
      </c>
      <c r="H343" s="12">
        <v>0.56026619763481789</v>
      </c>
      <c r="I343" t="s">
        <v>1240</v>
      </c>
      <c r="J343">
        <v>6</v>
      </c>
      <c r="K343" s="11">
        <f t="shared" si="30"/>
        <v>6.2155775398998981E-4</v>
      </c>
      <c r="L343" s="12">
        <f t="shared" si="35"/>
        <v>0.73113838601842041</v>
      </c>
      <c r="M343" t="str">
        <f t="shared" si="31"/>
        <v>A</v>
      </c>
      <c r="N343" t="str">
        <f t="shared" si="32"/>
        <v>BAA</v>
      </c>
      <c r="O343" s="11">
        <f>VLOOKUP(A343,XYZ!A342:G1145,2,FALSE)</f>
        <v>2.2360679774997894</v>
      </c>
      <c r="P343" t="str">
        <f t="shared" si="33"/>
        <v>Z</v>
      </c>
      <c r="Q343" t="str">
        <f t="shared" si="34"/>
        <v>BAAZ</v>
      </c>
    </row>
    <row r="344" spans="1:17" x14ac:dyDescent="0.15">
      <c r="A344" t="s">
        <v>956</v>
      </c>
      <c r="B344" s="9">
        <v>1</v>
      </c>
      <c r="C344" s="13">
        <v>0</v>
      </c>
      <c r="D344" s="13">
        <v>0.73</v>
      </c>
      <c r="E344" s="9" t="s">
        <v>1240</v>
      </c>
      <c r="F344">
        <v>658</v>
      </c>
      <c r="G344" s="11">
        <v>1.7875959109147873E-3</v>
      </c>
      <c r="H344" s="12">
        <v>0.56205379354573271</v>
      </c>
      <c r="I344" t="s">
        <v>1240</v>
      </c>
      <c r="J344">
        <v>6</v>
      </c>
      <c r="K344" s="11">
        <f t="shared" si="30"/>
        <v>6.2155775398998981E-4</v>
      </c>
      <c r="L344" s="12">
        <f t="shared" si="35"/>
        <v>0.73175994377241038</v>
      </c>
      <c r="M344" t="str">
        <f t="shared" si="31"/>
        <v>A</v>
      </c>
      <c r="N344" t="str">
        <f t="shared" si="32"/>
        <v>AAA</v>
      </c>
      <c r="O344" s="11">
        <f>VLOOKUP(A344,XYZ!A343:G1146,2,FALSE)</f>
        <v>2.2360679774997894</v>
      </c>
      <c r="P344" t="str">
        <f t="shared" si="33"/>
        <v>Z</v>
      </c>
      <c r="Q344" t="str">
        <f t="shared" si="34"/>
        <v>AAAZ</v>
      </c>
    </row>
    <row r="345" spans="1:17" x14ac:dyDescent="0.15">
      <c r="A345" t="s">
        <v>892</v>
      </c>
      <c r="B345" s="9">
        <v>1</v>
      </c>
      <c r="C345" s="13">
        <v>0</v>
      </c>
      <c r="D345" s="13">
        <v>0.91</v>
      </c>
      <c r="E345" s="9" t="s">
        <v>1241</v>
      </c>
      <c r="F345">
        <v>658</v>
      </c>
      <c r="G345" s="11">
        <v>1.7875959109147873E-3</v>
      </c>
      <c r="H345" s="12">
        <v>0.56384138945664752</v>
      </c>
      <c r="I345" t="s">
        <v>1240</v>
      </c>
      <c r="J345">
        <v>6</v>
      </c>
      <c r="K345" s="11">
        <f t="shared" si="30"/>
        <v>6.2155775398998981E-4</v>
      </c>
      <c r="L345" s="12">
        <f t="shared" si="35"/>
        <v>0.73238150152640036</v>
      </c>
      <c r="M345" t="str">
        <f t="shared" si="31"/>
        <v>A</v>
      </c>
      <c r="N345" t="str">
        <f t="shared" si="32"/>
        <v>BAA</v>
      </c>
      <c r="O345" s="11">
        <f>VLOOKUP(A345,XYZ!A344:G1147,2,FALSE)</f>
        <v>2.2360679774997894</v>
      </c>
      <c r="P345" t="str">
        <f t="shared" si="33"/>
        <v>Z</v>
      </c>
      <c r="Q345" t="str">
        <f t="shared" si="34"/>
        <v>BAAZ</v>
      </c>
    </row>
    <row r="346" spans="1:17" x14ac:dyDescent="0.15">
      <c r="A346" t="s">
        <v>1096</v>
      </c>
      <c r="B346" s="9">
        <v>1</v>
      </c>
      <c r="C346" s="13">
        <v>0</v>
      </c>
      <c r="D346" s="13">
        <v>0.99</v>
      </c>
      <c r="E346" s="9" t="s">
        <v>1242</v>
      </c>
      <c r="F346">
        <v>658</v>
      </c>
      <c r="G346" s="11">
        <v>1.7875959109147873E-3</v>
      </c>
      <c r="H346" s="12">
        <v>0.56562898536756234</v>
      </c>
      <c r="I346" t="s">
        <v>1240</v>
      </c>
      <c r="J346">
        <v>6</v>
      </c>
      <c r="K346" s="11">
        <f t="shared" si="30"/>
        <v>6.2155775398998981E-4</v>
      </c>
      <c r="L346" s="12">
        <f t="shared" si="35"/>
        <v>0.73300305928039033</v>
      </c>
      <c r="M346" t="str">
        <f t="shared" si="31"/>
        <v>A</v>
      </c>
      <c r="N346" t="str">
        <f t="shared" si="32"/>
        <v>CAA</v>
      </c>
      <c r="O346" s="11">
        <f>VLOOKUP(A346,XYZ!A345:G1148,2,FALSE)</f>
        <v>2.2360679774997894</v>
      </c>
      <c r="P346" t="str">
        <f t="shared" si="33"/>
        <v>Z</v>
      </c>
      <c r="Q346" t="str">
        <f t="shared" si="34"/>
        <v>CAAZ</v>
      </c>
    </row>
    <row r="347" spans="1:17" x14ac:dyDescent="0.15">
      <c r="A347" t="s">
        <v>933</v>
      </c>
      <c r="B347" s="9">
        <v>1</v>
      </c>
      <c r="C347" s="13">
        <v>0</v>
      </c>
      <c r="D347" s="13">
        <v>0.76</v>
      </c>
      <c r="E347" s="9" t="s">
        <v>1240</v>
      </c>
      <c r="F347">
        <v>654</v>
      </c>
      <c r="G347" s="11">
        <v>1.7767290664715363E-3</v>
      </c>
      <c r="H347" s="12">
        <v>0.5691824435005054</v>
      </c>
      <c r="I347" t="s">
        <v>1240</v>
      </c>
      <c r="J347">
        <v>6</v>
      </c>
      <c r="K347" s="11">
        <f t="shared" si="30"/>
        <v>6.2155775398998981E-4</v>
      </c>
      <c r="L347" s="12">
        <f t="shared" si="35"/>
        <v>0.73362461703438031</v>
      </c>
      <c r="M347" t="str">
        <f t="shared" si="31"/>
        <v>A</v>
      </c>
      <c r="N347" t="str">
        <f t="shared" si="32"/>
        <v>AAA</v>
      </c>
      <c r="O347" s="11">
        <f>VLOOKUP(A347,XYZ!A346:G1149,2,FALSE)</f>
        <v>2.2360679774997894</v>
      </c>
      <c r="P347" t="str">
        <f t="shared" si="33"/>
        <v>Z</v>
      </c>
      <c r="Q347" t="str">
        <f t="shared" si="34"/>
        <v>AAAZ</v>
      </c>
    </row>
    <row r="348" spans="1:17" x14ac:dyDescent="0.15">
      <c r="A348" t="s">
        <v>1129</v>
      </c>
      <c r="B348" s="9">
        <v>1</v>
      </c>
      <c r="C348" s="13">
        <v>0</v>
      </c>
      <c r="D348" s="13">
        <v>0.73</v>
      </c>
      <c r="E348" s="9" t="s">
        <v>1240</v>
      </c>
      <c r="F348">
        <v>653</v>
      </c>
      <c r="G348" s="11">
        <v>1.7740123553607236E-3</v>
      </c>
      <c r="H348" s="12">
        <v>0.57095645585586607</v>
      </c>
      <c r="I348" t="s">
        <v>1240</v>
      </c>
      <c r="J348">
        <v>6</v>
      </c>
      <c r="K348" s="11">
        <f t="shared" si="30"/>
        <v>6.2155775398998981E-4</v>
      </c>
      <c r="L348" s="12">
        <f t="shared" si="35"/>
        <v>0.73424617478837029</v>
      </c>
      <c r="M348" t="str">
        <f t="shared" si="31"/>
        <v>A</v>
      </c>
      <c r="N348" t="str">
        <f t="shared" si="32"/>
        <v>AAA</v>
      </c>
      <c r="O348" s="11">
        <f>VLOOKUP(A348,XYZ!A347:G1150,2,FALSE)</f>
        <v>2.2360679774997894</v>
      </c>
      <c r="P348" t="str">
        <f t="shared" si="33"/>
        <v>Z</v>
      </c>
      <c r="Q348" t="str">
        <f t="shared" si="34"/>
        <v>AAAZ</v>
      </c>
    </row>
    <row r="349" spans="1:17" x14ac:dyDescent="0.15">
      <c r="A349" t="s">
        <v>1099</v>
      </c>
      <c r="B349" s="9">
        <v>1</v>
      </c>
      <c r="C349" s="13">
        <v>0</v>
      </c>
      <c r="D349" s="13">
        <v>0.77</v>
      </c>
      <c r="E349" s="9" t="s">
        <v>1240</v>
      </c>
      <c r="F349">
        <v>653</v>
      </c>
      <c r="G349" s="11">
        <v>1.7740123553607236E-3</v>
      </c>
      <c r="H349" s="12">
        <v>0.57273046821122675</v>
      </c>
      <c r="I349" t="s">
        <v>1240</v>
      </c>
      <c r="J349">
        <v>6</v>
      </c>
      <c r="K349" s="11">
        <f t="shared" si="30"/>
        <v>6.2155775398998981E-4</v>
      </c>
      <c r="L349" s="12">
        <f t="shared" si="35"/>
        <v>0.73486773254236026</v>
      </c>
      <c r="M349" t="str">
        <f t="shared" si="31"/>
        <v>A</v>
      </c>
      <c r="N349" t="str">
        <f t="shared" si="32"/>
        <v>AAA</v>
      </c>
      <c r="O349" s="11">
        <f>VLOOKUP(A349,XYZ!A348:G1151,2,FALSE)</f>
        <v>2.2360679774997894</v>
      </c>
      <c r="P349" t="str">
        <f t="shared" si="33"/>
        <v>Z</v>
      </c>
      <c r="Q349" t="str">
        <f t="shared" si="34"/>
        <v>AAAZ</v>
      </c>
    </row>
    <row r="350" spans="1:17" x14ac:dyDescent="0.15">
      <c r="A350" t="s">
        <v>964</v>
      </c>
      <c r="B350" s="9">
        <v>1</v>
      </c>
      <c r="C350" s="13">
        <v>0</v>
      </c>
      <c r="D350" s="13">
        <v>0.69</v>
      </c>
      <c r="E350" s="9" t="s">
        <v>1240</v>
      </c>
      <c r="F350">
        <v>652</v>
      </c>
      <c r="G350" s="11">
        <v>1.7712956442499108E-3</v>
      </c>
      <c r="H350" s="12">
        <v>0.57450176385547669</v>
      </c>
      <c r="I350" t="s">
        <v>1240</v>
      </c>
      <c r="J350">
        <v>6</v>
      </c>
      <c r="K350" s="11">
        <f t="shared" si="30"/>
        <v>6.2155775398998981E-4</v>
      </c>
      <c r="L350" s="12">
        <f t="shared" si="35"/>
        <v>0.73548929029635024</v>
      </c>
      <c r="M350" t="str">
        <f t="shared" si="31"/>
        <v>A</v>
      </c>
      <c r="N350" t="str">
        <f t="shared" si="32"/>
        <v>AAA</v>
      </c>
      <c r="O350" s="11">
        <f>VLOOKUP(A350,XYZ!A349:G1152,2,FALSE)</f>
        <v>2.2360679774997894</v>
      </c>
      <c r="P350" t="str">
        <f t="shared" si="33"/>
        <v>Z</v>
      </c>
      <c r="Q350" t="str">
        <f t="shared" si="34"/>
        <v>AAAZ</v>
      </c>
    </row>
    <row r="351" spans="1:17" x14ac:dyDescent="0.15">
      <c r="A351" t="s">
        <v>183</v>
      </c>
      <c r="B351" s="9">
        <v>1</v>
      </c>
      <c r="C351" s="13">
        <v>0</v>
      </c>
      <c r="D351" s="13">
        <v>0.9</v>
      </c>
      <c r="E351" s="9" t="s">
        <v>1241</v>
      </c>
      <c r="F351">
        <v>651</v>
      </c>
      <c r="G351" s="11">
        <v>1.7685789331390981E-3</v>
      </c>
      <c r="H351" s="12">
        <v>0.57627034278861577</v>
      </c>
      <c r="I351" t="s">
        <v>1240</v>
      </c>
      <c r="J351">
        <v>6</v>
      </c>
      <c r="K351" s="11">
        <f t="shared" si="30"/>
        <v>6.2155775398998981E-4</v>
      </c>
      <c r="L351" s="12">
        <f t="shared" si="35"/>
        <v>0.73611084805034022</v>
      </c>
      <c r="M351" t="str">
        <f t="shared" si="31"/>
        <v>A</v>
      </c>
      <c r="N351" t="str">
        <f t="shared" si="32"/>
        <v>BAA</v>
      </c>
      <c r="O351" s="11">
        <f>VLOOKUP(A351,XYZ!A350:G1153,2,FALSE)</f>
        <v>2.2360679774997894</v>
      </c>
      <c r="P351" t="str">
        <f t="shared" si="33"/>
        <v>Z</v>
      </c>
      <c r="Q351" t="str">
        <f t="shared" si="34"/>
        <v>BAAZ</v>
      </c>
    </row>
    <row r="352" spans="1:17" x14ac:dyDescent="0.15">
      <c r="A352" t="s">
        <v>450</v>
      </c>
      <c r="B352" s="9">
        <v>1</v>
      </c>
      <c r="C352" s="13">
        <v>0</v>
      </c>
      <c r="D352" s="13">
        <v>0.85</v>
      </c>
      <c r="E352" s="9" t="s">
        <v>1241</v>
      </c>
      <c r="F352">
        <v>640</v>
      </c>
      <c r="G352" s="11">
        <v>1.738695110920158E-3</v>
      </c>
      <c r="H352" s="12">
        <v>0.57976131656601015</v>
      </c>
      <c r="I352" t="s">
        <v>1240</v>
      </c>
      <c r="J352">
        <v>6</v>
      </c>
      <c r="K352" s="11">
        <f t="shared" si="30"/>
        <v>6.2155775398998981E-4</v>
      </c>
      <c r="L352" s="12">
        <f t="shared" si="35"/>
        <v>0.73673240580433019</v>
      </c>
      <c r="M352" t="str">
        <f t="shared" si="31"/>
        <v>A</v>
      </c>
      <c r="N352" t="str">
        <f t="shared" si="32"/>
        <v>BAA</v>
      </c>
      <c r="O352" s="11">
        <f>VLOOKUP(A352,XYZ!A351:G1154,2,FALSE)</f>
        <v>2.2360679774997894</v>
      </c>
      <c r="P352" t="str">
        <f t="shared" si="33"/>
        <v>Z</v>
      </c>
      <c r="Q352" t="str">
        <f t="shared" si="34"/>
        <v>BAAZ</v>
      </c>
    </row>
    <row r="353" spans="1:17" x14ac:dyDescent="0.15">
      <c r="A353" t="s">
        <v>596</v>
      </c>
      <c r="B353" s="9">
        <v>1</v>
      </c>
      <c r="C353" s="13">
        <v>0</v>
      </c>
      <c r="D353" s="13">
        <v>0.78</v>
      </c>
      <c r="E353" s="9" t="s">
        <v>1240</v>
      </c>
      <c r="F353">
        <v>636</v>
      </c>
      <c r="G353" s="11">
        <v>1.727828266476907E-3</v>
      </c>
      <c r="H353" s="12">
        <v>0.58148914483248704</v>
      </c>
      <c r="I353" t="s">
        <v>1240</v>
      </c>
      <c r="J353">
        <v>6</v>
      </c>
      <c r="K353" s="11">
        <f t="shared" si="30"/>
        <v>6.2155775398998981E-4</v>
      </c>
      <c r="L353" s="12">
        <f t="shared" si="35"/>
        <v>0.73735396355832017</v>
      </c>
      <c r="M353" t="str">
        <f t="shared" si="31"/>
        <v>A</v>
      </c>
      <c r="N353" t="str">
        <f t="shared" si="32"/>
        <v>AAA</v>
      </c>
      <c r="O353" s="11">
        <f>VLOOKUP(A353,XYZ!A352:G1155,2,FALSE)</f>
        <v>2.2360679774997894</v>
      </c>
      <c r="P353" t="str">
        <f t="shared" si="33"/>
        <v>Z</v>
      </c>
      <c r="Q353" t="str">
        <f t="shared" si="34"/>
        <v>AAAZ</v>
      </c>
    </row>
    <row r="354" spans="1:17" x14ac:dyDescent="0.15">
      <c r="A354" t="s">
        <v>982</v>
      </c>
      <c r="B354" s="9">
        <v>1</v>
      </c>
      <c r="C354" s="13">
        <v>0</v>
      </c>
      <c r="D354" s="13">
        <v>0.73</v>
      </c>
      <c r="E354" s="9" t="s">
        <v>1240</v>
      </c>
      <c r="F354">
        <v>634</v>
      </c>
      <c r="G354" s="11">
        <v>1.7223948442552815E-3</v>
      </c>
      <c r="H354" s="12">
        <v>0.58321153967674233</v>
      </c>
      <c r="I354" t="s">
        <v>1240</v>
      </c>
      <c r="J354">
        <v>6</v>
      </c>
      <c r="K354" s="11">
        <f t="shared" si="30"/>
        <v>6.2155775398998981E-4</v>
      </c>
      <c r="L354" s="12">
        <f t="shared" si="35"/>
        <v>0.73797552131231015</v>
      </c>
      <c r="M354" t="str">
        <f t="shared" si="31"/>
        <v>A</v>
      </c>
      <c r="N354" t="str">
        <f t="shared" si="32"/>
        <v>AAA</v>
      </c>
      <c r="O354" s="11">
        <f>VLOOKUP(A354,XYZ!A353:G1156,2,FALSE)</f>
        <v>2.2360679774997894</v>
      </c>
      <c r="P354" t="str">
        <f t="shared" si="33"/>
        <v>Z</v>
      </c>
      <c r="Q354" t="str">
        <f t="shared" si="34"/>
        <v>AAAZ</v>
      </c>
    </row>
    <row r="355" spans="1:17" x14ac:dyDescent="0.15">
      <c r="A355" t="s">
        <v>1005</v>
      </c>
      <c r="B355" s="9">
        <v>1</v>
      </c>
      <c r="C355" s="13">
        <v>0</v>
      </c>
      <c r="D355" s="13">
        <v>0.75</v>
      </c>
      <c r="E355" s="9" t="s">
        <v>1240</v>
      </c>
      <c r="F355">
        <v>633</v>
      </c>
      <c r="G355" s="11">
        <v>1.7196781331444686E-3</v>
      </c>
      <c r="H355" s="12">
        <v>0.58493121780988677</v>
      </c>
      <c r="I355" t="s">
        <v>1240</v>
      </c>
      <c r="J355">
        <v>6</v>
      </c>
      <c r="K355" s="11">
        <f t="shared" si="30"/>
        <v>6.2155775398998981E-4</v>
      </c>
      <c r="L355" s="12">
        <f t="shared" si="35"/>
        <v>0.73859707906630012</v>
      </c>
      <c r="M355" t="str">
        <f t="shared" si="31"/>
        <v>A</v>
      </c>
      <c r="N355" t="str">
        <f t="shared" si="32"/>
        <v>AAA</v>
      </c>
      <c r="O355" s="11">
        <f>VLOOKUP(A355,XYZ!A354:G1157,2,FALSE)</f>
        <v>2.2360679774997894</v>
      </c>
      <c r="P355" t="str">
        <f t="shared" si="33"/>
        <v>Z</v>
      </c>
      <c r="Q355" t="str">
        <f t="shared" si="34"/>
        <v>AAAZ</v>
      </c>
    </row>
    <row r="356" spans="1:17" x14ac:dyDescent="0.15">
      <c r="A356" t="s">
        <v>1045</v>
      </c>
      <c r="B356" s="9">
        <v>1</v>
      </c>
      <c r="C356" s="13">
        <v>0</v>
      </c>
      <c r="D356" s="13">
        <v>0.93</v>
      </c>
      <c r="E356" s="9" t="s">
        <v>1241</v>
      </c>
      <c r="F356">
        <v>632</v>
      </c>
      <c r="G356" s="11">
        <v>1.716961422033656E-3</v>
      </c>
      <c r="H356" s="12">
        <v>0.58664817923192047</v>
      </c>
      <c r="I356" t="s">
        <v>1240</v>
      </c>
      <c r="J356">
        <v>6</v>
      </c>
      <c r="K356" s="11">
        <f t="shared" si="30"/>
        <v>6.2155775398998981E-4</v>
      </c>
      <c r="L356" s="12">
        <f t="shared" si="35"/>
        <v>0.7392186368202901</v>
      </c>
      <c r="M356" t="str">
        <f t="shared" si="31"/>
        <v>A</v>
      </c>
      <c r="N356" t="str">
        <f t="shared" si="32"/>
        <v>BAA</v>
      </c>
      <c r="O356" s="11">
        <f>VLOOKUP(A356,XYZ!A355:G1158,2,FALSE)</f>
        <v>2.2360679774997894</v>
      </c>
      <c r="P356" t="str">
        <f t="shared" si="33"/>
        <v>Z</v>
      </c>
      <c r="Q356" t="str">
        <f t="shared" si="34"/>
        <v>BAAZ</v>
      </c>
    </row>
    <row r="357" spans="1:17" x14ac:dyDescent="0.15">
      <c r="A357" t="s">
        <v>726</v>
      </c>
      <c r="B357" s="9">
        <v>1</v>
      </c>
      <c r="C357" s="13">
        <v>0</v>
      </c>
      <c r="D357" s="13">
        <v>0.85</v>
      </c>
      <c r="E357" s="9" t="s">
        <v>1241</v>
      </c>
      <c r="F357">
        <v>631</v>
      </c>
      <c r="G357" s="11">
        <v>1.7142447109228431E-3</v>
      </c>
      <c r="H357" s="12">
        <v>0.58836242394284333</v>
      </c>
      <c r="I357" t="s">
        <v>1240</v>
      </c>
      <c r="J357">
        <v>6</v>
      </c>
      <c r="K357" s="11">
        <f t="shared" si="30"/>
        <v>6.2155775398998981E-4</v>
      </c>
      <c r="L357" s="12">
        <f t="shared" si="35"/>
        <v>0.73984019457428007</v>
      </c>
      <c r="M357" t="str">
        <f t="shared" si="31"/>
        <v>A</v>
      </c>
      <c r="N357" t="str">
        <f t="shared" si="32"/>
        <v>BAA</v>
      </c>
      <c r="O357" s="11">
        <f>VLOOKUP(A357,XYZ!A356:G1159,2,FALSE)</f>
        <v>2.2360679774997894</v>
      </c>
      <c r="P357" t="str">
        <f t="shared" si="33"/>
        <v>Z</v>
      </c>
      <c r="Q357" t="str">
        <f t="shared" si="34"/>
        <v>BAAZ</v>
      </c>
    </row>
    <row r="358" spans="1:17" x14ac:dyDescent="0.15">
      <c r="A358" t="s">
        <v>294</v>
      </c>
      <c r="B358" s="9">
        <v>1</v>
      </c>
      <c r="C358" s="13">
        <v>0</v>
      </c>
      <c r="D358" s="13">
        <v>0.76</v>
      </c>
      <c r="E358" s="9" t="s">
        <v>1240</v>
      </c>
      <c r="F358">
        <v>630</v>
      </c>
      <c r="G358" s="11">
        <v>1.7115279998120305E-3</v>
      </c>
      <c r="H358" s="12">
        <v>0.59007395194265533</v>
      </c>
      <c r="I358" t="s">
        <v>1240</v>
      </c>
      <c r="J358">
        <v>6</v>
      </c>
      <c r="K358" s="11">
        <f t="shared" si="30"/>
        <v>6.2155775398998981E-4</v>
      </c>
      <c r="L358" s="12">
        <f t="shared" si="35"/>
        <v>0.74046175232827005</v>
      </c>
      <c r="M358" t="str">
        <f t="shared" si="31"/>
        <v>A</v>
      </c>
      <c r="N358" t="str">
        <f t="shared" si="32"/>
        <v>AAA</v>
      </c>
      <c r="O358" s="11">
        <f>VLOOKUP(A358,XYZ!A357:G1160,2,FALSE)</f>
        <v>2.2360679774997894</v>
      </c>
      <c r="P358" t="str">
        <f t="shared" si="33"/>
        <v>Z</v>
      </c>
      <c r="Q358" t="str">
        <f t="shared" si="34"/>
        <v>AAAZ</v>
      </c>
    </row>
    <row r="359" spans="1:17" x14ac:dyDescent="0.15">
      <c r="A359" t="s">
        <v>461</v>
      </c>
      <c r="B359" s="9">
        <v>1</v>
      </c>
      <c r="C359" s="13">
        <v>0</v>
      </c>
      <c r="D359" s="13">
        <v>0.81</v>
      </c>
      <c r="E359" s="9" t="s">
        <v>1241</v>
      </c>
      <c r="F359">
        <v>629</v>
      </c>
      <c r="G359" s="11">
        <v>1.7088112887012176E-3</v>
      </c>
      <c r="H359" s="12">
        <v>0.59178276323135659</v>
      </c>
      <c r="I359" t="s">
        <v>1240</v>
      </c>
      <c r="J359">
        <v>6</v>
      </c>
      <c r="K359" s="11">
        <f t="shared" si="30"/>
        <v>6.2155775398998981E-4</v>
      </c>
      <c r="L359" s="12">
        <f t="shared" si="35"/>
        <v>0.74108331008226003</v>
      </c>
      <c r="M359" t="str">
        <f t="shared" si="31"/>
        <v>A</v>
      </c>
      <c r="N359" t="str">
        <f t="shared" si="32"/>
        <v>BAA</v>
      </c>
      <c r="O359" s="11">
        <f>VLOOKUP(A359,XYZ!A358:G1161,2,FALSE)</f>
        <v>2.2360679774997894</v>
      </c>
      <c r="P359" t="str">
        <f t="shared" si="33"/>
        <v>Z</v>
      </c>
      <c r="Q359" t="str">
        <f t="shared" si="34"/>
        <v>BAAZ</v>
      </c>
    </row>
    <row r="360" spans="1:17" x14ac:dyDescent="0.15">
      <c r="A360" t="s">
        <v>1208</v>
      </c>
      <c r="B360" s="9">
        <v>1</v>
      </c>
      <c r="C360" s="13">
        <v>0</v>
      </c>
      <c r="D360" s="13">
        <v>0.74</v>
      </c>
      <c r="E360" s="9" t="s">
        <v>1240</v>
      </c>
      <c r="F360">
        <v>628</v>
      </c>
      <c r="G360" s="11">
        <v>1.706094577590405E-3</v>
      </c>
      <c r="H360" s="12">
        <v>0.593488857808947</v>
      </c>
      <c r="I360" t="s">
        <v>1240</v>
      </c>
      <c r="J360">
        <v>6</v>
      </c>
      <c r="K360" s="11">
        <f t="shared" si="30"/>
        <v>6.2155775398998981E-4</v>
      </c>
      <c r="L360" s="12">
        <f t="shared" si="35"/>
        <v>0.74170486783625</v>
      </c>
      <c r="M360" t="str">
        <f t="shared" si="31"/>
        <v>A</v>
      </c>
      <c r="N360" t="str">
        <f t="shared" si="32"/>
        <v>AAA</v>
      </c>
      <c r="O360" s="11">
        <f>VLOOKUP(A360,XYZ!A359:G1162,2,FALSE)</f>
        <v>2.2360679774997894</v>
      </c>
      <c r="P360" t="str">
        <f t="shared" si="33"/>
        <v>Z</v>
      </c>
      <c r="Q360" t="str">
        <f t="shared" si="34"/>
        <v>AAAZ</v>
      </c>
    </row>
    <row r="361" spans="1:17" x14ac:dyDescent="0.15">
      <c r="A361" t="s">
        <v>898</v>
      </c>
      <c r="B361" s="9">
        <v>1</v>
      </c>
      <c r="C361" s="13">
        <v>0</v>
      </c>
      <c r="D361" s="13">
        <v>0.91</v>
      </c>
      <c r="E361" s="9" t="s">
        <v>1241</v>
      </c>
      <c r="F361">
        <v>625</v>
      </c>
      <c r="G361" s="11">
        <v>1.6979444442579666E-3</v>
      </c>
      <c r="H361" s="12">
        <v>0.59518680225320497</v>
      </c>
      <c r="I361" t="s">
        <v>1240</v>
      </c>
      <c r="J361">
        <v>6</v>
      </c>
      <c r="K361" s="11">
        <f t="shared" si="30"/>
        <v>6.2155775398998981E-4</v>
      </c>
      <c r="L361" s="12">
        <f t="shared" si="35"/>
        <v>0.74232642559023998</v>
      </c>
      <c r="M361" t="str">
        <f t="shared" si="31"/>
        <v>A</v>
      </c>
      <c r="N361" t="str">
        <f t="shared" si="32"/>
        <v>BAA</v>
      </c>
      <c r="O361" s="11">
        <f>VLOOKUP(A361,XYZ!A360:G1163,2,FALSE)</f>
        <v>2.2360679774997894</v>
      </c>
      <c r="P361" t="str">
        <f t="shared" si="33"/>
        <v>Z</v>
      </c>
      <c r="Q361" t="str">
        <f t="shared" si="34"/>
        <v>BAAZ</v>
      </c>
    </row>
    <row r="362" spans="1:17" x14ac:dyDescent="0.15">
      <c r="A362" t="s">
        <v>544</v>
      </c>
      <c r="B362" s="9">
        <v>1</v>
      </c>
      <c r="C362" s="13">
        <v>0</v>
      </c>
      <c r="D362" s="13">
        <v>0.7</v>
      </c>
      <c r="E362" s="9" t="s">
        <v>1240</v>
      </c>
      <c r="F362">
        <v>624</v>
      </c>
      <c r="G362" s="11">
        <v>1.695227733147154E-3</v>
      </c>
      <c r="H362" s="12">
        <v>0.59857725771949921</v>
      </c>
      <c r="I362" t="s">
        <v>1240</v>
      </c>
      <c r="J362">
        <v>6</v>
      </c>
      <c r="K362" s="11">
        <f t="shared" si="30"/>
        <v>6.2155775398998981E-4</v>
      </c>
      <c r="L362" s="12">
        <f t="shared" si="35"/>
        <v>0.74294798334422996</v>
      </c>
      <c r="M362" t="str">
        <f t="shared" si="31"/>
        <v>A</v>
      </c>
      <c r="N362" t="str">
        <f t="shared" si="32"/>
        <v>AAA</v>
      </c>
      <c r="O362" s="11">
        <f>VLOOKUP(A362,XYZ!A361:G1164,2,FALSE)</f>
        <v>2.2360679774997894</v>
      </c>
      <c r="P362" t="str">
        <f t="shared" si="33"/>
        <v>Z</v>
      </c>
      <c r="Q362" t="str">
        <f t="shared" si="34"/>
        <v>AAAZ</v>
      </c>
    </row>
    <row r="363" spans="1:17" x14ac:dyDescent="0.15">
      <c r="A363" t="s">
        <v>196</v>
      </c>
      <c r="B363" s="9">
        <v>1</v>
      </c>
      <c r="C363" s="13">
        <v>0</v>
      </c>
      <c r="D363" s="13">
        <v>0.82</v>
      </c>
      <c r="E363" s="9" t="s">
        <v>1241</v>
      </c>
      <c r="F363">
        <v>621</v>
      </c>
      <c r="G363" s="11">
        <v>1.6870775998147156E-3</v>
      </c>
      <c r="H363" s="12">
        <v>0.60195141291912857</v>
      </c>
      <c r="I363" t="s">
        <v>1240</v>
      </c>
      <c r="J363">
        <v>6</v>
      </c>
      <c r="K363" s="11">
        <f t="shared" si="30"/>
        <v>6.2155775398998981E-4</v>
      </c>
      <c r="L363" s="12">
        <f t="shared" si="35"/>
        <v>0.74356954109821993</v>
      </c>
      <c r="M363" t="str">
        <f t="shared" si="31"/>
        <v>A</v>
      </c>
      <c r="N363" t="str">
        <f t="shared" si="32"/>
        <v>BAA</v>
      </c>
      <c r="O363" s="11">
        <f>VLOOKUP(A363,XYZ!A362:G1165,2,FALSE)</f>
        <v>2.2360679774997894</v>
      </c>
      <c r="P363" t="str">
        <f t="shared" si="33"/>
        <v>Z</v>
      </c>
      <c r="Q363" t="str">
        <f t="shared" si="34"/>
        <v>BAAZ</v>
      </c>
    </row>
    <row r="364" spans="1:17" x14ac:dyDescent="0.15">
      <c r="A364" t="s">
        <v>663</v>
      </c>
      <c r="B364" s="9">
        <v>1</v>
      </c>
      <c r="C364" s="13">
        <v>0</v>
      </c>
      <c r="D364" s="13">
        <v>0.82</v>
      </c>
      <c r="E364" s="9" t="s">
        <v>1241</v>
      </c>
      <c r="F364">
        <v>614</v>
      </c>
      <c r="G364" s="11">
        <v>1.6680606220390265E-3</v>
      </c>
      <c r="H364" s="12">
        <v>0.60361947354116763</v>
      </c>
      <c r="I364" t="s">
        <v>1240</v>
      </c>
      <c r="J364">
        <v>6</v>
      </c>
      <c r="K364" s="11">
        <f t="shared" si="30"/>
        <v>6.2155775398998981E-4</v>
      </c>
      <c r="L364" s="12">
        <f t="shared" si="35"/>
        <v>0.74419109885220991</v>
      </c>
      <c r="M364" t="str">
        <f t="shared" si="31"/>
        <v>A</v>
      </c>
      <c r="N364" t="str">
        <f t="shared" si="32"/>
        <v>BAA</v>
      </c>
      <c r="O364" s="11">
        <f>VLOOKUP(A364,XYZ!A363:G1166,2,FALSE)</f>
        <v>2.2360679774997894</v>
      </c>
      <c r="P364" t="str">
        <f t="shared" si="33"/>
        <v>Z</v>
      </c>
      <c r="Q364" t="str">
        <f t="shared" si="34"/>
        <v>BAAZ</v>
      </c>
    </row>
    <row r="365" spans="1:17" x14ac:dyDescent="0.15">
      <c r="A365" t="s">
        <v>607</v>
      </c>
      <c r="B365" s="9">
        <v>1</v>
      </c>
      <c r="C365" s="13">
        <v>0</v>
      </c>
      <c r="D365" s="13">
        <v>0.7</v>
      </c>
      <c r="E365" s="9" t="s">
        <v>1240</v>
      </c>
      <c r="F365">
        <v>611</v>
      </c>
      <c r="G365" s="11">
        <v>1.6599104887065883E-3</v>
      </c>
      <c r="H365" s="12">
        <v>0.60527938402987425</v>
      </c>
      <c r="I365" t="s">
        <v>1240</v>
      </c>
      <c r="J365">
        <v>6</v>
      </c>
      <c r="K365" s="11">
        <f t="shared" si="30"/>
        <v>6.2155775398998981E-4</v>
      </c>
      <c r="L365" s="12">
        <f t="shared" si="35"/>
        <v>0.74481265660619989</v>
      </c>
      <c r="M365" t="str">
        <f t="shared" si="31"/>
        <v>A</v>
      </c>
      <c r="N365" t="str">
        <f t="shared" si="32"/>
        <v>AAA</v>
      </c>
      <c r="O365" s="11">
        <f>VLOOKUP(A365,XYZ!A364:G1167,2,FALSE)</f>
        <v>2.2360679774997894</v>
      </c>
      <c r="P365" t="str">
        <f t="shared" si="33"/>
        <v>Z</v>
      </c>
      <c r="Q365" t="str">
        <f t="shared" si="34"/>
        <v>AAAZ</v>
      </c>
    </row>
    <row r="366" spans="1:17" x14ac:dyDescent="0.15">
      <c r="A366" t="s">
        <v>486</v>
      </c>
      <c r="B366" s="9">
        <v>1</v>
      </c>
      <c r="C366" s="13">
        <v>0</v>
      </c>
      <c r="D366" s="13">
        <v>0.78</v>
      </c>
      <c r="E366" s="9" t="s">
        <v>1240</v>
      </c>
      <c r="F366">
        <v>603</v>
      </c>
      <c r="G366" s="11">
        <v>1.6381767998200863E-3</v>
      </c>
      <c r="H366" s="12">
        <v>0.60856388776284676</v>
      </c>
      <c r="I366" t="s">
        <v>1240</v>
      </c>
      <c r="J366">
        <v>6</v>
      </c>
      <c r="K366" s="11">
        <f t="shared" si="30"/>
        <v>6.2155775398998981E-4</v>
      </c>
      <c r="L366" s="12">
        <f t="shared" si="35"/>
        <v>0.74543421436018986</v>
      </c>
      <c r="M366" t="str">
        <f t="shared" si="31"/>
        <v>A</v>
      </c>
      <c r="N366" t="str">
        <f t="shared" si="32"/>
        <v>AAA</v>
      </c>
      <c r="O366" s="11">
        <f>VLOOKUP(A366,XYZ!A365:G1168,2,FALSE)</f>
        <v>2.2360679774997894</v>
      </c>
      <c r="P366" t="str">
        <f t="shared" si="33"/>
        <v>Z</v>
      </c>
      <c r="Q366" t="str">
        <f t="shared" si="34"/>
        <v>AAAZ</v>
      </c>
    </row>
    <row r="367" spans="1:17" x14ac:dyDescent="0.15">
      <c r="A367" t="s">
        <v>957</v>
      </c>
      <c r="B367" s="9">
        <v>1</v>
      </c>
      <c r="C367" s="13">
        <v>0</v>
      </c>
      <c r="D367" s="13">
        <v>0.98</v>
      </c>
      <c r="E367" s="9" t="s">
        <v>1242</v>
      </c>
      <c r="F367">
        <v>601</v>
      </c>
      <c r="G367" s="11">
        <v>1.6327433775984608E-3</v>
      </c>
      <c r="H367" s="12">
        <v>0.6101966311404452</v>
      </c>
      <c r="I367" t="s">
        <v>1240</v>
      </c>
      <c r="J367">
        <v>6</v>
      </c>
      <c r="K367" s="11">
        <f t="shared" si="30"/>
        <v>6.2155775398998981E-4</v>
      </c>
      <c r="L367" s="12">
        <f t="shared" si="35"/>
        <v>0.74605577211417984</v>
      </c>
      <c r="M367" t="str">
        <f t="shared" si="31"/>
        <v>A</v>
      </c>
      <c r="N367" t="str">
        <f t="shared" si="32"/>
        <v>CAA</v>
      </c>
      <c r="O367" s="11">
        <f>VLOOKUP(A367,XYZ!A366:G1169,2,FALSE)</f>
        <v>2.2360679774997894</v>
      </c>
      <c r="P367" t="str">
        <f t="shared" si="33"/>
        <v>Z</v>
      </c>
      <c r="Q367" t="str">
        <f t="shared" si="34"/>
        <v>CAAZ</v>
      </c>
    </row>
    <row r="368" spans="1:17" x14ac:dyDescent="0.15">
      <c r="A368" t="s">
        <v>949</v>
      </c>
      <c r="B368" s="9">
        <v>1</v>
      </c>
      <c r="C368" s="13">
        <v>0</v>
      </c>
      <c r="D368" s="13">
        <v>0.94</v>
      </c>
      <c r="E368" s="9" t="s">
        <v>1241</v>
      </c>
      <c r="F368">
        <v>598</v>
      </c>
      <c r="G368" s="11">
        <v>1.6245932442660225E-3</v>
      </c>
      <c r="H368" s="12">
        <v>0.6134512510511988</v>
      </c>
      <c r="I368" t="s">
        <v>1240</v>
      </c>
      <c r="J368">
        <v>6</v>
      </c>
      <c r="K368" s="11">
        <f t="shared" si="30"/>
        <v>6.2155775398998981E-4</v>
      </c>
      <c r="L368" s="12">
        <f t="shared" si="35"/>
        <v>0.74667732986816981</v>
      </c>
      <c r="M368" t="str">
        <f t="shared" si="31"/>
        <v>A</v>
      </c>
      <c r="N368" t="str">
        <f t="shared" si="32"/>
        <v>BAA</v>
      </c>
      <c r="O368" s="11">
        <f>VLOOKUP(A368,XYZ!A367:G1170,2,FALSE)</f>
        <v>2.2360679774997894</v>
      </c>
      <c r="P368" t="str">
        <f t="shared" si="33"/>
        <v>Z</v>
      </c>
      <c r="Q368" t="str">
        <f t="shared" si="34"/>
        <v>BAAZ</v>
      </c>
    </row>
    <row r="369" spans="1:17" x14ac:dyDescent="0.15">
      <c r="A369" t="s">
        <v>808</v>
      </c>
      <c r="B369" s="9">
        <v>1</v>
      </c>
      <c r="C369" s="13">
        <v>0</v>
      </c>
      <c r="D369" s="13">
        <v>0.82</v>
      </c>
      <c r="E369" s="9" t="s">
        <v>1241</v>
      </c>
      <c r="F369">
        <v>592</v>
      </c>
      <c r="G369" s="11">
        <v>1.608292977601146E-3</v>
      </c>
      <c r="H369" s="12">
        <v>0.61505954402879992</v>
      </c>
      <c r="I369" t="s">
        <v>1240</v>
      </c>
      <c r="J369">
        <v>6</v>
      </c>
      <c r="K369" s="11">
        <f t="shared" si="30"/>
        <v>6.2155775398998981E-4</v>
      </c>
      <c r="L369" s="12">
        <f t="shared" si="35"/>
        <v>0.74729888762215979</v>
      </c>
      <c r="M369" t="str">
        <f t="shared" si="31"/>
        <v>A</v>
      </c>
      <c r="N369" t="str">
        <f t="shared" si="32"/>
        <v>BAA</v>
      </c>
      <c r="O369" s="11">
        <f>VLOOKUP(A369,XYZ!A368:G1171,2,FALSE)</f>
        <v>2.2360679774997894</v>
      </c>
      <c r="P369" t="str">
        <f t="shared" si="33"/>
        <v>Z</v>
      </c>
      <c r="Q369" t="str">
        <f t="shared" si="34"/>
        <v>BAAZ</v>
      </c>
    </row>
    <row r="370" spans="1:17" x14ac:dyDescent="0.15">
      <c r="A370" t="s">
        <v>990</v>
      </c>
      <c r="B370" s="9">
        <v>1</v>
      </c>
      <c r="C370" s="13">
        <v>0</v>
      </c>
      <c r="D370" s="13">
        <v>0.89</v>
      </c>
      <c r="E370" s="9" t="s">
        <v>1241</v>
      </c>
      <c r="F370">
        <v>591</v>
      </c>
      <c r="G370" s="11">
        <v>1.6055762664903333E-3</v>
      </c>
      <c r="H370" s="12">
        <v>0.61827069656178069</v>
      </c>
      <c r="I370" t="s">
        <v>1240</v>
      </c>
      <c r="J370">
        <v>6</v>
      </c>
      <c r="K370" s="11">
        <f t="shared" si="30"/>
        <v>6.2155775398998981E-4</v>
      </c>
      <c r="L370" s="12">
        <f t="shared" si="35"/>
        <v>0.74792044537614977</v>
      </c>
      <c r="M370" t="str">
        <f t="shared" si="31"/>
        <v>A</v>
      </c>
      <c r="N370" t="str">
        <f t="shared" si="32"/>
        <v>BAA</v>
      </c>
      <c r="O370" s="11">
        <f>VLOOKUP(A370,XYZ!A369:G1172,2,FALSE)</f>
        <v>2.2360679774997894</v>
      </c>
      <c r="P370" t="str">
        <f t="shared" si="33"/>
        <v>Z</v>
      </c>
      <c r="Q370" t="str">
        <f t="shared" si="34"/>
        <v>BAAZ</v>
      </c>
    </row>
    <row r="371" spans="1:17" x14ac:dyDescent="0.15">
      <c r="A371" t="s">
        <v>710</v>
      </c>
      <c r="B371" s="9">
        <v>1</v>
      </c>
      <c r="C371" s="13">
        <v>0</v>
      </c>
      <c r="D371" s="13">
        <v>0.79</v>
      </c>
      <c r="E371" s="9" t="s">
        <v>1240</v>
      </c>
      <c r="F371">
        <v>589</v>
      </c>
      <c r="G371" s="11">
        <v>1.6001428442687078E-3</v>
      </c>
      <c r="H371" s="12">
        <v>0.61987083940604937</v>
      </c>
      <c r="I371" t="s">
        <v>1240</v>
      </c>
      <c r="J371">
        <v>6</v>
      </c>
      <c r="K371" s="11">
        <f t="shared" si="30"/>
        <v>6.2155775398998981E-4</v>
      </c>
      <c r="L371" s="12">
        <f t="shared" si="35"/>
        <v>0.74854200313013974</v>
      </c>
      <c r="M371" t="str">
        <f t="shared" si="31"/>
        <v>A</v>
      </c>
      <c r="N371" t="str">
        <f t="shared" si="32"/>
        <v>AAA</v>
      </c>
      <c r="O371" s="11">
        <f>VLOOKUP(A371,XYZ!A370:G1173,2,FALSE)</f>
        <v>2.2360679774997894</v>
      </c>
      <c r="P371" t="str">
        <f t="shared" si="33"/>
        <v>Z</v>
      </c>
      <c r="Q371" t="str">
        <f t="shared" si="34"/>
        <v>AAAZ</v>
      </c>
    </row>
    <row r="372" spans="1:17" x14ac:dyDescent="0.15">
      <c r="A372" t="s">
        <v>1075</v>
      </c>
      <c r="B372" s="9">
        <v>1</v>
      </c>
      <c r="C372" s="13">
        <v>0</v>
      </c>
      <c r="D372" s="13">
        <v>0.87</v>
      </c>
      <c r="E372" s="9" t="s">
        <v>1241</v>
      </c>
      <c r="F372">
        <v>589</v>
      </c>
      <c r="G372" s="11">
        <v>1.6001428442687078E-3</v>
      </c>
      <c r="H372" s="12">
        <v>0.62147098225031805</v>
      </c>
      <c r="I372" t="s">
        <v>1240</v>
      </c>
      <c r="J372">
        <v>6</v>
      </c>
      <c r="K372" s="11">
        <f t="shared" si="30"/>
        <v>6.2155775398998981E-4</v>
      </c>
      <c r="L372" s="12">
        <f t="shared" si="35"/>
        <v>0.74916356088412972</v>
      </c>
      <c r="M372" t="str">
        <f t="shared" si="31"/>
        <v>A</v>
      </c>
      <c r="N372" t="str">
        <f t="shared" si="32"/>
        <v>BAA</v>
      </c>
      <c r="O372" s="11">
        <f>VLOOKUP(A372,XYZ!A371:G1174,2,FALSE)</f>
        <v>2.2360679774997894</v>
      </c>
      <c r="P372" t="str">
        <f t="shared" si="33"/>
        <v>Z</v>
      </c>
      <c r="Q372" t="str">
        <f t="shared" si="34"/>
        <v>BAAZ</v>
      </c>
    </row>
    <row r="373" spans="1:17" x14ac:dyDescent="0.15">
      <c r="A373" t="s">
        <v>1002</v>
      </c>
      <c r="B373" s="9">
        <v>1</v>
      </c>
      <c r="C373" s="13">
        <v>0</v>
      </c>
      <c r="D373" s="13">
        <v>0.69</v>
      </c>
      <c r="E373" s="9" t="s">
        <v>1240</v>
      </c>
      <c r="F373">
        <v>587</v>
      </c>
      <c r="G373" s="11">
        <v>1.5947094220470823E-3</v>
      </c>
      <c r="H373" s="12">
        <v>0.62306569167236514</v>
      </c>
      <c r="I373" t="s">
        <v>1240</v>
      </c>
      <c r="J373">
        <v>6</v>
      </c>
      <c r="K373" s="11">
        <f t="shared" si="30"/>
        <v>6.2155775398998981E-4</v>
      </c>
      <c r="L373" s="12">
        <f t="shared" si="35"/>
        <v>0.7497851186381197</v>
      </c>
      <c r="M373" t="str">
        <f t="shared" si="31"/>
        <v>A</v>
      </c>
      <c r="N373" t="str">
        <f t="shared" si="32"/>
        <v>AAA</v>
      </c>
      <c r="O373" s="11">
        <f>VLOOKUP(A373,XYZ!A372:G1175,2,FALSE)</f>
        <v>2.2360679774997894</v>
      </c>
      <c r="P373" t="str">
        <f t="shared" si="33"/>
        <v>Z</v>
      </c>
      <c r="Q373" t="str">
        <f t="shared" si="34"/>
        <v>AAAZ</v>
      </c>
    </row>
    <row r="374" spans="1:17" x14ac:dyDescent="0.15">
      <c r="A374" t="s">
        <v>430</v>
      </c>
      <c r="B374" s="9">
        <v>1</v>
      </c>
      <c r="C374" s="13">
        <v>0</v>
      </c>
      <c r="D374" s="13">
        <v>0.92</v>
      </c>
      <c r="E374" s="9" t="s">
        <v>1241</v>
      </c>
      <c r="F374">
        <v>585</v>
      </c>
      <c r="G374" s="11">
        <v>1.5892759998254568E-3</v>
      </c>
      <c r="H374" s="12">
        <v>0.62624424367201614</v>
      </c>
      <c r="I374" t="s">
        <v>1240</v>
      </c>
      <c r="J374">
        <v>6</v>
      </c>
      <c r="K374" s="11">
        <f t="shared" si="30"/>
        <v>6.2155775398998981E-4</v>
      </c>
      <c r="L374" s="12">
        <f t="shared" si="35"/>
        <v>0.75040667639210967</v>
      </c>
      <c r="M374" t="str">
        <f t="shared" si="31"/>
        <v>A</v>
      </c>
      <c r="N374" t="str">
        <f t="shared" si="32"/>
        <v>BAA</v>
      </c>
      <c r="O374" s="11">
        <f>VLOOKUP(A374,XYZ!A373:G1176,2,FALSE)</f>
        <v>2.2360679774997894</v>
      </c>
      <c r="P374" t="str">
        <f t="shared" si="33"/>
        <v>Z</v>
      </c>
      <c r="Q374" t="str">
        <f t="shared" si="34"/>
        <v>BAAZ</v>
      </c>
    </row>
    <row r="375" spans="1:17" x14ac:dyDescent="0.15">
      <c r="A375" t="s">
        <v>934</v>
      </c>
      <c r="B375" s="9">
        <v>1</v>
      </c>
      <c r="C375" s="13">
        <v>0</v>
      </c>
      <c r="D375" s="13">
        <v>0.87</v>
      </c>
      <c r="E375" s="9" t="s">
        <v>1241</v>
      </c>
      <c r="F375">
        <v>576</v>
      </c>
      <c r="G375" s="11">
        <v>1.5648255998281422E-3</v>
      </c>
      <c r="H375" s="12">
        <v>0.62780906927184432</v>
      </c>
      <c r="I375" t="s">
        <v>1240</v>
      </c>
      <c r="J375">
        <v>6</v>
      </c>
      <c r="K375" s="11">
        <f t="shared" si="30"/>
        <v>6.2155775398998981E-4</v>
      </c>
      <c r="L375" s="12">
        <f t="shared" si="35"/>
        <v>0.75102823414609965</v>
      </c>
      <c r="M375" t="str">
        <f t="shared" si="31"/>
        <v>A</v>
      </c>
      <c r="N375" t="str">
        <f t="shared" si="32"/>
        <v>BAA</v>
      </c>
      <c r="O375" s="11">
        <f>VLOOKUP(A375,XYZ!A374:G1177,2,FALSE)</f>
        <v>2.2360679774997894</v>
      </c>
      <c r="P375" t="str">
        <f t="shared" si="33"/>
        <v>Z</v>
      </c>
      <c r="Q375" t="str">
        <f t="shared" si="34"/>
        <v>BAAZ</v>
      </c>
    </row>
    <row r="376" spans="1:17" x14ac:dyDescent="0.15">
      <c r="A376" t="s">
        <v>901</v>
      </c>
      <c r="B376" s="9">
        <v>1</v>
      </c>
      <c r="C376" s="13">
        <v>0</v>
      </c>
      <c r="D376" s="13">
        <v>0.91</v>
      </c>
      <c r="E376" s="9" t="s">
        <v>1241</v>
      </c>
      <c r="F376">
        <v>572</v>
      </c>
      <c r="G376" s="11">
        <v>1.5539587553848912E-3</v>
      </c>
      <c r="H376" s="12">
        <v>0.62936302802722921</v>
      </c>
      <c r="I376" t="s">
        <v>1240</v>
      </c>
      <c r="J376">
        <v>6</v>
      </c>
      <c r="K376" s="11">
        <f t="shared" si="30"/>
        <v>6.2155775398998981E-4</v>
      </c>
      <c r="L376" s="12">
        <f t="shared" si="35"/>
        <v>0.75164979190008963</v>
      </c>
      <c r="M376" t="str">
        <f t="shared" si="31"/>
        <v>A</v>
      </c>
      <c r="N376" t="str">
        <f t="shared" si="32"/>
        <v>BAA</v>
      </c>
      <c r="O376" s="11">
        <f>VLOOKUP(A376,XYZ!A375:G1178,2,FALSE)</f>
        <v>2.2360679774997894</v>
      </c>
      <c r="P376" t="str">
        <f t="shared" si="33"/>
        <v>Z</v>
      </c>
      <c r="Q376" t="str">
        <f t="shared" si="34"/>
        <v>BAAZ</v>
      </c>
    </row>
    <row r="377" spans="1:17" x14ac:dyDescent="0.15">
      <c r="A377" t="s">
        <v>579</v>
      </c>
      <c r="B377" s="9">
        <v>1</v>
      </c>
      <c r="C377" s="13">
        <v>0</v>
      </c>
      <c r="D377" s="13">
        <v>0.9</v>
      </c>
      <c r="E377" s="9" t="s">
        <v>1241</v>
      </c>
      <c r="F377">
        <v>571</v>
      </c>
      <c r="G377" s="11">
        <v>1.5512420442740783E-3</v>
      </c>
      <c r="H377" s="12">
        <v>0.63091427007150325</v>
      </c>
      <c r="I377" t="s">
        <v>1240</v>
      </c>
      <c r="J377">
        <v>6</v>
      </c>
      <c r="K377" s="11">
        <f t="shared" si="30"/>
        <v>6.2155775398998981E-4</v>
      </c>
      <c r="L377" s="12">
        <f t="shared" si="35"/>
        <v>0.7522713496540796</v>
      </c>
      <c r="M377" t="str">
        <f t="shared" si="31"/>
        <v>A</v>
      </c>
      <c r="N377" t="str">
        <f t="shared" si="32"/>
        <v>BAA</v>
      </c>
      <c r="O377" s="11">
        <f>VLOOKUP(A377,XYZ!A376:G1179,2,FALSE)</f>
        <v>2.2360679774997894</v>
      </c>
      <c r="P377" t="str">
        <f t="shared" si="33"/>
        <v>Z</v>
      </c>
      <c r="Q377" t="str">
        <f t="shared" si="34"/>
        <v>BAAZ</v>
      </c>
    </row>
    <row r="378" spans="1:17" x14ac:dyDescent="0.15">
      <c r="A378" t="s">
        <v>371</v>
      </c>
      <c r="B378" s="9">
        <v>1</v>
      </c>
      <c r="C378" s="13">
        <v>0</v>
      </c>
      <c r="D378" s="13">
        <v>0.87</v>
      </c>
      <c r="E378" s="9" t="s">
        <v>1241</v>
      </c>
      <c r="F378">
        <v>566</v>
      </c>
      <c r="G378" s="11">
        <v>1.5376584887200147E-3</v>
      </c>
      <c r="H378" s="12">
        <v>0.63245192856022325</v>
      </c>
      <c r="I378" t="s">
        <v>1240</v>
      </c>
      <c r="J378">
        <v>6</v>
      </c>
      <c r="K378" s="11">
        <f t="shared" si="30"/>
        <v>6.2155775398998981E-4</v>
      </c>
      <c r="L378" s="12">
        <f t="shared" si="35"/>
        <v>0.75289290740806958</v>
      </c>
      <c r="M378" t="str">
        <f t="shared" si="31"/>
        <v>A</v>
      </c>
      <c r="N378" t="str">
        <f t="shared" si="32"/>
        <v>BAA</v>
      </c>
      <c r="O378" s="11">
        <f>VLOOKUP(A378,XYZ!A377:G1180,2,FALSE)</f>
        <v>2.2360679774997894</v>
      </c>
      <c r="P378" t="str">
        <f t="shared" si="33"/>
        <v>Z</v>
      </c>
      <c r="Q378" t="str">
        <f t="shared" si="34"/>
        <v>BAAZ</v>
      </c>
    </row>
    <row r="379" spans="1:17" x14ac:dyDescent="0.15">
      <c r="A379" t="s">
        <v>57</v>
      </c>
      <c r="B379" s="9">
        <v>1</v>
      </c>
      <c r="C379" s="13">
        <v>0</v>
      </c>
      <c r="D379" s="13">
        <v>0.79</v>
      </c>
      <c r="E379" s="9" t="s">
        <v>1240</v>
      </c>
      <c r="F379">
        <v>553</v>
      </c>
      <c r="G379" s="11">
        <v>1.502341244279449E-3</v>
      </c>
      <c r="H379" s="12">
        <v>0.63701328651527789</v>
      </c>
      <c r="I379" t="s">
        <v>1240</v>
      </c>
      <c r="J379">
        <v>6</v>
      </c>
      <c r="K379" s="11">
        <f t="shared" si="30"/>
        <v>6.2155775398998981E-4</v>
      </c>
      <c r="L379" s="12">
        <f t="shared" si="35"/>
        <v>0.75351446516205955</v>
      </c>
      <c r="M379" t="str">
        <f t="shared" si="31"/>
        <v>A</v>
      </c>
      <c r="N379" t="str">
        <f t="shared" si="32"/>
        <v>AAA</v>
      </c>
      <c r="O379" s="11">
        <f>VLOOKUP(A379,XYZ!A378:G1181,2,FALSE)</f>
        <v>2.2360679774997894</v>
      </c>
      <c r="P379" t="str">
        <f t="shared" si="33"/>
        <v>Z</v>
      </c>
      <c r="Q379" t="str">
        <f t="shared" si="34"/>
        <v>AAAZ</v>
      </c>
    </row>
    <row r="380" spans="1:17" x14ac:dyDescent="0.15">
      <c r="A380" t="s">
        <v>820</v>
      </c>
      <c r="B380" s="9">
        <v>1</v>
      </c>
      <c r="C380" s="13">
        <v>0</v>
      </c>
      <c r="D380" s="13">
        <v>0.96</v>
      </c>
      <c r="E380" s="9" t="s">
        <v>1242</v>
      </c>
      <c r="F380">
        <v>545</v>
      </c>
      <c r="G380" s="11">
        <v>1.480607555392947E-3</v>
      </c>
      <c r="H380" s="12">
        <v>0.63849389407067081</v>
      </c>
      <c r="I380" t="s">
        <v>1240</v>
      </c>
      <c r="J380">
        <v>6</v>
      </c>
      <c r="K380" s="11">
        <f t="shared" si="30"/>
        <v>6.2155775398998981E-4</v>
      </c>
      <c r="L380" s="12">
        <f t="shared" si="35"/>
        <v>0.75413602291604953</v>
      </c>
      <c r="M380" t="str">
        <f t="shared" si="31"/>
        <v>A</v>
      </c>
      <c r="N380" t="str">
        <f t="shared" si="32"/>
        <v>CAA</v>
      </c>
      <c r="O380" s="11">
        <f>VLOOKUP(A380,XYZ!A379:G1182,2,FALSE)</f>
        <v>2.2360679774997894</v>
      </c>
      <c r="P380" t="str">
        <f t="shared" si="33"/>
        <v>Z</v>
      </c>
      <c r="Q380" t="str">
        <f t="shared" si="34"/>
        <v>CAAZ</v>
      </c>
    </row>
    <row r="381" spans="1:17" x14ac:dyDescent="0.15">
      <c r="A381" t="s">
        <v>716</v>
      </c>
      <c r="B381" s="9">
        <v>1</v>
      </c>
      <c r="C381" s="13">
        <v>0</v>
      </c>
      <c r="D381" s="13">
        <v>0.85</v>
      </c>
      <c r="E381" s="9" t="s">
        <v>1241</v>
      </c>
      <c r="F381">
        <v>538</v>
      </c>
      <c r="G381" s="11">
        <v>1.4615905776172577E-3</v>
      </c>
      <c r="H381" s="12">
        <v>0.63995548464828811</v>
      </c>
      <c r="I381" t="s">
        <v>1240</v>
      </c>
      <c r="J381">
        <v>6</v>
      </c>
      <c r="K381" s="11">
        <f t="shared" si="30"/>
        <v>6.2155775398998981E-4</v>
      </c>
      <c r="L381" s="12">
        <f t="shared" si="35"/>
        <v>0.75475758067003951</v>
      </c>
      <c r="M381" t="str">
        <f t="shared" si="31"/>
        <v>A</v>
      </c>
      <c r="N381" t="str">
        <f t="shared" si="32"/>
        <v>BAA</v>
      </c>
      <c r="O381" s="11">
        <f>VLOOKUP(A381,XYZ!A380:G1183,2,FALSE)</f>
        <v>2.2360679774997894</v>
      </c>
      <c r="P381" t="str">
        <f t="shared" si="33"/>
        <v>Z</v>
      </c>
      <c r="Q381" t="str">
        <f t="shared" si="34"/>
        <v>BAAZ</v>
      </c>
    </row>
    <row r="382" spans="1:17" x14ac:dyDescent="0.15">
      <c r="A382" t="s">
        <v>70</v>
      </c>
      <c r="B382" s="9">
        <v>1</v>
      </c>
      <c r="C382" s="13">
        <v>0</v>
      </c>
      <c r="D382" s="13">
        <v>0.8</v>
      </c>
      <c r="E382" s="9" t="s">
        <v>1241</v>
      </c>
      <c r="F382">
        <v>533</v>
      </c>
      <c r="G382" s="11">
        <v>1.448007022063194E-3</v>
      </c>
      <c r="H382" s="12">
        <v>0.64432123940336417</v>
      </c>
      <c r="I382" t="s">
        <v>1240</v>
      </c>
      <c r="J382">
        <v>6</v>
      </c>
      <c r="K382" s="11">
        <f t="shared" si="30"/>
        <v>6.2155775398998981E-4</v>
      </c>
      <c r="L382" s="12">
        <f t="shared" si="35"/>
        <v>0.75537913842402948</v>
      </c>
      <c r="M382" t="str">
        <f t="shared" si="31"/>
        <v>A</v>
      </c>
      <c r="N382" t="str">
        <f t="shared" si="32"/>
        <v>BAA</v>
      </c>
      <c r="O382" s="11">
        <f>VLOOKUP(A382,XYZ!A381:G1184,2,FALSE)</f>
        <v>2.2360679774997894</v>
      </c>
      <c r="P382" t="str">
        <f t="shared" si="33"/>
        <v>Z</v>
      </c>
      <c r="Q382" t="str">
        <f t="shared" si="34"/>
        <v>BAAZ</v>
      </c>
    </row>
    <row r="383" spans="1:17" x14ac:dyDescent="0.15">
      <c r="A383" t="s">
        <v>911</v>
      </c>
      <c r="B383" s="9">
        <v>1</v>
      </c>
      <c r="C383" s="13">
        <v>0</v>
      </c>
      <c r="D383" s="13">
        <v>0.73</v>
      </c>
      <c r="E383" s="9" t="s">
        <v>1240</v>
      </c>
      <c r="F383">
        <v>524</v>
      </c>
      <c r="G383" s="11">
        <v>1.4235566220658794E-3</v>
      </c>
      <c r="H383" s="12">
        <v>0.64716990502534277</v>
      </c>
      <c r="I383" t="s">
        <v>1240</v>
      </c>
      <c r="J383">
        <v>6</v>
      </c>
      <c r="K383" s="11">
        <f t="shared" si="30"/>
        <v>6.2155775398998981E-4</v>
      </c>
      <c r="L383" s="12">
        <f t="shared" si="35"/>
        <v>0.75600069617801946</v>
      </c>
      <c r="M383" t="str">
        <f t="shared" si="31"/>
        <v>A</v>
      </c>
      <c r="N383" t="str">
        <f t="shared" si="32"/>
        <v>AAA</v>
      </c>
      <c r="O383" s="11">
        <f>VLOOKUP(A383,XYZ!A382:G1185,2,FALSE)</f>
        <v>2.2360679774997894</v>
      </c>
      <c r="P383" t="str">
        <f t="shared" si="33"/>
        <v>Z</v>
      </c>
      <c r="Q383" t="str">
        <f t="shared" si="34"/>
        <v>AAAZ</v>
      </c>
    </row>
    <row r="384" spans="1:17" x14ac:dyDescent="0.15">
      <c r="A384" t="s">
        <v>1042</v>
      </c>
      <c r="B384" s="9">
        <v>1</v>
      </c>
      <c r="C384" s="13">
        <v>0</v>
      </c>
      <c r="D384" s="13">
        <v>0.79</v>
      </c>
      <c r="E384" s="9" t="s">
        <v>1240</v>
      </c>
      <c r="F384">
        <v>524</v>
      </c>
      <c r="G384" s="11">
        <v>1.4235566220658794E-3</v>
      </c>
      <c r="H384" s="12">
        <v>0.64859346164740861</v>
      </c>
      <c r="I384" t="s">
        <v>1240</v>
      </c>
      <c r="J384">
        <v>6</v>
      </c>
      <c r="K384" s="11">
        <f t="shared" si="30"/>
        <v>6.2155775398998981E-4</v>
      </c>
      <c r="L384" s="12">
        <f t="shared" si="35"/>
        <v>0.75662225393200944</v>
      </c>
      <c r="M384" t="str">
        <f t="shared" si="31"/>
        <v>A</v>
      </c>
      <c r="N384" t="str">
        <f t="shared" si="32"/>
        <v>AAA</v>
      </c>
      <c r="O384" s="11">
        <f>VLOOKUP(A384,XYZ!A383:G1186,2,FALSE)</f>
        <v>2.2360679774997894</v>
      </c>
      <c r="P384" t="str">
        <f t="shared" si="33"/>
        <v>Z</v>
      </c>
      <c r="Q384" t="str">
        <f t="shared" si="34"/>
        <v>AAAZ</v>
      </c>
    </row>
    <row r="385" spans="1:17" x14ac:dyDescent="0.15">
      <c r="A385" t="s">
        <v>372</v>
      </c>
      <c r="B385" s="9">
        <v>1</v>
      </c>
      <c r="C385" s="13">
        <v>0</v>
      </c>
      <c r="D385" s="13">
        <v>0.71</v>
      </c>
      <c r="E385" s="9" t="s">
        <v>1240</v>
      </c>
      <c r="F385">
        <v>519</v>
      </c>
      <c r="G385" s="11">
        <v>1.4099730665118155E-3</v>
      </c>
      <c r="H385" s="12">
        <v>0.65142155791376466</v>
      </c>
      <c r="I385" t="s">
        <v>1240</v>
      </c>
      <c r="J385">
        <v>6</v>
      </c>
      <c r="K385" s="11">
        <f t="shared" si="30"/>
        <v>6.2155775398998981E-4</v>
      </c>
      <c r="L385" s="12">
        <f t="shared" si="35"/>
        <v>0.75724381168599941</v>
      </c>
      <c r="M385" t="str">
        <f t="shared" si="31"/>
        <v>A</v>
      </c>
      <c r="N385" t="str">
        <f t="shared" si="32"/>
        <v>AAA</v>
      </c>
      <c r="O385" s="11">
        <f>VLOOKUP(A385,XYZ!A384:G1187,2,FALSE)</f>
        <v>2.2360679774997894</v>
      </c>
      <c r="P385" t="str">
        <f t="shared" si="33"/>
        <v>Z</v>
      </c>
      <c r="Q385" t="str">
        <f t="shared" si="34"/>
        <v>AAAZ</v>
      </c>
    </row>
    <row r="386" spans="1:17" x14ac:dyDescent="0.15">
      <c r="A386" t="s">
        <v>837</v>
      </c>
      <c r="B386" s="9">
        <v>1</v>
      </c>
      <c r="C386" s="13">
        <v>0</v>
      </c>
      <c r="D386" s="13">
        <v>0.72</v>
      </c>
      <c r="E386" s="9" t="s">
        <v>1240</v>
      </c>
      <c r="F386">
        <v>517</v>
      </c>
      <c r="G386" s="11">
        <v>1.40453964429019E-3</v>
      </c>
      <c r="H386" s="12">
        <v>0.65282609755805487</v>
      </c>
      <c r="I386" t="s">
        <v>1240</v>
      </c>
      <c r="J386">
        <v>6</v>
      </c>
      <c r="K386" s="11">
        <f t="shared" si="30"/>
        <v>6.2155775398998981E-4</v>
      </c>
      <c r="L386" s="12">
        <f t="shared" si="35"/>
        <v>0.75786536943998939</v>
      </c>
      <c r="M386" t="str">
        <f t="shared" si="31"/>
        <v>A</v>
      </c>
      <c r="N386" t="str">
        <f t="shared" si="32"/>
        <v>AAA</v>
      </c>
      <c r="O386" s="11">
        <f>VLOOKUP(A386,XYZ!A385:G1188,2,FALSE)</f>
        <v>2.2360679774997894</v>
      </c>
      <c r="P386" t="str">
        <f t="shared" si="33"/>
        <v>Z</v>
      </c>
      <c r="Q386" t="str">
        <f t="shared" si="34"/>
        <v>AAAZ</v>
      </c>
    </row>
    <row r="387" spans="1:17" x14ac:dyDescent="0.15">
      <c r="A387" t="s">
        <v>346</v>
      </c>
      <c r="B387" s="9">
        <v>1</v>
      </c>
      <c r="C387" s="13">
        <v>0</v>
      </c>
      <c r="D387" s="13">
        <v>0.94</v>
      </c>
      <c r="E387" s="9" t="s">
        <v>1241</v>
      </c>
      <c r="F387">
        <v>514</v>
      </c>
      <c r="G387" s="11">
        <v>1.3963895109577519E-3</v>
      </c>
      <c r="H387" s="12">
        <v>0.65562431000219201</v>
      </c>
      <c r="I387" t="s">
        <v>1240</v>
      </c>
      <c r="J387">
        <v>6</v>
      </c>
      <c r="K387" s="11">
        <f t="shared" ref="K387:K450" si="36">J387/SUM(J:J)</f>
        <v>6.2155775398998981E-4</v>
      </c>
      <c r="L387" s="12">
        <f t="shared" si="35"/>
        <v>0.75848692719397937</v>
      </c>
      <c r="M387" t="str">
        <f t="shared" ref="M387:M450" si="37">IF(L387&lt;0.8,"A",IF(L387&lt;0.95,"B","C"))</f>
        <v>A</v>
      </c>
      <c r="N387" t="str">
        <f t="shared" ref="N387:N450" si="38">E387&amp;I387&amp;M387</f>
        <v>BAA</v>
      </c>
      <c r="O387" s="11">
        <f>VLOOKUP(A387,XYZ!A386:G1189,2,FALSE)</f>
        <v>2.2360679774997894</v>
      </c>
      <c r="P387" t="str">
        <f t="shared" ref="P387:P450" si="39">IF(O387&lt;0.1,"A",IF(O387&lt;0.25,"Y","Z"))</f>
        <v>Z</v>
      </c>
      <c r="Q387" t="str">
        <f t="shared" ref="Q387:Q450" si="40">N387&amp;P387</f>
        <v>BAAZ</v>
      </c>
    </row>
    <row r="388" spans="1:17" x14ac:dyDescent="0.15">
      <c r="A388" t="s">
        <v>927</v>
      </c>
      <c r="B388" s="9">
        <v>1</v>
      </c>
      <c r="C388" s="13">
        <v>0</v>
      </c>
      <c r="D388" s="13">
        <v>0.97</v>
      </c>
      <c r="E388" s="9" t="s">
        <v>1242</v>
      </c>
      <c r="F388">
        <v>512</v>
      </c>
      <c r="G388" s="11">
        <v>1.3909560887361264E-3</v>
      </c>
      <c r="H388" s="12">
        <v>0.65701526609092809</v>
      </c>
      <c r="I388" t="s">
        <v>1240</v>
      </c>
      <c r="J388">
        <v>6</v>
      </c>
      <c r="K388" s="11">
        <f t="shared" si="36"/>
        <v>6.2155775398998981E-4</v>
      </c>
      <c r="L388" s="12">
        <f t="shared" ref="L388:L451" si="41">K388+L387</f>
        <v>0.75910848494796934</v>
      </c>
      <c r="M388" t="str">
        <f t="shared" si="37"/>
        <v>A</v>
      </c>
      <c r="N388" t="str">
        <f t="shared" si="38"/>
        <v>CAA</v>
      </c>
      <c r="O388" s="11">
        <f>VLOOKUP(A388,XYZ!A387:G1190,2,FALSE)</f>
        <v>2.2360679774997894</v>
      </c>
      <c r="P388" t="str">
        <f t="shared" si="39"/>
        <v>Z</v>
      </c>
      <c r="Q388" t="str">
        <f t="shared" si="40"/>
        <v>CAAZ</v>
      </c>
    </row>
    <row r="389" spans="1:17" x14ac:dyDescent="0.15">
      <c r="A389" t="s">
        <v>1217</v>
      </c>
      <c r="B389" s="9">
        <v>1</v>
      </c>
      <c r="C389" s="13">
        <v>0</v>
      </c>
      <c r="D389" s="13">
        <v>0.96</v>
      </c>
      <c r="E389" s="9" t="s">
        <v>1242</v>
      </c>
      <c r="F389">
        <v>511</v>
      </c>
      <c r="G389" s="11">
        <v>1.3882393776253135E-3</v>
      </c>
      <c r="H389" s="12">
        <v>0.65840350546855342</v>
      </c>
      <c r="I389" t="s">
        <v>1240</v>
      </c>
      <c r="J389">
        <v>6</v>
      </c>
      <c r="K389" s="11">
        <f t="shared" si="36"/>
        <v>6.2155775398998981E-4</v>
      </c>
      <c r="L389" s="12">
        <f t="shared" si="41"/>
        <v>0.75973004270195932</v>
      </c>
      <c r="M389" t="str">
        <f t="shared" si="37"/>
        <v>A</v>
      </c>
      <c r="N389" t="str">
        <f t="shared" si="38"/>
        <v>CAA</v>
      </c>
      <c r="O389" s="11">
        <f>VLOOKUP(A389,XYZ!A388:G1191,2,FALSE)</f>
        <v>2.2360679774997894</v>
      </c>
      <c r="P389" t="str">
        <f t="shared" si="39"/>
        <v>Z</v>
      </c>
      <c r="Q389" t="str">
        <f t="shared" si="40"/>
        <v>CAAZ</v>
      </c>
    </row>
    <row r="390" spans="1:17" x14ac:dyDescent="0.15">
      <c r="A390" t="s">
        <v>314</v>
      </c>
      <c r="B390" s="9">
        <v>1</v>
      </c>
      <c r="C390" s="13">
        <v>0</v>
      </c>
      <c r="D390" s="13">
        <v>0.99</v>
      </c>
      <c r="E390" s="9" t="s">
        <v>1242</v>
      </c>
      <c r="F390">
        <v>509</v>
      </c>
      <c r="G390" s="11">
        <v>1.382805955403688E-3</v>
      </c>
      <c r="H390" s="12">
        <v>0.66117273964697765</v>
      </c>
      <c r="I390" t="s">
        <v>1240</v>
      </c>
      <c r="J390">
        <v>6</v>
      </c>
      <c r="K390" s="11">
        <f t="shared" si="36"/>
        <v>6.2155775398998981E-4</v>
      </c>
      <c r="L390" s="12">
        <f t="shared" si="41"/>
        <v>0.76035160045594929</v>
      </c>
      <c r="M390" t="str">
        <f t="shared" si="37"/>
        <v>A</v>
      </c>
      <c r="N390" t="str">
        <f t="shared" si="38"/>
        <v>CAA</v>
      </c>
      <c r="O390" s="11">
        <f>VLOOKUP(A390,XYZ!A389:G1192,2,FALSE)</f>
        <v>2.2360679774997894</v>
      </c>
      <c r="P390" t="str">
        <f t="shared" si="39"/>
        <v>Z</v>
      </c>
      <c r="Q390" t="str">
        <f t="shared" si="40"/>
        <v>CAAZ</v>
      </c>
    </row>
    <row r="391" spans="1:17" x14ac:dyDescent="0.15">
      <c r="A391" t="s">
        <v>632</v>
      </c>
      <c r="B391" s="9">
        <v>1</v>
      </c>
      <c r="C391" s="13">
        <v>0</v>
      </c>
      <c r="D391" s="13">
        <v>0.97</v>
      </c>
      <c r="E391" s="9" t="s">
        <v>1242</v>
      </c>
      <c r="F391">
        <v>506</v>
      </c>
      <c r="G391" s="11">
        <v>1.3746558220712498E-3</v>
      </c>
      <c r="H391" s="12">
        <v>0.66254739546904895</v>
      </c>
      <c r="I391" t="s">
        <v>1240</v>
      </c>
      <c r="J391">
        <v>6</v>
      </c>
      <c r="K391" s="11">
        <f t="shared" si="36"/>
        <v>6.2155775398998981E-4</v>
      </c>
      <c r="L391" s="12">
        <f t="shared" si="41"/>
        <v>0.76097315820993927</v>
      </c>
      <c r="M391" t="str">
        <f t="shared" si="37"/>
        <v>A</v>
      </c>
      <c r="N391" t="str">
        <f t="shared" si="38"/>
        <v>CAA</v>
      </c>
      <c r="O391" s="11">
        <f>VLOOKUP(A391,XYZ!A390:G1193,2,FALSE)</f>
        <v>2.2360679774997894</v>
      </c>
      <c r="P391" t="str">
        <f t="shared" si="39"/>
        <v>Z</v>
      </c>
      <c r="Q391" t="str">
        <f t="shared" si="40"/>
        <v>CAAZ</v>
      </c>
    </row>
    <row r="392" spans="1:17" x14ac:dyDescent="0.15">
      <c r="A392" t="s">
        <v>751</v>
      </c>
      <c r="B392" s="9">
        <v>1</v>
      </c>
      <c r="C392" s="13">
        <v>0</v>
      </c>
      <c r="D392" s="13">
        <v>0.98</v>
      </c>
      <c r="E392" s="9" t="s">
        <v>1242</v>
      </c>
      <c r="F392">
        <v>505</v>
      </c>
      <c r="G392" s="11">
        <v>1.371939110960437E-3</v>
      </c>
      <c r="H392" s="12">
        <v>0.6639193345800094</v>
      </c>
      <c r="I392" t="s">
        <v>1240</v>
      </c>
      <c r="J392">
        <v>6</v>
      </c>
      <c r="K392" s="11">
        <f t="shared" si="36"/>
        <v>6.2155775398998981E-4</v>
      </c>
      <c r="L392" s="12">
        <f t="shared" si="41"/>
        <v>0.76159471596392925</v>
      </c>
      <c r="M392" t="str">
        <f t="shared" si="37"/>
        <v>A</v>
      </c>
      <c r="N392" t="str">
        <f t="shared" si="38"/>
        <v>CAA</v>
      </c>
      <c r="O392" s="11">
        <f>VLOOKUP(A392,XYZ!A391:G1194,2,FALSE)</f>
        <v>2.2360679774997894</v>
      </c>
      <c r="P392" t="str">
        <f t="shared" si="39"/>
        <v>Z</v>
      </c>
      <c r="Q392" t="str">
        <f t="shared" si="40"/>
        <v>CAAZ</v>
      </c>
    </row>
    <row r="393" spans="1:17" x14ac:dyDescent="0.15">
      <c r="A393" t="s">
        <v>1180</v>
      </c>
      <c r="B393" s="9">
        <v>1</v>
      </c>
      <c r="C393" s="13">
        <v>0</v>
      </c>
      <c r="D393" s="13">
        <v>0.81</v>
      </c>
      <c r="E393" s="9" t="s">
        <v>1241</v>
      </c>
      <c r="F393">
        <v>502</v>
      </c>
      <c r="G393" s="11">
        <v>1.3637889776279988E-3</v>
      </c>
      <c r="H393" s="12">
        <v>0.66802156834364446</v>
      </c>
      <c r="I393" t="s">
        <v>1240</v>
      </c>
      <c r="J393">
        <v>6</v>
      </c>
      <c r="K393" s="11">
        <f t="shared" si="36"/>
        <v>6.2155775398998981E-4</v>
      </c>
      <c r="L393" s="12">
        <f t="shared" si="41"/>
        <v>0.76221627371791922</v>
      </c>
      <c r="M393" t="str">
        <f t="shared" si="37"/>
        <v>A</v>
      </c>
      <c r="N393" t="str">
        <f t="shared" si="38"/>
        <v>BAA</v>
      </c>
      <c r="O393" s="11">
        <f>VLOOKUP(A393,XYZ!A392:G1195,2,FALSE)</f>
        <v>2.2360679774997894</v>
      </c>
      <c r="P393" t="str">
        <f t="shared" si="39"/>
        <v>Z</v>
      </c>
      <c r="Q393" t="str">
        <f t="shared" si="40"/>
        <v>BAAZ</v>
      </c>
    </row>
    <row r="394" spans="1:17" x14ac:dyDescent="0.15">
      <c r="A394" t="s">
        <v>1054</v>
      </c>
      <c r="B394" s="9">
        <v>1</v>
      </c>
      <c r="C394" s="13">
        <v>0</v>
      </c>
      <c r="D394" s="13">
        <v>0.85</v>
      </c>
      <c r="E394" s="9" t="s">
        <v>1241</v>
      </c>
      <c r="F394">
        <v>500</v>
      </c>
      <c r="G394" s="11">
        <v>1.3583555554063733E-3</v>
      </c>
      <c r="H394" s="12">
        <v>0.6707382794544573</v>
      </c>
      <c r="I394" t="s">
        <v>1240</v>
      </c>
      <c r="J394">
        <v>6</v>
      </c>
      <c r="K394" s="11">
        <f t="shared" si="36"/>
        <v>6.2155775398998981E-4</v>
      </c>
      <c r="L394" s="12">
        <f t="shared" si="41"/>
        <v>0.7628378314719092</v>
      </c>
      <c r="M394" t="str">
        <f t="shared" si="37"/>
        <v>A</v>
      </c>
      <c r="N394" t="str">
        <f t="shared" si="38"/>
        <v>BAA</v>
      </c>
      <c r="O394" s="11">
        <f>VLOOKUP(A394,XYZ!A393:G1196,2,FALSE)</f>
        <v>2.2360679774997894</v>
      </c>
      <c r="P394" t="str">
        <f t="shared" si="39"/>
        <v>Z</v>
      </c>
      <c r="Q394" t="str">
        <f t="shared" si="40"/>
        <v>BAAZ</v>
      </c>
    </row>
    <row r="395" spans="1:17" x14ac:dyDescent="0.15">
      <c r="A395" t="s">
        <v>1189</v>
      </c>
      <c r="B395" s="9">
        <v>1</v>
      </c>
      <c r="C395" s="13">
        <v>0</v>
      </c>
      <c r="D395" s="13">
        <v>0.96</v>
      </c>
      <c r="E395" s="9" t="s">
        <v>1242</v>
      </c>
      <c r="F395">
        <v>500</v>
      </c>
      <c r="G395" s="11">
        <v>1.3583555554063733E-3</v>
      </c>
      <c r="H395" s="12">
        <v>0.67209663500986372</v>
      </c>
      <c r="I395" t="s">
        <v>1240</v>
      </c>
      <c r="J395">
        <v>6</v>
      </c>
      <c r="K395" s="11">
        <f t="shared" si="36"/>
        <v>6.2155775398998981E-4</v>
      </c>
      <c r="L395" s="12">
        <f t="shared" si="41"/>
        <v>0.76345938922589918</v>
      </c>
      <c r="M395" t="str">
        <f t="shared" si="37"/>
        <v>A</v>
      </c>
      <c r="N395" t="str">
        <f t="shared" si="38"/>
        <v>CAA</v>
      </c>
      <c r="O395" s="11">
        <f>VLOOKUP(A395,XYZ!A394:G1197,2,FALSE)</f>
        <v>2.2360679774997894</v>
      </c>
      <c r="P395" t="str">
        <f t="shared" si="39"/>
        <v>Z</v>
      </c>
      <c r="Q395" t="str">
        <f t="shared" si="40"/>
        <v>CAAZ</v>
      </c>
    </row>
    <row r="396" spans="1:17" x14ac:dyDescent="0.15">
      <c r="A396" t="s">
        <v>1173</v>
      </c>
      <c r="B396" s="9">
        <v>1</v>
      </c>
      <c r="C396" s="13">
        <v>0</v>
      </c>
      <c r="D396" s="13">
        <v>0.85</v>
      </c>
      <c r="E396" s="9" t="s">
        <v>1241</v>
      </c>
      <c r="F396">
        <v>497</v>
      </c>
      <c r="G396" s="11">
        <v>1.3502054220739352E-3</v>
      </c>
      <c r="H396" s="12">
        <v>0.67479976256512242</v>
      </c>
      <c r="I396" t="s">
        <v>1240</v>
      </c>
      <c r="J396">
        <v>6</v>
      </c>
      <c r="K396" s="11">
        <f t="shared" si="36"/>
        <v>6.2155775398998981E-4</v>
      </c>
      <c r="L396" s="12">
        <f t="shared" si="41"/>
        <v>0.76408094697988915</v>
      </c>
      <c r="M396" t="str">
        <f t="shared" si="37"/>
        <v>A</v>
      </c>
      <c r="N396" t="str">
        <f t="shared" si="38"/>
        <v>BAA</v>
      </c>
      <c r="O396" s="11">
        <f>VLOOKUP(A396,XYZ!A395:G1198,2,FALSE)</f>
        <v>2.2360679774997894</v>
      </c>
      <c r="P396" t="str">
        <f t="shared" si="39"/>
        <v>Z</v>
      </c>
      <c r="Q396" t="str">
        <f t="shared" si="40"/>
        <v>BAAZ</v>
      </c>
    </row>
    <row r="397" spans="1:17" x14ac:dyDescent="0.15">
      <c r="A397" t="s">
        <v>1203</v>
      </c>
      <c r="B397" s="9">
        <v>1</v>
      </c>
      <c r="C397" s="13">
        <v>0</v>
      </c>
      <c r="D397" s="13">
        <v>0.95</v>
      </c>
      <c r="E397" s="9" t="s">
        <v>1242</v>
      </c>
      <c r="F397">
        <v>493</v>
      </c>
      <c r="G397" s="11">
        <v>1.3393385776306842E-3</v>
      </c>
      <c r="H397" s="12">
        <v>0.67613910114275311</v>
      </c>
      <c r="I397" t="s">
        <v>1240</v>
      </c>
      <c r="J397">
        <v>6</v>
      </c>
      <c r="K397" s="11">
        <f t="shared" si="36"/>
        <v>6.2155775398998981E-4</v>
      </c>
      <c r="L397" s="12">
        <f t="shared" si="41"/>
        <v>0.76470250473387913</v>
      </c>
      <c r="M397" t="str">
        <f t="shared" si="37"/>
        <v>A</v>
      </c>
      <c r="N397" t="str">
        <f t="shared" si="38"/>
        <v>CAA</v>
      </c>
      <c r="O397" s="11">
        <f>VLOOKUP(A397,XYZ!A396:G1199,2,FALSE)</f>
        <v>2.2360679774997894</v>
      </c>
      <c r="P397" t="str">
        <f t="shared" si="39"/>
        <v>Z</v>
      </c>
      <c r="Q397" t="str">
        <f t="shared" si="40"/>
        <v>CAAZ</v>
      </c>
    </row>
    <row r="398" spans="1:17" x14ac:dyDescent="0.15">
      <c r="A398" t="s">
        <v>499</v>
      </c>
      <c r="B398" s="9">
        <v>1</v>
      </c>
      <c r="C398" s="13">
        <v>0</v>
      </c>
      <c r="D398" s="13">
        <v>0.87</v>
      </c>
      <c r="E398" s="9" t="s">
        <v>1241</v>
      </c>
      <c r="F398">
        <v>492</v>
      </c>
      <c r="G398" s="11">
        <v>1.3366218665198713E-3</v>
      </c>
      <c r="H398" s="12">
        <v>0.67747572300927295</v>
      </c>
      <c r="I398" t="s">
        <v>1240</v>
      </c>
      <c r="J398">
        <v>6</v>
      </c>
      <c r="K398" s="11">
        <f t="shared" si="36"/>
        <v>6.2155775398998981E-4</v>
      </c>
      <c r="L398" s="12">
        <f t="shared" si="41"/>
        <v>0.76532406248786911</v>
      </c>
      <c r="M398" t="str">
        <f t="shared" si="37"/>
        <v>A</v>
      </c>
      <c r="N398" t="str">
        <f t="shared" si="38"/>
        <v>BAA</v>
      </c>
      <c r="O398" s="11">
        <f>VLOOKUP(A398,XYZ!A397:G1200,2,FALSE)</f>
        <v>2.2360679774997894</v>
      </c>
      <c r="P398" t="str">
        <f t="shared" si="39"/>
        <v>Z</v>
      </c>
      <c r="Q398" t="str">
        <f t="shared" si="40"/>
        <v>BAAZ</v>
      </c>
    </row>
    <row r="399" spans="1:17" x14ac:dyDescent="0.15">
      <c r="A399" t="s">
        <v>925</v>
      </c>
      <c r="B399" s="9">
        <v>1</v>
      </c>
      <c r="C399" s="13">
        <v>0</v>
      </c>
      <c r="D399" s="13">
        <v>0.88</v>
      </c>
      <c r="E399" s="9" t="s">
        <v>1241</v>
      </c>
      <c r="F399">
        <v>489</v>
      </c>
      <c r="G399" s="11">
        <v>1.3284717331874332E-3</v>
      </c>
      <c r="H399" s="12">
        <v>0.67880419474246034</v>
      </c>
      <c r="I399" t="s">
        <v>1240</v>
      </c>
      <c r="J399">
        <v>6</v>
      </c>
      <c r="K399" s="11">
        <f t="shared" si="36"/>
        <v>6.2155775398998981E-4</v>
      </c>
      <c r="L399" s="12">
        <f t="shared" si="41"/>
        <v>0.76594562024185908</v>
      </c>
      <c r="M399" t="str">
        <f t="shared" si="37"/>
        <v>A</v>
      </c>
      <c r="N399" t="str">
        <f t="shared" si="38"/>
        <v>BAA</v>
      </c>
      <c r="O399" s="11">
        <f>VLOOKUP(A399,XYZ!A398:G1201,2,FALSE)</f>
        <v>2.2360679774997894</v>
      </c>
      <c r="P399" t="str">
        <f t="shared" si="39"/>
        <v>Z</v>
      </c>
      <c r="Q399" t="str">
        <f t="shared" si="40"/>
        <v>BAAZ</v>
      </c>
    </row>
    <row r="400" spans="1:17" x14ac:dyDescent="0.15">
      <c r="A400" t="s">
        <v>1030</v>
      </c>
      <c r="B400" s="9">
        <v>1</v>
      </c>
      <c r="C400" s="13">
        <v>0</v>
      </c>
      <c r="D400" s="13">
        <v>0.9</v>
      </c>
      <c r="E400" s="9" t="s">
        <v>1241</v>
      </c>
      <c r="F400">
        <v>486</v>
      </c>
      <c r="G400" s="11">
        <v>1.3203215998549948E-3</v>
      </c>
      <c r="H400" s="12">
        <v>0.68277602638646862</v>
      </c>
      <c r="I400" t="s">
        <v>1240</v>
      </c>
      <c r="J400">
        <v>6</v>
      </c>
      <c r="K400" s="11">
        <f t="shared" si="36"/>
        <v>6.2155775398998981E-4</v>
      </c>
      <c r="L400" s="12">
        <f t="shared" si="41"/>
        <v>0.76656717799584906</v>
      </c>
      <c r="M400" t="str">
        <f t="shared" si="37"/>
        <v>A</v>
      </c>
      <c r="N400" t="str">
        <f t="shared" si="38"/>
        <v>BAA</v>
      </c>
      <c r="O400" s="11">
        <f>VLOOKUP(A400,XYZ!A399:G1202,2,FALSE)</f>
        <v>2.2360679774997894</v>
      </c>
      <c r="P400" t="str">
        <f t="shared" si="39"/>
        <v>Z</v>
      </c>
      <c r="Q400" t="str">
        <f t="shared" si="40"/>
        <v>BAAZ</v>
      </c>
    </row>
    <row r="401" spans="1:17" x14ac:dyDescent="0.15">
      <c r="A401" t="s">
        <v>747</v>
      </c>
      <c r="B401" s="9">
        <v>1</v>
      </c>
      <c r="C401" s="13">
        <v>0</v>
      </c>
      <c r="D401" s="13">
        <v>0.83</v>
      </c>
      <c r="E401" s="9" t="s">
        <v>1241</v>
      </c>
      <c r="F401">
        <v>473</v>
      </c>
      <c r="G401" s="11">
        <v>1.2850043554144292E-3</v>
      </c>
      <c r="H401" s="12">
        <v>0.68923908211909202</v>
      </c>
      <c r="I401" t="s">
        <v>1240</v>
      </c>
      <c r="J401">
        <v>6</v>
      </c>
      <c r="K401" s="11">
        <f t="shared" si="36"/>
        <v>6.2155775398998981E-4</v>
      </c>
      <c r="L401" s="12">
        <f t="shared" si="41"/>
        <v>0.76718873574983903</v>
      </c>
      <c r="M401" t="str">
        <f t="shared" si="37"/>
        <v>A</v>
      </c>
      <c r="N401" t="str">
        <f t="shared" si="38"/>
        <v>BAA</v>
      </c>
      <c r="O401" s="11">
        <f>VLOOKUP(A401,XYZ!A400:G1203,2,FALSE)</f>
        <v>2.2360679774997894</v>
      </c>
      <c r="P401" t="str">
        <f t="shared" si="39"/>
        <v>Z</v>
      </c>
      <c r="Q401" t="str">
        <f t="shared" si="40"/>
        <v>BAAZ</v>
      </c>
    </row>
    <row r="402" spans="1:17" x14ac:dyDescent="0.15">
      <c r="A402" t="s">
        <v>1209</v>
      </c>
      <c r="B402" s="9">
        <v>1</v>
      </c>
      <c r="C402" s="13">
        <v>0</v>
      </c>
      <c r="D402" s="13">
        <v>0.91</v>
      </c>
      <c r="E402" s="9" t="s">
        <v>1241</v>
      </c>
      <c r="F402">
        <v>472</v>
      </c>
      <c r="G402" s="11">
        <v>1.2822876443036165E-3</v>
      </c>
      <c r="H402" s="12">
        <v>0.69052136976339562</v>
      </c>
      <c r="I402" t="s">
        <v>1240</v>
      </c>
      <c r="J402">
        <v>6</v>
      </c>
      <c r="K402" s="11">
        <f t="shared" si="36"/>
        <v>6.2155775398998981E-4</v>
      </c>
      <c r="L402" s="12">
        <f t="shared" si="41"/>
        <v>0.76781029350382901</v>
      </c>
      <c r="M402" t="str">
        <f t="shared" si="37"/>
        <v>A</v>
      </c>
      <c r="N402" t="str">
        <f t="shared" si="38"/>
        <v>BAA</v>
      </c>
      <c r="O402" s="11">
        <f>VLOOKUP(A402,XYZ!A401:G1204,2,FALSE)</f>
        <v>2.2360679774997894</v>
      </c>
      <c r="P402" t="str">
        <f t="shared" si="39"/>
        <v>Z</v>
      </c>
      <c r="Q402" t="str">
        <f t="shared" si="40"/>
        <v>BAAZ</v>
      </c>
    </row>
    <row r="403" spans="1:17" x14ac:dyDescent="0.15">
      <c r="A403" t="s">
        <v>838</v>
      </c>
      <c r="B403" s="9">
        <v>1</v>
      </c>
      <c r="C403" s="13">
        <v>0</v>
      </c>
      <c r="D403" s="13">
        <v>0.72</v>
      </c>
      <c r="E403" s="9" t="s">
        <v>1240</v>
      </c>
      <c r="F403">
        <v>470</v>
      </c>
      <c r="G403" s="11">
        <v>1.276854222081991E-3</v>
      </c>
      <c r="H403" s="12">
        <v>0.69179822398547763</v>
      </c>
      <c r="I403" t="s">
        <v>1240</v>
      </c>
      <c r="J403">
        <v>6</v>
      </c>
      <c r="K403" s="11">
        <f t="shared" si="36"/>
        <v>6.2155775398998981E-4</v>
      </c>
      <c r="L403" s="12">
        <f t="shared" si="41"/>
        <v>0.76843185125781899</v>
      </c>
      <c r="M403" t="str">
        <f t="shared" si="37"/>
        <v>A</v>
      </c>
      <c r="N403" t="str">
        <f t="shared" si="38"/>
        <v>AAA</v>
      </c>
      <c r="O403" s="11">
        <f>VLOOKUP(A403,XYZ!A402:G1205,2,FALSE)</f>
        <v>2.2360679774997894</v>
      </c>
      <c r="P403" t="str">
        <f t="shared" si="39"/>
        <v>Z</v>
      </c>
      <c r="Q403" t="str">
        <f t="shared" si="40"/>
        <v>AAAZ</v>
      </c>
    </row>
    <row r="404" spans="1:17" x14ac:dyDescent="0.15">
      <c r="A404" t="s">
        <v>1187</v>
      </c>
      <c r="B404" s="9">
        <v>1</v>
      </c>
      <c r="C404" s="13">
        <v>0</v>
      </c>
      <c r="D404" s="13">
        <v>0.99</v>
      </c>
      <c r="E404" s="9" t="s">
        <v>1242</v>
      </c>
      <c r="F404">
        <v>470</v>
      </c>
      <c r="G404" s="11">
        <v>1.276854222081991E-3</v>
      </c>
      <c r="H404" s="12">
        <v>0.69307507820755965</v>
      </c>
      <c r="I404" t="s">
        <v>1240</v>
      </c>
      <c r="J404">
        <v>6</v>
      </c>
      <c r="K404" s="11">
        <f t="shared" si="36"/>
        <v>6.2155775398998981E-4</v>
      </c>
      <c r="L404" s="12">
        <f t="shared" si="41"/>
        <v>0.76905340901180896</v>
      </c>
      <c r="M404" t="str">
        <f t="shared" si="37"/>
        <v>A</v>
      </c>
      <c r="N404" t="str">
        <f t="shared" si="38"/>
        <v>CAA</v>
      </c>
      <c r="O404" s="11">
        <f>VLOOKUP(A404,XYZ!A403:G1206,2,FALSE)</f>
        <v>2.2360679774997894</v>
      </c>
      <c r="P404" t="str">
        <f t="shared" si="39"/>
        <v>Z</v>
      </c>
      <c r="Q404" t="str">
        <f t="shared" si="40"/>
        <v>CAAZ</v>
      </c>
    </row>
    <row r="405" spans="1:17" x14ac:dyDescent="0.15">
      <c r="A405" t="s">
        <v>790</v>
      </c>
      <c r="B405" s="9">
        <v>1</v>
      </c>
      <c r="C405" s="13">
        <v>0</v>
      </c>
      <c r="D405" s="13">
        <v>0.93</v>
      </c>
      <c r="E405" s="9" t="s">
        <v>1241</v>
      </c>
      <c r="F405">
        <v>468</v>
      </c>
      <c r="G405" s="11">
        <v>1.2714207998603655E-3</v>
      </c>
      <c r="H405" s="12">
        <v>0.69688934060714058</v>
      </c>
      <c r="I405" t="s">
        <v>1240</v>
      </c>
      <c r="J405">
        <v>6</v>
      </c>
      <c r="K405" s="11">
        <f t="shared" si="36"/>
        <v>6.2155775398998981E-4</v>
      </c>
      <c r="L405" s="12">
        <f t="shared" si="41"/>
        <v>0.76967496676579894</v>
      </c>
      <c r="M405" t="str">
        <f t="shared" si="37"/>
        <v>A</v>
      </c>
      <c r="N405" t="str">
        <f t="shared" si="38"/>
        <v>BAA</v>
      </c>
      <c r="O405" s="11">
        <f>VLOOKUP(A405,XYZ!A404:G1207,2,FALSE)</f>
        <v>2.2360679774997894</v>
      </c>
      <c r="P405" t="str">
        <f t="shared" si="39"/>
        <v>Z</v>
      </c>
      <c r="Q405" t="str">
        <f t="shared" si="40"/>
        <v>BAAZ</v>
      </c>
    </row>
    <row r="406" spans="1:17" x14ac:dyDescent="0.15">
      <c r="A406" t="s">
        <v>245</v>
      </c>
      <c r="B406" s="9">
        <v>1</v>
      </c>
      <c r="C406" s="13">
        <v>0</v>
      </c>
      <c r="D406" s="13">
        <v>0.77</v>
      </c>
      <c r="E406" s="9" t="s">
        <v>1240</v>
      </c>
      <c r="F406">
        <v>463</v>
      </c>
      <c r="G406" s="11">
        <v>1.2578372443063017E-3</v>
      </c>
      <c r="H406" s="12">
        <v>0.70067643589561357</v>
      </c>
      <c r="I406" t="s">
        <v>1240</v>
      </c>
      <c r="J406">
        <v>6</v>
      </c>
      <c r="K406" s="11">
        <f t="shared" si="36"/>
        <v>6.2155775398998981E-4</v>
      </c>
      <c r="L406" s="12">
        <f t="shared" si="41"/>
        <v>0.77029652451978892</v>
      </c>
      <c r="M406" t="str">
        <f t="shared" si="37"/>
        <v>A</v>
      </c>
      <c r="N406" t="str">
        <f t="shared" si="38"/>
        <v>AAA</v>
      </c>
      <c r="O406" s="11">
        <f>VLOOKUP(A406,XYZ!A405:G1208,2,FALSE)</f>
        <v>2.2360679774997894</v>
      </c>
      <c r="P406" t="str">
        <f t="shared" si="39"/>
        <v>Z</v>
      </c>
      <c r="Q406" t="str">
        <f t="shared" si="40"/>
        <v>AAAZ</v>
      </c>
    </row>
    <row r="407" spans="1:17" x14ac:dyDescent="0.15">
      <c r="A407" t="s">
        <v>351</v>
      </c>
      <c r="B407" s="9">
        <v>1</v>
      </c>
      <c r="C407" s="13">
        <v>0</v>
      </c>
      <c r="D407" s="13">
        <v>0.94</v>
      </c>
      <c r="E407" s="9" t="s">
        <v>1241</v>
      </c>
      <c r="F407">
        <v>458</v>
      </c>
      <c r="G407" s="11">
        <v>1.244253688752238E-3</v>
      </c>
      <c r="H407" s="12">
        <v>0.70192068958436582</v>
      </c>
      <c r="I407" t="s">
        <v>1240</v>
      </c>
      <c r="J407">
        <v>6</v>
      </c>
      <c r="K407" s="11">
        <f t="shared" si="36"/>
        <v>6.2155775398998981E-4</v>
      </c>
      <c r="L407" s="12">
        <f t="shared" si="41"/>
        <v>0.77091808227377889</v>
      </c>
      <c r="M407" t="str">
        <f t="shared" si="37"/>
        <v>A</v>
      </c>
      <c r="N407" t="str">
        <f t="shared" si="38"/>
        <v>BAA</v>
      </c>
      <c r="O407" s="11">
        <f>VLOOKUP(A407,XYZ!A406:G1209,2,FALSE)</f>
        <v>2.2360679774997894</v>
      </c>
      <c r="P407" t="str">
        <f t="shared" si="39"/>
        <v>Z</v>
      </c>
      <c r="Q407" t="str">
        <f t="shared" si="40"/>
        <v>BAAZ</v>
      </c>
    </row>
    <row r="408" spans="1:17" x14ac:dyDescent="0.15">
      <c r="A408" t="s">
        <v>240</v>
      </c>
      <c r="B408" s="9">
        <v>1</v>
      </c>
      <c r="C408" s="13">
        <v>0</v>
      </c>
      <c r="D408" s="13">
        <v>0.92</v>
      </c>
      <c r="E408" s="9" t="s">
        <v>1241</v>
      </c>
      <c r="F408">
        <v>450</v>
      </c>
      <c r="G408" s="11">
        <v>1.222519999865736E-3</v>
      </c>
      <c r="H408" s="12">
        <v>0.70559368300618475</v>
      </c>
      <c r="I408" t="s">
        <v>1240</v>
      </c>
      <c r="J408">
        <v>6</v>
      </c>
      <c r="K408" s="11">
        <f t="shared" si="36"/>
        <v>6.2155775398998981E-4</v>
      </c>
      <c r="L408" s="12">
        <f t="shared" si="41"/>
        <v>0.77153964002776887</v>
      </c>
      <c r="M408" t="str">
        <f t="shared" si="37"/>
        <v>A</v>
      </c>
      <c r="N408" t="str">
        <f t="shared" si="38"/>
        <v>BAA</v>
      </c>
      <c r="O408" s="11">
        <f>VLOOKUP(A408,XYZ!A407:G1210,2,FALSE)</f>
        <v>2.2360679774997894</v>
      </c>
      <c r="P408" t="str">
        <f t="shared" si="39"/>
        <v>Z</v>
      </c>
      <c r="Q408" t="str">
        <f t="shared" si="40"/>
        <v>BAAZ</v>
      </c>
    </row>
    <row r="409" spans="1:17" x14ac:dyDescent="0.15">
      <c r="A409" t="s">
        <v>907</v>
      </c>
      <c r="B409" s="9">
        <v>1</v>
      </c>
      <c r="C409" s="13">
        <v>0</v>
      </c>
      <c r="D409" s="13">
        <v>0.83</v>
      </c>
      <c r="E409" s="9" t="s">
        <v>1241</v>
      </c>
      <c r="F409">
        <v>449</v>
      </c>
      <c r="G409" s="11">
        <v>1.2198032887549232E-3</v>
      </c>
      <c r="H409" s="12">
        <v>0.70681348629493967</v>
      </c>
      <c r="I409" t="s">
        <v>1240</v>
      </c>
      <c r="J409">
        <v>6</v>
      </c>
      <c r="K409" s="11">
        <f t="shared" si="36"/>
        <v>6.2155775398998981E-4</v>
      </c>
      <c r="L409" s="12">
        <f t="shared" si="41"/>
        <v>0.77216119778175885</v>
      </c>
      <c r="M409" t="str">
        <f t="shared" si="37"/>
        <v>A</v>
      </c>
      <c r="N409" t="str">
        <f t="shared" si="38"/>
        <v>BAA</v>
      </c>
      <c r="O409" s="11">
        <f>VLOOKUP(A409,XYZ!A408:G1211,2,FALSE)</f>
        <v>2.2360679774997894</v>
      </c>
      <c r="P409" t="str">
        <f t="shared" si="39"/>
        <v>Z</v>
      </c>
      <c r="Q409" t="str">
        <f t="shared" si="40"/>
        <v>BAAZ</v>
      </c>
    </row>
    <row r="410" spans="1:17" x14ac:dyDescent="0.15">
      <c r="A410" t="s">
        <v>1016</v>
      </c>
      <c r="B410" s="9">
        <v>1</v>
      </c>
      <c r="C410" s="13">
        <v>0</v>
      </c>
      <c r="D410" s="13">
        <v>0.89</v>
      </c>
      <c r="E410" s="9" t="s">
        <v>1241</v>
      </c>
      <c r="F410">
        <v>449</v>
      </c>
      <c r="G410" s="11">
        <v>1.2198032887549232E-3</v>
      </c>
      <c r="H410" s="12">
        <v>0.7080332895836946</v>
      </c>
      <c r="I410" t="s">
        <v>1240</v>
      </c>
      <c r="J410">
        <v>6</v>
      </c>
      <c r="K410" s="11">
        <f t="shared" si="36"/>
        <v>6.2155775398998981E-4</v>
      </c>
      <c r="L410" s="12">
        <f t="shared" si="41"/>
        <v>0.77278275553574882</v>
      </c>
      <c r="M410" t="str">
        <f t="shared" si="37"/>
        <v>A</v>
      </c>
      <c r="N410" t="str">
        <f t="shared" si="38"/>
        <v>BAA</v>
      </c>
      <c r="O410" s="11">
        <f>VLOOKUP(A410,XYZ!A409:G1212,2,FALSE)</f>
        <v>2.2360679774997894</v>
      </c>
      <c r="P410" t="str">
        <f t="shared" si="39"/>
        <v>Z</v>
      </c>
      <c r="Q410" t="str">
        <f t="shared" si="40"/>
        <v>BAAZ</v>
      </c>
    </row>
    <row r="411" spans="1:17" x14ac:dyDescent="0.15">
      <c r="A411" t="s">
        <v>527</v>
      </c>
      <c r="B411" s="9">
        <v>1</v>
      </c>
      <c r="C411" s="13">
        <v>0</v>
      </c>
      <c r="D411" s="13">
        <v>0.71</v>
      </c>
      <c r="E411" s="9" t="s">
        <v>1240</v>
      </c>
      <c r="F411">
        <v>448</v>
      </c>
      <c r="G411" s="11">
        <v>1.2170865776441105E-3</v>
      </c>
      <c r="H411" s="12">
        <v>0.70925037616133868</v>
      </c>
      <c r="I411" t="s">
        <v>1240</v>
      </c>
      <c r="J411">
        <v>6</v>
      </c>
      <c r="K411" s="11">
        <f t="shared" si="36"/>
        <v>6.2155775398998981E-4</v>
      </c>
      <c r="L411" s="12">
        <f t="shared" si="41"/>
        <v>0.7734043132897388</v>
      </c>
      <c r="M411" t="str">
        <f t="shared" si="37"/>
        <v>A</v>
      </c>
      <c r="N411" t="str">
        <f t="shared" si="38"/>
        <v>AAA</v>
      </c>
      <c r="O411" s="11">
        <f>VLOOKUP(A411,XYZ!A410:G1213,2,FALSE)</f>
        <v>2.2360679774997894</v>
      </c>
      <c r="P411" t="str">
        <f t="shared" si="39"/>
        <v>Z</v>
      </c>
      <c r="Q411" t="str">
        <f t="shared" si="40"/>
        <v>AAAZ</v>
      </c>
    </row>
    <row r="412" spans="1:17" x14ac:dyDescent="0.15">
      <c r="A412" t="s">
        <v>906</v>
      </c>
      <c r="B412" s="9">
        <v>1</v>
      </c>
      <c r="C412" s="13">
        <v>0</v>
      </c>
      <c r="D412" s="13">
        <v>0.96</v>
      </c>
      <c r="E412" s="9" t="s">
        <v>1242</v>
      </c>
      <c r="F412">
        <v>448</v>
      </c>
      <c r="G412" s="11">
        <v>1.2170865776441105E-3</v>
      </c>
      <c r="H412" s="12">
        <v>0.71046746273898276</v>
      </c>
      <c r="I412" t="s">
        <v>1240</v>
      </c>
      <c r="J412">
        <v>6</v>
      </c>
      <c r="K412" s="11">
        <f t="shared" si="36"/>
        <v>6.2155775398998981E-4</v>
      </c>
      <c r="L412" s="12">
        <f t="shared" si="41"/>
        <v>0.77402587104372877</v>
      </c>
      <c r="M412" t="str">
        <f t="shared" si="37"/>
        <v>A</v>
      </c>
      <c r="N412" t="str">
        <f t="shared" si="38"/>
        <v>CAA</v>
      </c>
      <c r="O412" s="11">
        <f>VLOOKUP(A412,XYZ!A411:G1214,2,FALSE)</f>
        <v>2.2360679774997894</v>
      </c>
      <c r="P412" t="str">
        <f t="shared" si="39"/>
        <v>Z</v>
      </c>
      <c r="Q412" t="str">
        <f t="shared" si="40"/>
        <v>CAAZ</v>
      </c>
    </row>
    <row r="413" spans="1:17" x14ac:dyDescent="0.15">
      <c r="A413" t="s">
        <v>760</v>
      </c>
      <c r="B413" s="9">
        <v>1</v>
      </c>
      <c r="C413" s="13">
        <v>0</v>
      </c>
      <c r="D413" s="13">
        <v>0.93</v>
      </c>
      <c r="E413" s="9" t="s">
        <v>1241</v>
      </c>
      <c r="F413">
        <v>447</v>
      </c>
      <c r="G413" s="11">
        <v>1.2143698665332977E-3</v>
      </c>
      <c r="H413" s="12">
        <v>0.71289620247204943</v>
      </c>
      <c r="I413" t="s">
        <v>1240</v>
      </c>
      <c r="J413">
        <v>6</v>
      </c>
      <c r="K413" s="11">
        <f t="shared" si="36"/>
        <v>6.2155775398998981E-4</v>
      </c>
      <c r="L413" s="12">
        <f t="shared" si="41"/>
        <v>0.77464742879771875</v>
      </c>
      <c r="M413" t="str">
        <f t="shared" si="37"/>
        <v>A</v>
      </c>
      <c r="N413" t="str">
        <f t="shared" si="38"/>
        <v>BAA</v>
      </c>
      <c r="O413" s="11">
        <f>VLOOKUP(A413,XYZ!A412:G1215,2,FALSE)</f>
        <v>2.2360679774997894</v>
      </c>
      <c r="P413" t="str">
        <f t="shared" si="39"/>
        <v>Z</v>
      </c>
      <c r="Q413" t="str">
        <f t="shared" si="40"/>
        <v>BAAZ</v>
      </c>
    </row>
    <row r="414" spans="1:17" x14ac:dyDescent="0.15">
      <c r="A414" t="s">
        <v>630</v>
      </c>
      <c r="B414" s="9">
        <v>1</v>
      </c>
      <c r="C414" s="13">
        <v>0</v>
      </c>
      <c r="D414" s="13">
        <v>0.91</v>
      </c>
      <c r="E414" s="9" t="s">
        <v>1241</v>
      </c>
      <c r="F414">
        <v>446</v>
      </c>
      <c r="G414" s="11">
        <v>1.211653155422485E-3</v>
      </c>
      <c r="H414" s="12">
        <v>0.71410785562747192</v>
      </c>
      <c r="I414" t="s">
        <v>1240</v>
      </c>
      <c r="J414">
        <v>6</v>
      </c>
      <c r="K414" s="11">
        <f t="shared" si="36"/>
        <v>6.2155775398998981E-4</v>
      </c>
      <c r="L414" s="12">
        <f t="shared" si="41"/>
        <v>0.77526898655170873</v>
      </c>
      <c r="M414" t="str">
        <f t="shared" si="37"/>
        <v>A</v>
      </c>
      <c r="N414" t="str">
        <f t="shared" si="38"/>
        <v>BAA</v>
      </c>
      <c r="O414" s="11">
        <f>VLOOKUP(A414,XYZ!A413:G1216,2,FALSE)</f>
        <v>2.2360679774997894</v>
      </c>
      <c r="P414" t="str">
        <f t="shared" si="39"/>
        <v>Z</v>
      </c>
      <c r="Q414" t="str">
        <f t="shared" si="40"/>
        <v>BAAZ</v>
      </c>
    </row>
    <row r="415" spans="1:17" x14ac:dyDescent="0.15">
      <c r="A415" t="s">
        <v>1147</v>
      </c>
      <c r="B415" s="9">
        <v>1</v>
      </c>
      <c r="C415" s="13">
        <v>0</v>
      </c>
      <c r="D415" s="13">
        <v>0.89</v>
      </c>
      <c r="E415" s="9" t="s">
        <v>1241</v>
      </c>
      <c r="F415">
        <v>445</v>
      </c>
      <c r="G415" s="11">
        <v>1.2089364443116724E-3</v>
      </c>
      <c r="H415" s="12">
        <v>0.71531679207178356</v>
      </c>
      <c r="I415" t="s">
        <v>1240</v>
      </c>
      <c r="J415">
        <v>6</v>
      </c>
      <c r="K415" s="11">
        <f t="shared" si="36"/>
        <v>6.2155775398998981E-4</v>
      </c>
      <c r="L415" s="12">
        <f t="shared" si="41"/>
        <v>0.7758905443056987</v>
      </c>
      <c r="M415" t="str">
        <f t="shared" si="37"/>
        <v>A</v>
      </c>
      <c r="N415" t="str">
        <f t="shared" si="38"/>
        <v>BAA</v>
      </c>
      <c r="O415" s="11">
        <f>VLOOKUP(A415,XYZ!A414:G1217,2,FALSE)</f>
        <v>2.2360679774997894</v>
      </c>
      <c r="P415" t="str">
        <f t="shared" si="39"/>
        <v>Z</v>
      </c>
      <c r="Q415" t="str">
        <f t="shared" si="40"/>
        <v>BAAZ</v>
      </c>
    </row>
    <row r="416" spans="1:17" x14ac:dyDescent="0.15">
      <c r="A416" t="s">
        <v>298</v>
      </c>
      <c r="B416" s="9">
        <v>1</v>
      </c>
      <c r="C416" s="13">
        <v>0</v>
      </c>
      <c r="D416" s="13">
        <v>0.96</v>
      </c>
      <c r="E416" s="9" t="s">
        <v>1242</v>
      </c>
      <c r="F416">
        <v>441</v>
      </c>
      <c r="G416" s="11">
        <v>1.1980695998684214E-3</v>
      </c>
      <c r="H416" s="12">
        <v>0.71772108140485291</v>
      </c>
      <c r="I416" t="s">
        <v>1240</v>
      </c>
      <c r="J416">
        <v>6</v>
      </c>
      <c r="K416" s="11">
        <f t="shared" si="36"/>
        <v>6.2155775398998981E-4</v>
      </c>
      <c r="L416" s="12">
        <f t="shared" si="41"/>
        <v>0.77651210205968868</v>
      </c>
      <c r="M416" t="str">
        <f t="shared" si="37"/>
        <v>A</v>
      </c>
      <c r="N416" t="str">
        <f t="shared" si="38"/>
        <v>CAA</v>
      </c>
      <c r="O416" s="11">
        <f>VLOOKUP(A416,XYZ!A415:G1218,2,FALSE)</f>
        <v>2.2360679774997894</v>
      </c>
      <c r="P416" t="str">
        <f t="shared" si="39"/>
        <v>Z</v>
      </c>
      <c r="Q416" t="str">
        <f t="shared" si="40"/>
        <v>CAAZ</v>
      </c>
    </row>
    <row r="417" spans="1:17" x14ac:dyDescent="0.15">
      <c r="A417" t="s">
        <v>1050</v>
      </c>
      <c r="B417" s="9">
        <v>1</v>
      </c>
      <c r="C417" s="13">
        <v>0</v>
      </c>
      <c r="D417" s="13">
        <v>0.99</v>
      </c>
      <c r="E417" s="9" t="s">
        <v>1242</v>
      </c>
      <c r="F417">
        <v>439</v>
      </c>
      <c r="G417" s="11">
        <v>1.1926361776467959E-3</v>
      </c>
      <c r="H417" s="12">
        <v>0.72010635376014642</v>
      </c>
      <c r="I417" t="s">
        <v>1240</v>
      </c>
      <c r="J417">
        <v>6</v>
      </c>
      <c r="K417" s="11">
        <f t="shared" si="36"/>
        <v>6.2155775398998981E-4</v>
      </c>
      <c r="L417" s="12">
        <f t="shared" si="41"/>
        <v>0.77713365981367866</v>
      </c>
      <c r="M417" t="str">
        <f t="shared" si="37"/>
        <v>A</v>
      </c>
      <c r="N417" t="str">
        <f t="shared" si="38"/>
        <v>CAA</v>
      </c>
      <c r="O417" s="11">
        <f>VLOOKUP(A417,XYZ!A416:G1219,2,FALSE)</f>
        <v>2.2360679774997894</v>
      </c>
      <c r="P417" t="str">
        <f t="shared" si="39"/>
        <v>Z</v>
      </c>
      <c r="Q417" t="str">
        <f t="shared" si="40"/>
        <v>CAAZ</v>
      </c>
    </row>
    <row r="418" spans="1:17" x14ac:dyDescent="0.15">
      <c r="A418" t="s">
        <v>523</v>
      </c>
      <c r="B418" s="9">
        <v>1</v>
      </c>
      <c r="C418" s="13">
        <v>0</v>
      </c>
      <c r="D418" s="13">
        <v>0.87</v>
      </c>
      <c r="E418" s="9" t="s">
        <v>1241</v>
      </c>
      <c r="F418">
        <v>438</v>
      </c>
      <c r="G418" s="11">
        <v>1.189919466535983E-3</v>
      </c>
      <c r="H418" s="12">
        <v>0.72248619269321845</v>
      </c>
      <c r="I418" t="s">
        <v>1240</v>
      </c>
      <c r="J418">
        <v>6</v>
      </c>
      <c r="K418" s="11">
        <f t="shared" si="36"/>
        <v>6.2155775398998981E-4</v>
      </c>
      <c r="L418" s="12">
        <f t="shared" si="41"/>
        <v>0.77775521756766863</v>
      </c>
      <c r="M418" t="str">
        <f t="shared" si="37"/>
        <v>A</v>
      </c>
      <c r="N418" t="str">
        <f t="shared" si="38"/>
        <v>BAA</v>
      </c>
      <c r="O418" s="11">
        <f>VLOOKUP(A418,XYZ!A417:G1220,2,FALSE)</f>
        <v>2.2360679774997894</v>
      </c>
      <c r="P418" t="str">
        <f t="shared" si="39"/>
        <v>Z</v>
      </c>
      <c r="Q418" t="str">
        <f t="shared" si="40"/>
        <v>BAAZ</v>
      </c>
    </row>
    <row r="419" spans="1:17" x14ac:dyDescent="0.15">
      <c r="A419" t="s">
        <v>601</v>
      </c>
      <c r="B419" s="9">
        <v>1</v>
      </c>
      <c r="C419" s="13">
        <v>0</v>
      </c>
      <c r="D419" s="13">
        <v>0.77</v>
      </c>
      <c r="E419" s="9" t="s">
        <v>1240</v>
      </c>
      <c r="F419">
        <v>436</v>
      </c>
      <c r="G419" s="11">
        <v>1.1844860443143575E-3</v>
      </c>
      <c r="H419" s="12">
        <v>0.72367067873753277</v>
      </c>
      <c r="I419" t="s">
        <v>1240</v>
      </c>
      <c r="J419">
        <v>6</v>
      </c>
      <c r="K419" s="11">
        <f t="shared" si="36"/>
        <v>6.2155775398998981E-4</v>
      </c>
      <c r="L419" s="12">
        <f t="shared" si="41"/>
        <v>0.77837677532165861</v>
      </c>
      <c r="M419" t="str">
        <f t="shared" si="37"/>
        <v>A</v>
      </c>
      <c r="N419" t="str">
        <f t="shared" si="38"/>
        <v>AAA</v>
      </c>
      <c r="O419" s="11">
        <f>VLOOKUP(A419,XYZ!A418:G1221,2,FALSE)</f>
        <v>2.2360679774997894</v>
      </c>
      <c r="P419" t="str">
        <f t="shared" si="39"/>
        <v>Z</v>
      </c>
      <c r="Q419" t="str">
        <f t="shared" si="40"/>
        <v>AAAZ</v>
      </c>
    </row>
    <row r="420" spans="1:17" x14ac:dyDescent="0.15">
      <c r="A420" t="s">
        <v>1057</v>
      </c>
      <c r="B420" s="9">
        <v>1</v>
      </c>
      <c r="C420" s="13">
        <v>0</v>
      </c>
      <c r="D420" s="13">
        <v>0.95</v>
      </c>
      <c r="E420" s="9" t="s">
        <v>1242</v>
      </c>
      <c r="F420">
        <v>432</v>
      </c>
      <c r="G420" s="11">
        <v>1.1736191998711065E-3</v>
      </c>
      <c r="H420" s="12">
        <v>0.72837330567034975</v>
      </c>
      <c r="I420" t="s">
        <v>1240</v>
      </c>
      <c r="J420">
        <v>6</v>
      </c>
      <c r="K420" s="11">
        <f t="shared" si="36"/>
        <v>6.2155775398998981E-4</v>
      </c>
      <c r="L420" s="12">
        <f t="shared" si="41"/>
        <v>0.77899833307564859</v>
      </c>
      <c r="M420" t="str">
        <f t="shared" si="37"/>
        <v>A</v>
      </c>
      <c r="N420" t="str">
        <f t="shared" si="38"/>
        <v>CAA</v>
      </c>
      <c r="O420" s="11">
        <f>VLOOKUP(A420,XYZ!A419:G1222,2,FALSE)</f>
        <v>2.2360679774997894</v>
      </c>
      <c r="P420" t="str">
        <f t="shared" si="39"/>
        <v>Z</v>
      </c>
      <c r="Q420" t="str">
        <f t="shared" si="40"/>
        <v>CAAZ</v>
      </c>
    </row>
    <row r="421" spans="1:17" x14ac:dyDescent="0.15">
      <c r="A421" t="s">
        <v>772</v>
      </c>
      <c r="B421" s="9">
        <v>1</v>
      </c>
      <c r="C421" s="13">
        <v>0</v>
      </c>
      <c r="D421" s="13">
        <v>0.81</v>
      </c>
      <c r="E421" s="9" t="s">
        <v>1241</v>
      </c>
      <c r="F421">
        <v>431</v>
      </c>
      <c r="G421" s="11">
        <v>1.1709024887602939E-3</v>
      </c>
      <c r="H421" s="12">
        <v>0.72954420815911003</v>
      </c>
      <c r="I421" t="s">
        <v>1240</v>
      </c>
      <c r="J421">
        <v>6</v>
      </c>
      <c r="K421" s="11">
        <f t="shared" si="36"/>
        <v>6.2155775398998981E-4</v>
      </c>
      <c r="L421" s="12">
        <f t="shared" si="41"/>
        <v>0.77961989082963856</v>
      </c>
      <c r="M421" t="str">
        <f t="shared" si="37"/>
        <v>A</v>
      </c>
      <c r="N421" t="str">
        <f t="shared" si="38"/>
        <v>BAA</v>
      </c>
      <c r="O421" s="11">
        <f>VLOOKUP(A421,XYZ!A420:G1223,2,FALSE)</f>
        <v>2.2360679774997894</v>
      </c>
      <c r="P421" t="str">
        <f t="shared" si="39"/>
        <v>Z</v>
      </c>
      <c r="Q421" t="str">
        <f t="shared" si="40"/>
        <v>BAAZ</v>
      </c>
    </row>
    <row r="422" spans="1:17" x14ac:dyDescent="0.15">
      <c r="A422" t="s">
        <v>1148</v>
      </c>
      <c r="B422" s="9">
        <v>1</v>
      </c>
      <c r="C422" s="13">
        <v>0</v>
      </c>
      <c r="D422" s="13">
        <v>0.83</v>
      </c>
      <c r="E422" s="9" t="s">
        <v>1241</v>
      </c>
      <c r="F422">
        <v>431</v>
      </c>
      <c r="G422" s="11">
        <v>1.1709024887602939E-3</v>
      </c>
      <c r="H422" s="12">
        <v>0.73071511064787031</v>
      </c>
      <c r="I422" t="s">
        <v>1240</v>
      </c>
      <c r="J422">
        <v>6</v>
      </c>
      <c r="K422" s="11">
        <f t="shared" si="36"/>
        <v>6.2155775398998981E-4</v>
      </c>
      <c r="L422" s="12">
        <f t="shared" si="41"/>
        <v>0.78024144858362854</v>
      </c>
      <c r="M422" t="str">
        <f t="shared" si="37"/>
        <v>A</v>
      </c>
      <c r="N422" t="str">
        <f t="shared" si="38"/>
        <v>BAA</v>
      </c>
      <c r="O422" s="11">
        <f>VLOOKUP(A422,XYZ!A421:G1224,2,FALSE)</f>
        <v>2.2360679774997894</v>
      </c>
      <c r="P422" t="str">
        <f t="shared" si="39"/>
        <v>Z</v>
      </c>
      <c r="Q422" t="str">
        <f t="shared" si="40"/>
        <v>BAAZ</v>
      </c>
    </row>
    <row r="423" spans="1:17" x14ac:dyDescent="0.15">
      <c r="A423" t="s">
        <v>1164</v>
      </c>
      <c r="B423" s="9">
        <v>1</v>
      </c>
      <c r="C423" s="13">
        <v>0</v>
      </c>
      <c r="D423" s="13">
        <v>0.86</v>
      </c>
      <c r="E423" s="9" t="s">
        <v>1241</v>
      </c>
      <c r="F423">
        <v>428</v>
      </c>
      <c r="G423" s="11">
        <v>1.1627523554278555E-3</v>
      </c>
      <c r="H423" s="12">
        <v>0.73187786300329816</v>
      </c>
      <c r="I423" t="s">
        <v>1240</v>
      </c>
      <c r="J423">
        <v>6</v>
      </c>
      <c r="K423" s="11">
        <f t="shared" si="36"/>
        <v>6.2155775398998981E-4</v>
      </c>
      <c r="L423" s="12">
        <f t="shared" si="41"/>
        <v>0.78086300633761851</v>
      </c>
      <c r="M423" t="str">
        <f t="shared" si="37"/>
        <v>A</v>
      </c>
      <c r="N423" t="str">
        <f t="shared" si="38"/>
        <v>BAA</v>
      </c>
      <c r="O423" s="11">
        <f>VLOOKUP(A423,XYZ!A422:G1225,2,FALSE)</f>
        <v>2.2360679774997894</v>
      </c>
      <c r="P423" t="str">
        <f t="shared" si="39"/>
        <v>Z</v>
      </c>
      <c r="Q423" t="str">
        <f t="shared" si="40"/>
        <v>BAAZ</v>
      </c>
    </row>
    <row r="424" spans="1:17" x14ac:dyDescent="0.15">
      <c r="A424" t="s">
        <v>1023</v>
      </c>
      <c r="B424" s="9">
        <v>1</v>
      </c>
      <c r="C424" s="13">
        <v>0</v>
      </c>
      <c r="D424" s="13">
        <v>0.76</v>
      </c>
      <c r="E424" s="9" t="s">
        <v>1240</v>
      </c>
      <c r="F424">
        <v>426</v>
      </c>
      <c r="G424" s="11">
        <v>1.15731893320623E-3</v>
      </c>
      <c r="H424" s="12">
        <v>0.73303518193650441</v>
      </c>
      <c r="I424" t="s">
        <v>1240</v>
      </c>
      <c r="J424">
        <v>6</v>
      </c>
      <c r="K424" s="11">
        <f t="shared" si="36"/>
        <v>6.2155775398998981E-4</v>
      </c>
      <c r="L424" s="12">
        <f t="shared" si="41"/>
        <v>0.78148456409160849</v>
      </c>
      <c r="M424" t="str">
        <f t="shared" si="37"/>
        <v>A</v>
      </c>
      <c r="N424" t="str">
        <f t="shared" si="38"/>
        <v>AAA</v>
      </c>
      <c r="O424" s="11">
        <f>VLOOKUP(A424,XYZ!A423:G1226,2,FALSE)</f>
        <v>2.2360679774997894</v>
      </c>
      <c r="P424" t="str">
        <f t="shared" si="39"/>
        <v>Z</v>
      </c>
      <c r="Q424" t="str">
        <f t="shared" si="40"/>
        <v>AAAZ</v>
      </c>
    </row>
    <row r="425" spans="1:17" x14ac:dyDescent="0.15">
      <c r="A425" t="s">
        <v>856</v>
      </c>
      <c r="B425" s="9">
        <v>1</v>
      </c>
      <c r="C425" s="13">
        <v>0</v>
      </c>
      <c r="D425" s="13">
        <v>0.73</v>
      </c>
      <c r="E425" s="9" t="s">
        <v>1240</v>
      </c>
      <c r="F425">
        <v>425</v>
      </c>
      <c r="G425" s="11">
        <v>1.1546022220954174E-3</v>
      </c>
      <c r="H425" s="12">
        <v>0.73418978415859981</v>
      </c>
      <c r="I425" t="s">
        <v>1240</v>
      </c>
      <c r="J425">
        <v>6</v>
      </c>
      <c r="K425" s="11">
        <f t="shared" si="36"/>
        <v>6.2155775398998981E-4</v>
      </c>
      <c r="L425" s="12">
        <f t="shared" si="41"/>
        <v>0.78210612184559847</v>
      </c>
      <c r="M425" t="str">
        <f t="shared" si="37"/>
        <v>A</v>
      </c>
      <c r="N425" t="str">
        <f t="shared" si="38"/>
        <v>AAA</v>
      </c>
      <c r="O425" s="11">
        <f>VLOOKUP(A425,XYZ!A424:G1227,2,FALSE)</f>
        <v>2.2360679774997894</v>
      </c>
      <c r="P425" t="str">
        <f t="shared" si="39"/>
        <v>Z</v>
      </c>
      <c r="Q425" t="str">
        <f t="shared" si="40"/>
        <v>AAAZ</v>
      </c>
    </row>
    <row r="426" spans="1:17" x14ac:dyDescent="0.15">
      <c r="A426" t="s">
        <v>655</v>
      </c>
      <c r="B426" s="9">
        <v>1</v>
      </c>
      <c r="C426" s="13">
        <v>0</v>
      </c>
      <c r="D426" s="13">
        <v>0.78</v>
      </c>
      <c r="E426" s="9" t="s">
        <v>1240</v>
      </c>
      <c r="F426">
        <v>425</v>
      </c>
      <c r="G426" s="11">
        <v>1.1546022220954174E-3</v>
      </c>
      <c r="H426" s="12">
        <v>0.73534438638069521</v>
      </c>
      <c r="I426" t="s">
        <v>1240</v>
      </c>
      <c r="J426">
        <v>6</v>
      </c>
      <c r="K426" s="11">
        <f t="shared" si="36"/>
        <v>6.2155775398998981E-4</v>
      </c>
      <c r="L426" s="12">
        <f t="shared" si="41"/>
        <v>0.78272767959958844</v>
      </c>
      <c r="M426" t="str">
        <f t="shared" si="37"/>
        <v>A</v>
      </c>
      <c r="N426" t="str">
        <f t="shared" si="38"/>
        <v>AAA</v>
      </c>
      <c r="O426" s="11">
        <f>VLOOKUP(A426,XYZ!A425:G1228,2,FALSE)</f>
        <v>2.2360679774997894</v>
      </c>
      <c r="P426" t="str">
        <f t="shared" si="39"/>
        <v>Z</v>
      </c>
      <c r="Q426" t="str">
        <f t="shared" si="40"/>
        <v>AAAZ</v>
      </c>
    </row>
    <row r="427" spans="1:17" x14ac:dyDescent="0.15">
      <c r="A427" t="s">
        <v>1128</v>
      </c>
      <c r="B427" s="9">
        <v>1</v>
      </c>
      <c r="C427" s="13">
        <v>0</v>
      </c>
      <c r="D427" s="13">
        <v>0.75</v>
      </c>
      <c r="E427" s="9" t="s">
        <v>1240</v>
      </c>
      <c r="F427">
        <v>423</v>
      </c>
      <c r="G427" s="11">
        <v>1.1491687998737919E-3</v>
      </c>
      <c r="H427" s="12">
        <v>0.73649355518056903</v>
      </c>
      <c r="I427" t="s">
        <v>1240</v>
      </c>
      <c r="J427">
        <v>6</v>
      </c>
      <c r="K427" s="11">
        <f t="shared" si="36"/>
        <v>6.2155775398998981E-4</v>
      </c>
      <c r="L427" s="12">
        <f t="shared" si="41"/>
        <v>0.78334923735357842</v>
      </c>
      <c r="M427" t="str">
        <f t="shared" si="37"/>
        <v>A</v>
      </c>
      <c r="N427" t="str">
        <f t="shared" si="38"/>
        <v>AAA</v>
      </c>
      <c r="O427" s="11">
        <f>VLOOKUP(A427,XYZ!A426:G1229,2,FALSE)</f>
        <v>2.2360679774997894</v>
      </c>
      <c r="P427" t="str">
        <f t="shared" si="39"/>
        <v>Z</v>
      </c>
      <c r="Q427" t="str">
        <f t="shared" si="40"/>
        <v>AAAZ</v>
      </c>
    </row>
    <row r="428" spans="1:17" x14ac:dyDescent="0.15">
      <c r="A428" t="s">
        <v>102</v>
      </c>
      <c r="B428" s="9">
        <v>1</v>
      </c>
      <c r="C428" s="13">
        <v>0</v>
      </c>
      <c r="D428" s="13">
        <v>0.87</v>
      </c>
      <c r="E428" s="9" t="s">
        <v>1241</v>
      </c>
      <c r="F428">
        <v>423</v>
      </c>
      <c r="G428" s="11">
        <v>1.1491687998737919E-3</v>
      </c>
      <c r="H428" s="12">
        <v>0.73764272398044284</v>
      </c>
      <c r="I428" t="s">
        <v>1240</v>
      </c>
      <c r="J428">
        <v>6</v>
      </c>
      <c r="K428" s="11">
        <f t="shared" si="36"/>
        <v>6.2155775398998981E-4</v>
      </c>
      <c r="L428" s="12">
        <f t="shared" si="41"/>
        <v>0.7839707951075684</v>
      </c>
      <c r="M428" t="str">
        <f t="shared" si="37"/>
        <v>A</v>
      </c>
      <c r="N428" t="str">
        <f t="shared" si="38"/>
        <v>BAA</v>
      </c>
      <c r="O428" s="11">
        <f>VLOOKUP(A428,XYZ!A427:G1230,2,FALSE)</f>
        <v>2.2360679774997894</v>
      </c>
      <c r="P428" t="str">
        <f t="shared" si="39"/>
        <v>Z</v>
      </c>
      <c r="Q428" t="str">
        <f t="shared" si="40"/>
        <v>BAAZ</v>
      </c>
    </row>
    <row r="429" spans="1:17" x14ac:dyDescent="0.15">
      <c r="A429" t="s">
        <v>1198</v>
      </c>
      <c r="B429" s="9">
        <v>1</v>
      </c>
      <c r="C429" s="13">
        <v>0</v>
      </c>
      <c r="D429" s="13">
        <v>0.81</v>
      </c>
      <c r="E429" s="9" t="s">
        <v>1241</v>
      </c>
      <c r="F429">
        <v>419</v>
      </c>
      <c r="G429" s="11">
        <v>1.1383019554305409E-3</v>
      </c>
      <c r="H429" s="12">
        <v>0.73878102593587336</v>
      </c>
      <c r="I429" t="s">
        <v>1240</v>
      </c>
      <c r="J429">
        <v>6</v>
      </c>
      <c r="K429" s="11">
        <f t="shared" si="36"/>
        <v>6.2155775398998981E-4</v>
      </c>
      <c r="L429" s="12">
        <f t="shared" si="41"/>
        <v>0.78459235286155837</v>
      </c>
      <c r="M429" t="str">
        <f t="shared" si="37"/>
        <v>A</v>
      </c>
      <c r="N429" t="str">
        <f t="shared" si="38"/>
        <v>BAA</v>
      </c>
      <c r="O429" s="11">
        <f>VLOOKUP(A429,XYZ!A428:G1231,2,FALSE)</f>
        <v>2.2360679774997894</v>
      </c>
      <c r="P429" t="str">
        <f t="shared" si="39"/>
        <v>Z</v>
      </c>
      <c r="Q429" t="str">
        <f t="shared" si="40"/>
        <v>BAAZ</v>
      </c>
    </row>
    <row r="430" spans="1:17" x14ac:dyDescent="0.15">
      <c r="A430" t="s">
        <v>178</v>
      </c>
      <c r="B430" s="9">
        <v>1</v>
      </c>
      <c r="C430" s="13">
        <v>0</v>
      </c>
      <c r="D430" s="13">
        <v>0.9</v>
      </c>
      <c r="E430" s="9" t="s">
        <v>1241</v>
      </c>
      <c r="F430">
        <v>419</v>
      </c>
      <c r="G430" s="11">
        <v>1.1383019554305409E-3</v>
      </c>
      <c r="H430" s="12">
        <v>0.73991932789130388</v>
      </c>
      <c r="I430" t="s">
        <v>1240</v>
      </c>
      <c r="J430">
        <v>6</v>
      </c>
      <c r="K430" s="11">
        <f t="shared" si="36"/>
        <v>6.2155775398998981E-4</v>
      </c>
      <c r="L430" s="12">
        <f t="shared" si="41"/>
        <v>0.78521391061554835</v>
      </c>
      <c r="M430" t="str">
        <f t="shared" si="37"/>
        <v>A</v>
      </c>
      <c r="N430" t="str">
        <f t="shared" si="38"/>
        <v>BAA</v>
      </c>
      <c r="O430" s="11">
        <f>VLOOKUP(A430,XYZ!A429:G1232,2,FALSE)</f>
        <v>2.2360679774997894</v>
      </c>
      <c r="P430" t="str">
        <f t="shared" si="39"/>
        <v>Z</v>
      </c>
      <c r="Q430" t="str">
        <f t="shared" si="40"/>
        <v>BAAZ</v>
      </c>
    </row>
    <row r="431" spans="1:17" x14ac:dyDescent="0.15">
      <c r="A431" t="s">
        <v>409</v>
      </c>
      <c r="B431" s="9">
        <v>1</v>
      </c>
      <c r="C431" s="13">
        <v>0</v>
      </c>
      <c r="D431" s="13">
        <v>0.77</v>
      </c>
      <c r="E431" s="9" t="s">
        <v>1240</v>
      </c>
      <c r="F431">
        <v>418</v>
      </c>
      <c r="G431" s="11">
        <v>1.135585244319728E-3</v>
      </c>
      <c r="H431" s="12">
        <v>0.74105491313562366</v>
      </c>
      <c r="I431" t="s">
        <v>1240</v>
      </c>
      <c r="J431">
        <v>6</v>
      </c>
      <c r="K431" s="11">
        <f t="shared" si="36"/>
        <v>6.2155775398998981E-4</v>
      </c>
      <c r="L431" s="12">
        <f t="shared" si="41"/>
        <v>0.78583546836953833</v>
      </c>
      <c r="M431" t="str">
        <f t="shared" si="37"/>
        <v>A</v>
      </c>
      <c r="N431" t="str">
        <f t="shared" si="38"/>
        <v>AAA</v>
      </c>
      <c r="O431" s="11">
        <f>VLOOKUP(A431,XYZ!A430:G1233,2,FALSE)</f>
        <v>2.2360679774997894</v>
      </c>
      <c r="P431" t="str">
        <f t="shared" si="39"/>
        <v>Z</v>
      </c>
      <c r="Q431" t="str">
        <f t="shared" si="40"/>
        <v>AAAZ</v>
      </c>
    </row>
    <row r="432" spans="1:17" x14ac:dyDescent="0.15">
      <c r="A432" t="s">
        <v>467</v>
      </c>
      <c r="B432" s="9">
        <v>1</v>
      </c>
      <c r="C432" s="13">
        <v>0</v>
      </c>
      <c r="D432" s="13">
        <v>0.91</v>
      </c>
      <c r="E432" s="9" t="s">
        <v>1241</v>
      </c>
      <c r="F432">
        <v>418</v>
      </c>
      <c r="G432" s="11">
        <v>1.135585244319728E-3</v>
      </c>
      <c r="H432" s="12">
        <v>0.74219049837994344</v>
      </c>
      <c r="I432" t="s">
        <v>1240</v>
      </c>
      <c r="J432">
        <v>6</v>
      </c>
      <c r="K432" s="11">
        <f t="shared" si="36"/>
        <v>6.2155775398998981E-4</v>
      </c>
      <c r="L432" s="12">
        <f t="shared" si="41"/>
        <v>0.7864570261235283</v>
      </c>
      <c r="M432" t="str">
        <f t="shared" si="37"/>
        <v>A</v>
      </c>
      <c r="N432" t="str">
        <f t="shared" si="38"/>
        <v>BAA</v>
      </c>
      <c r="O432" s="11">
        <f>VLOOKUP(A432,XYZ!A431:G1234,2,FALSE)</f>
        <v>2.2360679774997894</v>
      </c>
      <c r="P432" t="str">
        <f t="shared" si="39"/>
        <v>Z</v>
      </c>
      <c r="Q432" t="str">
        <f t="shared" si="40"/>
        <v>BAAZ</v>
      </c>
    </row>
    <row r="433" spans="1:17" x14ac:dyDescent="0.15">
      <c r="A433" t="s">
        <v>278</v>
      </c>
      <c r="B433" s="9">
        <v>1</v>
      </c>
      <c r="C433" s="13">
        <v>0</v>
      </c>
      <c r="D433" s="13">
        <v>0.73</v>
      </c>
      <c r="E433" s="9" t="s">
        <v>1240</v>
      </c>
      <c r="F433">
        <v>414</v>
      </c>
      <c r="G433" s="11">
        <v>1.1247183998764772E-3</v>
      </c>
      <c r="H433" s="12">
        <v>0.74444808531302886</v>
      </c>
      <c r="I433" t="s">
        <v>1240</v>
      </c>
      <c r="J433">
        <v>6</v>
      </c>
      <c r="K433" s="11">
        <f t="shared" si="36"/>
        <v>6.2155775398998981E-4</v>
      </c>
      <c r="L433" s="12">
        <f t="shared" si="41"/>
        <v>0.78707858387751828</v>
      </c>
      <c r="M433" t="str">
        <f t="shared" si="37"/>
        <v>A</v>
      </c>
      <c r="N433" t="str">
        <f t="shared" si="38"/>
        <v>AAA</v>
      </c>
      <c r="O433" s="11">
        <f>VLOOKUP(A433,XYZ!A432:G1235,2,FALSE)</f>
        <v>2.2360679774997894</v>
      </c>
      <c r="P433" t="str">
        <f t="shared" si="39"/>
        <v>Z</v>
      </c>
      <c r="Q433" t="str">
        <f t="shared" si="40"/>
        <v>AAAZ</v>
      </c>
    </row>
    <row r="434" spans="1:17" x14ac:dyDescent="0.15">
      <c r="A434" t="s">
        <v>816</v>
      </c>
      <c r="B434" s="9">
        <v>1</v>
      </c>
      <c r="C434" s="13">
        <v>0</v>
      </c>
      <c r="D434" s="13">
        <v>0.92</v>
      </c>
      <c r="E434" s="9" t="s">
        <v>1241</v>
      </c>
      <c r="F434">
        <v>409</v>
      </c>
      <c r="G434" s="11">
        <v>1.1111348443224134E-3</v>
      </c>
      <c r="H434" s="12">
        <v>0.74555922015735132</v>
      </c>
      <c r="I434" t="s">
        <v>1240</v>
      </c>
      <c r="J434">
        <v>6</v>
      </c>
      <c r="K434" s="11">
        <f t="shared" si="36"/>
        <v>6.2155775398998981E-4</v>
      </c>
      <c r="L434" s="12">
        <f t="shared" si="41"/>
        <v>0.78770014163150825</v>
      </c>
      <c r="M434" t="str">
        <f t="shared" si="37"/>
        <v>A</v>
      </c>
      <c r="N434" t="str">
        <f t="shared" si="38"/>
        <v>BAA</v>
      </c>
      <c r="O434" s="11">
        <f>VLOOKUP(A434,XYZ!A433:G1236,2,FALSE)</f>
        <v>2.2360679774997894</v>
      </c>
      <c r="P434" t="str">
        <f t="shared" si="39"/>
        <v>Z</v>
      </c>
      <c r="Q434" t="str">
        <f t="shared" si="40"/>
        <v>BAAZ</v>
      </c>
    </row>
    <row r="435" spans="1:17" x14ac:dyDescent="0.15">
      <c r="A435" t="s">
        <v>608</v>
      </c>
      <c r="B435" s="9">
        <v>1</v>
      </c>
      <c r="C435" s="13">
        <v>0</v>
      </c>
      <c r="D435" s="13">
        <v>0.77</v>
      </c>
      <c r="E435" s="9" t="s">
        <v>1240</v>
      </c>
      <c r="F435">
        <v>408</v>
      </c>
      <c r="G435" s="11">
        <v>1.1084181332116007E-3</v>
      </c>
      <c r="H435" s="12">
        <v>0.74666763829056293</v>
      </c>
      <c r="I435" t="s">
        <v>1240</v>
      </c>
      <c r="J435">
        <v>6</v>
      </c>
      <c r="K435" s="11">
        <f t="shared" si="36"/>
        <v>6.2155775398998981E-4</v>
      </c>
      <c r="L435" s="12">
        <f t="shared" si="41"/>
        <v>0.78832169938549823</v>
      </c>
      <c r="M435" t="str">
        <f t="shared" si="37"/>
        <v>A</v>
      </c>
      <c r="N435" t="str">
        <f t="shared" si="38"/>
        <v>AAA</v>
      </c>
      <c r="O435" s="11">
        <f>VLOOKUP(A435,XYZ!A434:G1237,2,FALSE)</f>
        <v>2.2360679774997894</v>
      </c>
      <c r="P435" t="str">
        <f t="shared" si="39"/>
        <v>Z</v>
      </c>
      <c r="Q435" t="str">
        <f t="shared" si="40"/>
        <v>AAAZ</v>
      </c>
    </row>
    <row r="436" spans="1:17" x14ac:dyDescent="0.15">
      <c r="A436" t="s">
        <v>478</v>
      </c>
      <c r="B436" s="9">
        <v>1</v>
      </c>
      <c r="C436" s="13">
        <v>0</v>
      </c>
      <c r="D436" s="13">
        <v>0.7</v>
      </c>
      <c r="E436" s="9" t="s">
        <v>1240</v>
      </c>
      <c r="F436">
        <v>406</v>
      </c>
      <c r="G436" s="11">
        <v>1.1029847109899752E-3</v>
      </c>
      <c r="H436" s="12">
        <v>0.74887632442365371</v>
      </c>
      <c r="I436" t="s">
        <v>1240</v>
      </c>
      <c r="J436">
        <v>6</v>
      </c>
      <c r="K436" s="11">
        <f t="shared" si="36"/>
        <v>6.2155775398998981E-4</v>
      </c>
      <c r="L436" s="12">
        <f t="shared" si="41"/>
        <v>0.78894325713948821</v>
      </c>
      <c r="M436" t="str">
        <f t="shared" si="37"/>
        <v>A</v>
      </c>
      <c r="N436" t="str">
        <f t="shared" si="38"/>
        <v>AAA</v>
      </c>
      <c r="O436" s="11">
        <f>VLOOKUP(A436,XYZ!A435:G1238,2,FALSE)</f>
        <v>2.2360679774997894</v>
      </c>
      <c r="P436" t="str">
        <f t="shared" si="39"/>
        <v>Z</v>
      </c>
      <c r="Q436" t="str">
        <f t="shared" si="40"/>
        <v>AAAZ</v>
      </c>
    </row>
    <row r="437" spans="1:17" x14ac:dyDescent="0.15">
      <c r="A437" t="s">
        <v>134</v>
      </c>
      <c r="B437" s="9">
        <v>1</v>
      </c>
      <c r="C437" s="13">
        <v>0</v>
      </c>
      <c r="D437" s="13">
        <v>0.91</v>
      </c>
      <c r="E437" s="9" t="s">
        <v>1241</v>
      </c>
      <c r="F437">
        <v>405</v>
      </c>
      <c r="G437" s="11">
        <v>1.1002679998791624E-3</v>
      </c>
      <c r="H437" s="12">
        <v>0.74997659242353287</v>
      </c>
      <c r="I437" t="s">
        <v>1240</v>
      </c>
      <c r="J437">
        <v>6</v>
      </c>
      <c r="K437" s="11">
        <f t="shared" si="36"/>
        <v>6.2155775398998981E-4</v>
      </c>
      <c r="L437" s="12">
        <f t="shared" si="41"/>
        <v>0.78956481489347818</v>
      </c>
      <c r="M437" t="str">
        <f t="shared" si="37"/>
        <v>A</v>
      </c>
      <c r="N437" t="str">
        <f t="shared" si="38"/>
        <v>BAA</v>
      </c>
      <c r="O437" s="11">
        <f>VLOOKUP(A437,XYZ!A436:G1239,2,FALSE)</f>
        <v>2.2360679774997894</v>
      </c>
      <c r="P437" t="str">
        <f t="shared" si="39"/>
        <v>Z</v>
      </c>
      <c r="Q437" t="str">
        <f t="shared" si="40"/>
        <v>BAAZ</v>
      </c>
    </row>
    <row r="438" spans="1:17" x14ac:dyDescent="0.15">
      <c r="A438" t="s">
        <v>1051</v>
      </c>
      <c r="B438" s="9">
        <v>1</v>
      </c>
      <c r="C438" s="13">
        <v>0</v>
      </c>
      <c r="D438" s="13">
        <v>0.77</v>
      </c>
      <c r="E438" s="9" t="s">
        <v>1240</v>
      </c>
      <c r="F438">
        <v>404</v>
      </c>
      <c r="G438" s="11">
        <v>1.0975512887683497E-3</v>
      </c>
      <c r="H438" s="12">
        <v>0.75107414371230119</v>
      </c>
      <c r="I438" t="s">
        <v>1240</v>
      </c>
      <c r="J438">
        <v>6</v>
      </c>
      <c r="K438" s="11">
        <f t="shared" si="36"/>
        <v>6.2155775398998981E-4</v>
      </c>
      <c r="L438" s="12">
        <f t="shared" si="41"/>
        <v>0.79018637264746816</v>
      </c>
      <c r="M438" t="str">
        <f t="shared" si="37"/>
        <v>A</v>
      </c>
      <c r="N438" t="str">
        <f t="shared" si="38"/>
        <v>AAA</v>
      </c>
      <c r="O438" s="11">
        <f>VLOOKUP(A438,XYZ!A437:G1240,2,FALSE)</f>
        <v>2.2360679774997894</v>
      </c>
      <c r="P438" t="str">
        <f t="shared" si="39"/>
        <v>Z</v>
      </c>
      <c r="Q438" t="str">
        <f t="shared" si="40"/>
        <v>AAAZ</v>
      </c>
    </row>
    <row r="439" spans="1:17" x14ac:dyDescent="0.15">
      <c r="A439" t="s">
        <v>648</v>
      </c>
      <c r="B439" s="9">
        <v>1</v>
      </c>
      <c r="C439" s="13">
        <v>0</v>
      </c>
      <c r="D439" s="13">
        <v>0.89</v>
      </c>
      <c r="E439" s="9" t="s">
        <v>1241</v>
      </c>
      <c r="F439">
        <v>404</v>
      </c>
      <c r="G439" s="11">
        <v>1.0975512887683497E-3</v>
      </c>
      <c r="H439" s="12">
        <v>0.75217169500106951</v>
      </c>
      <c r="I439" t="s">
        <v>1240</v>
      </c>
      <c r="J439">
        <v>6</v>
      </c>
      <c r="K439" s="11">
        <f t="shared" si="36"/>
        <v>6.2155775398998981E-4</v>
      </c>
      <c r="L439" s="12">
        <f t="shared" si="41"/>
        <v>0.79080793040145814</v>
      </c>
      <c r="M439" t="str">
        <f t="shared" si="37"/>
        <v>A</v>
      </c>
      <c r="N439" t="str">
        <f t="shared" si="38"/>
        <v>BAA</v>
      </c>
      <c r="O439" s="11">
        <f>VLOOKUP(A439,XYZ!A438:G1241,2,FALSE)</f>
        <v>2.2360679774997894</v>
      </c>
      <c r="P439" t="str">
        <f t="shared" si="39"/>
        <v>Z</v>
      </c>
      <c r="Q439" t="str">
        <f t="shared" si="40"/>
        <v>BAAZ</v>
      </c>
    </row>
    <row r="440" spans="1:17" x14ac:dyDescent="0.15">
      <c r="A440" t="s">
        <v>473</v>
      </c>
      <c r="B440" s="9">
        <v>1</v>
      </c>
      <c r="C440" s="13">
        <v>0</v>
      </c>
      <c r="D440" s="13">
        <v>0.7</v>
      </c>
      <c r="E440" s="9" t="s">
        <v>1240</v>
      </c>
      <c r="F440">
        <v>403</v>
      </c>
      <c r="G440" s="11">
        <v>1.0948345776575369E-3</v>
      </c>
      <c r="H440" s="12">
        <v>0.75326652957872708</v>
      </c>
      <c r="I440" t="s">
        <v>1240</v>
      </c>
      <c r="J440">
        <v>6</v>
      </c>
      <c r="K440" s="11">
        <f t="shared" si="36"/>
        <v>6.2155775398998981E-4</v>
      </c>
      <c r="L440" s="12">
        <f t="shared" si="41"/>
        <v>0.79142948815544811</v>
      </c>
      <c r="M440" t="str">
        <f t="shared" si="37"/>
        <v>A</v>
      </c>
      <c r="N440" t="str">
        <f t="shared" si="38"/>
        <v>AAA</v>
      </c>
      <c r="O440" s="11">
        <f>VLOOKUP(A440,XYZ!A439:G1242,2,FALSE)</f>
        <v>2.2360679774997894</v>
      </c>
      <c r="P440" t="str">
        <f t="shared" si="39"/>
        <v>Z</v>
      </c>
      <c r="Q440" t="str">
        <f t="shared" si="40"/>
        <v>AAAZ</v>
      </c>
    </row>
    <row r="441" spans="1:17" x14ac:dyDescent="0.15">
      <c r="A441" t="s">
        <v>420</v>
      </c>
      <c r="B441" s="9">
        <v>1</v>
      </c>
      <c r="C441" s="13">
        <v>0</v>
      </c>
      <c r="D441" s="13">
        <v>0.78</v>
      </c>
      <c r="E441" s="9" t="s">
        <v>1240</v>
      </c>
      <c r="F441">
        <v>403</v>
      </c>
      <c r="G441" s="11">
        <v>1.0948345776575369E-3</v>
      </c>
      <c r="H441" s="12">
        <v>0.75436136415638466</v>
      </c>
      <c r="I441" t="s">
        <v>1240</v>
      </c>
      <c r="J441">
        <v>6</v>
      </c>
      <c r="K441" s="11">
        <f t="shared" si="36"/>
        <v>6.2155775398998981E-4</v>
      </c>
      <c r="L441" s="12">
        <f t="shared" si="41"/>
        <v>0.79205104590943809</v>
      </c>
      <c r="M441" t="str">
        <f t="shared" si="37"/>
        <v>A</v>
      </c>
      <c r="N441" t="str">
        <f t="shared" si="38"/>
        <v>AAA</v>
      </c>
      <c r="O441" s="11">
        <f>VLOOKUP(A441,XYZ!A440:G1243,2,FALSE)</f>
        <v>2.2360679774997894</v>
      </c>
      <c r="P441" t="str">
        <f t="shared" si="39"/>
        <v>Z</v>
      </c>
      <c r="Q441" t="str">
        <f t="shared" si="40"/>
        <v>AAAZ</v>
      </c>
    </row>
    <row r="442" spans="1:17" x14ac:dyDescent="0.15">
      <c r="A442" t="s">
        <v>1067</v>
      </c>
      <c r="B442" s="9">
        <v>1</v>
      </c>
      <c r="C442" s="13">
        <v>0</v>
      </c>
      <c r="D442" s="13">
        <v>0.88</v>
      </c>
      <c r="E442" s="9" t="s">
        <v>1241</v>
      </c>
      <c r="F442">
        <v>403</v>
      </c>
      <c r="G442" s="11">
        <v>1.0948345776575369E-3</v>
      </c>
      <c r="H442" s="12">
        <v>0.75545619873404224</v>
      </c>
      <c r="I442" t="s">
        <v>1240</v>
      </c>
      <c r="J442">
        <v>6</v>
      </c>
      <c r="K442" s="11">
        <f t="shared" si="36"/>
        <v>6.2155775398998981E-4</v>
      </c>
      <c r="L442" s="12">
        <f t="shared" si="41"/>
        <v>0.79267260366342807</v>
      </c>
      <c r="M442" t="str">
        <f t="shared" si="37"/>
        <v>A</v>
      </c>
      <c r="N442" t="str">
        <f t="shared" si="38"/>
        <v>BAA</v>
      </c>
      <c r="O442" s="11">
        <f>VLOOKUP(A442,XYZ!A441:G1244,2,FALSE)</f>
        <v>2.2360679774997894</v>
      </c>
      <c r="P442" t="str">
        <f t="shared" si="39"/>
        <v>Z</v>
      </c>
      <c r="Q442" t="str">
        <f t="shared" si="40"/>
        <v>BAAZ</v>
      </c>
    </row>
    <row r="443" spans="1:17" x14ac:dyDescent="0.15">
      <c r="A443" t="s">
        <v>1126</v>
      </c>
      <c r="B443" s="9">
        <v>1</v>
      </c>
      <c r="C443" s="13">
        <v>0</v>
      </c>
      <c r="D443" s="13">
        <v>0.86</v>
      </c>
      <c r="E443" s="9" t="s">
        <v>1241</v>
      </c>
      <c r="F443">
        <v>402</v>
      </c>
      <c r="G443" s="11">
        <v>1.0921178665467242E-3</v>
      </c>
      <c r="H443" s="12">
        <v>0.75654831660058897</v>
      </c>
      <c r="I443" t="s">
        <v>1240</v>
      </c>
      <c r="J443">
        <v>6</v>
      </c>
      <c r="K443" s="11">
        <f t="shared" si="36"/>
        <v>6.2155775398998981E-4</v>
      </c>
      <c r="L443" s="12">
        <f t="shared" si="41"/>
        <v>0.79329416141741804</v>
      </c>
      <c r="M443" t="str">
        <f t="shared" si="37"/>
        <v>A</v>
      </c>
      <c r="N443" t="str">
        <f t="shared" si="38"/>
        <v>BAA</v>
      </c>
      <c r="O443" s="11">
        <f>VLOOKUP(A443,XYZ!A442:G1245,2,FALSE)</f>
        <v>2.2360679774997894</v>
      </c>
      <c r="P443" t="str">
        <f t="shared" si="39"/>
        <v>Z</v>
      </c>
      <c r="Q443" t="str">
        <f t="shared" si="40"/>
        <v>BAAZ</v>
      </c>
    </row>
    <row r="444" spans="1:17" x14ac:dyDescent="0.15">
      <c r="A444" t="s">
        <v>452</v>
      </c>
      <c r="B444" s="9">
        <v>1</v>
      </c>
      <c r="C444" s="13">
        <v>0</v>
      </c>
      <c r="D444" s="13">
        <v>0.89</v>
      </c>
      <c r="E444" s="9" t="s">
        <v>1241</v>
      </c>
      <c r="F444">
        <v>402</v>
      </c>
      <c r="G444" s="11">
        <v>1.0921178665467242E-3</v>
      </c>
      <c r="H444" s="12">
        <v>0.75764043446713569</v>
      </c>
      <c r="I444" t="s">
        <v>1240</v>
      </c>
      <c r="J444">
        <v>6</v>
      </c>
      <c r="K444" s="11">
        <f t="shared" si="36"/>
        <v>6.2155775398998981E-4</v>
      </c>
      <c r="L444" s="12">
        <f t="shared" si="41"/>
        <v>0.79391571917140802</v>
      </c>
      <c r="M444" t="str">
        <f t="shared" si="37"/>
        <v>A</v>
      </c>
      <c r="N444" t="str">
        <f t="shared" si="38"/>
        <v>BAA</v>
      </c>
      <c r="O444" s="11">
        <f>VLOOKUP(A444,XYZ!A443:G1246,2,FALSE)</f>
        <v>2.2360679774997894</v>
      </c>
      <c r="P444" t="str">
        <f t="shared" si="39"/>
        <v>Z</v>
      </c>
      <c r="Q444" t="str">
        <f t="shared" si="40"/>
        <v>BAAZ</v>
      </c>
    </row>
    <row r="445" spans="1:17" x14ac:dyDescent="0.15">
      <c r="A445" t="s">
        <v>873</v>
      </c>
      <c r="B445" s="9">
        <v>1</v>
      </c>
      <c r="C445" s="13">
        <v>0</v>
      </c>
      <c r="D445" s="13">
        <v>0.82</v>
      </c>
      <c r="E445" s="9" t="s">
        <v>1241</v>
      </c>
      <c r="F445">
        <v>398</v>
      </c>
      <c r="G445" s="11">
        <v>1.0812510221034732E-3</v>
      </c>
      <c r="H445" s="12">
        <v>0.75872168548923913</v>
      </c>
      <c r="I445" t="s">
        <v>1240</v>
      </c>
      <c r="J445">
        <v>6</v>
      </c>
      <c r="K445" s="11">
        <f t="shared" si="36"/>
        <v>6.2155775398998981E-4</v>
      </c>
      <c r="L445" s="12">
        <f t="shared" si="41"/>
        <v>0.79453727692539799</v>
      </c>
      <c r="M445" t="str">
        <f t="shared" si="37"/>
        <v>A</v>
      </c>
      <c r="N445" t="str">
        <f t="shared" si="38"/>
        <v>BAA</v>
      </c>
      <c r="O445" s="11">
        <f>VLOOKUP(A445,XYZ!A444:G1247,2,FALSE)</f>
        <v>2.2360679774997894</v>
      </c>
      <c r="P445" t="str">
        <f t="shared" si="39"/>
        <v>Z</v>
      </c>
      <c r="Q445" t="str">
        <f t="shared" si="40"/>
        <v>BAAZ</v>
      </c>
    </row>
    <row r="446" spans="1:17" x14ac:dyDescent="0.15">
      <c r="A446" t="s">
        <v>1062</v>
      </c>
      <c r="B446" s="9">
        <v>1</v>
      </c>
      <c r="C446" s="13">
        <v>0</v>
      </c>
      <c r="D446" s="13">
        <v>0.85</v>
      </c>
      <c r="E446" s="9" t="s">
        <v>1241</v>
      </c>
      <c r="F446">
        <v>394</v>
      </c>
      <c r="G446" s="11">
        <v>1.0703841776602222E-3</v>
      </c>
      <c r="H446" s="12">
        <v>0.76086788726678123</v>
      </c>
      <c r="I446" t="s">
        <v>1240</v>
      </c>
      <c r="J446">
        <v>6</v>
      </c>
      <c r="K446" s="11">
        <f t="shared" si="36"/>
        <v>6.2155775398998981E-4</v>
      </c>
      <c r="L446" s="12">
        <f t="shared" si="41"/>
        <v>0.79515883467938797</v>
      </c>
      <c r="M446" t="str">
        <f t="shared" si="37"/>
        <v>A</v>
      </c>
      <c r="N446" t="str">
        <f t="shared" si="38"/>
        <v>BAA</v>
      </c>
      <c r="O446" s="11">
        <f>VLOOKUP(A446,XYZ!A445:G1248,2,FALSE)</f>
        <v>2.2360679774997894</v>
      </c>
      <c r="P446" t="str">
        <f t="shared" si="39"/>
        <v>Z</v>
      </c>
      <c r="Q446" t="str">
        <f t="shared" si="40"/>
        <v>BAAZ</v>
      </c>
    </row>
    <row r="447" spans="1:17" x14ac:dyDescent="0.15">
      <c r="A447" t="s">
        <v>353</v>
      </c>
      <c r="B447" s="9">
        <v>1</v>
      </c>
      <c r="C447" s="13">
        <v>0</v>
      </c>
      <c r="D447" s="13">
        <v>0.89</v>
      </c>
      <c r="E447" s="9" t="s">
        <v>1241</v>
      </c>
      <c r="F447">
        <v>393</v>
      </c>
      <c r="G447" s="11">
        <v>1.0676674665494094E-3</v>
      </c>
      <c r="H447" s="12">
        <v>0.76193555473333063</v>
      </c>
      <c r="I447" t="s">
        <v>1240</v>
      </c>
      <c r="J447">
        <v>6</v>
      </c>
      <c r="K447" s="11">
        <f t="shared" si="36"/>
        <v>6.2155775398998981E-4</v>
      </c>
      <c r="L447" s="12">
        <f t="shared" si="41"/>
        <v>0.79578039243337795</v>
      </c>
      <c r="M447" t="str">
        <f t="shared" si="37"/>
        <v>A</v>
      </c>
      <c r="N447" t="str">
        <f t="shared" si="38"/>
        <v>BAA</v>
      </c>
      <c r="O447" s="11">
        <f>VLOOKUP(A447,XYZ!A446:G1249,2,FALSE)</f>
        <v>2.2360679774997894</v>
      </c>
      <c r="P447" t="str">
        <f t="shared" si="39"/>
        <v>Z</v>
      </c>
      <c r="Q447" t="str">
        <f t="shared" si="40"/>
        <v>BAAZ</v>
      </c>
    </row>
    <row r="448" spans="1:17" x14ac:dyDescent="0.15">
      <c r="A448" t="s">
        <v>695</v>
      </c>
      <c r="B448" s="9">
        <v>1</v>
      </c>
      <c r="C448" s="13">
        <v>0</v>
      </c>
      <c r="D448" s="13">
        <v>0.91</v>
      </c>
      <c r="E448" s="9" t="s">
        <v>1241</v>
      </c>
      <c r="F448">
        <v>385</v>
      </c>
      <c r="G448" s="11">
        <v>1.0459337776629076E-3</v>
      </c>
      <c r="H448" s="12">
        <v>0.76403828913309968</v>
      </c>
      <c r="I448" t="s">
        <v>1240</v>
      </c>
      <c r="J448">
        <v>6</v>
      </c>
      <c r="K448" s="11">
        <f t="shared" si="36"/>
        <v>6.2155775398998981E-4</v>
      </c>
      <c r="L448" s="12">
        <f t="shared" si="41"/>
        <v>0.79640195018736792</v>
      </c>
      <c r="M448" t="str">
        <f t="shared" si="37"/>
        <v>A</v>
      </c>
      <c r="N448" t="str">
        <f t="shared" si="38"/>
        <v>BAA</v>
      </c>
      <c r="O448" s="11">
        <f>VLOOKUP(A448,XYZ!A447:G1250,2,FALSE)</f>
        <v>2.2360679774997894</v>
      </c>
      <c r="P448" t="str">
        <f t="shared" si="39"/>
        <v>Z</v>
      </c>
      <c r="Q448" t="str">
        <f t="shared" si="40"/>
        <v>BAAZ</v>
      </c>
    </row>
    <row r="449" spans="1:17" x14ac:dyDescent="0.15">
      <c r="A449" t="s">
        <v>801</v>
      </c>
      <c r="B449" s="9">
        <v>1</v>
      </c>
      <c r="C449" s="13">
        <v>0</v>
      </c>
      <c r="D449" s="13">
        <v>0.89</v>
      </c>
      <c r="E449" s="9" t="s">
        <v>1241</v>
      </c>
      <c r="F449">
        <v>378</v>
      </c>
      <c r="G449" s="11">
        <v>1.0269167998872182E-3</v>
      </c>
      <c r="H449" s="12">
        <v>0.76609212273287408</v>
      </c>
      <c r="I449" t="s">
        <v>1240</v>
      </c>
      <c r="J449">
        <v>6</v>
      </c>
      <c r="K449" s="11">
        <f t="shared" si="36"/>
        <v>6.2155775398998981E-4</v>
      </c>
      <c r="L449" s="12">
        <f t="shared" si="41"/>
        <v>0.7970235079413579</v>
      </c>
      <c r="M449" t="str">
        <f t="shared" si="37"/>
        <v>A</v>
      </c>
      <c r="N449" t="str">
        <f t="shared" si="38"/>
        <v>BAA</v>
      </c>
      <c r="O449" s="11">
        <f>VLOOKUP(A449,XYZ!A448:G1251,2,FALSE)</f>
        <v>2.2360679774997894</v>
      </c>
      <c r="P449" t="str">
        <f t="shared" si="39"/>
        <v>Z</v>
      </c>
      <c r="Q449" t="str">
        <f t="shared" si="40"/>
        <v>BAAZ</v>
      </c>
    </row>
    <row r="450" spans="1:17" x14ac:dyDescent="0.15">
      <c r="A450" t="s">
        <v>491</v>
      </c>
      <c r="B450" s="9">
        <v>1</v>
      </c>
      <c r="C450" s="13">
        <v>0</v>
      </c>
      <c r="D450" s="13">
        <v>0.85</v>
      </c>
      <c r="E450" s="9" t="s">
        <v>1241</v>
      </c>
      <c r="F450">
        <v>377</v>
      </c>
      <c r="G450" s="11">
        <v>1.0242000887764056E-3</v>
      </c>
      <c r="H450" s="12">
        <v>0.76711632282165043</v>
      </c>
      <c r="I450" t="s">
        <v>1240</v>
      </c>
      <c r="J450">
        <v>6</v>
      </c>
      <c r="K450" s="11">
        <f t="shared" si="36"/>
        <v>6.2155775398998981E-4</v>
      </c>
      <c r="L450" s="12">
        <f t="shared" si="41"/>
        <v>0.79764506569534788</v>
      </c>
      <c r="M450" t="str">
        <f t="shared" si="37"/>
        <v>A</v>
      </c>
      <c r="N450" t="str">
        <f t="shared" si="38"/>
        <v>BAA</v>
      </c>
      <c r="O450" s="11">
        <f>VLOOKUP(A450,XYZ!A449:G1252,2,FALSE)</f>
        <v>2.2360679774997894</v>
      </c>
      <c r="P450" t="str">
        <f t="shared" si="39"/>
        <v>Z</v>
      </c>
      <c r="Q450" t="str">
        <f t="shared" si="40"/>
        <v>BAAZ</v>
      </c>
    </row>
    <row r="451" spans="1:17" x14ac:dyDescent="0.15">
      <c r="A451" t="s">
        <v>860</v>
      </c>
      <c r="B451" s="9">
        <v>1</v>
      </c>
      <c r="C451" s="13">
        <v>0</v>
      </c>
      <c r="D451" s="13">
        <v>0.95</v>
      </c>
      <c r="E451" s="9" t="s">
        <v>1241</v>
      </c>
      <c r="F451">
        <v>376</v>
      </c>
      <c r="G451" s="11">
        <v>1.0214833776655927E-3</v>
      </c>
      <c r="H451" s="12">
        <v>0.77018077295464726</v>
      </c>
      <c r="I451" t="s">
        <v>1240</v>
      </c>
      <c r="J451">
        <v>6</v>
      </c>
      <c r="K451" s="11">
        <f t="shared" ref="K451:K514" si="42">J451/SUM(J:J)</f>
        <v>6.2155775398998981E-4</v>
      </c>
      <c r="L451" s="12">
        <f t="shared" si="41"/>
        <v>0.79826662344933785</v>
      </c>
      <c r="M451" t="str">
        <f t="shared" ref="M451:M514" si="43">IF(L451&lt;0.8,"A",IF(L451&lt;0.95,"B","C"))</f>
        <v>A</v>
      </c>
      <c r="N451" t="str">
        <f t="shared" ref="N451:N514" si="44">E451&amp;I451&amp;M451</f>
        <v>BAA</v>
      </c>
      <c r="O451" s="11">
        <f>VLOOKUP(A451,XYZ!A450:G1253,2,FALSE)</f>
        <v>2.2360679774997894</v>
      </c>
      <c r="P451" t="str">
        <f t="shared" ref="P451:P514" si="45">IF(O451&lt;0.1,"A",IF(O451&lt;0.25,"Y","Z"))</f>
        <v>Z</v>
      </c>
      <c r="Q451" t="str">
        <f t="shared" ref="Q451:Q514" si="46">N451&amp;P451</f>
        <v>BAAZ</v>
      </c>
    </row>
    <row r="452" spans="1:17" x14ac:dyDescent="0.15">
      <c r="A452" t="s">
        <v>991</v>
      </c>
      <c r="B452" s="9">
        <v>1</v>
      </c>
      <c r="C452" s="13">
        <v>0</v>
      </c>
      <c r="D452" s="13">
        <v>0.85</v>
      </c>
      <c r="E452" s="9" t="s">
        <v>1241</v>
      </c>
      <c r="F452">
        <v>375</v>
      </c>
      <c r="G452" s="11">
        <v>1.0187666665547801E-3</v>
      </c>
      <c r="H452" s="12">
        <v>0.77119953962120202</v>
      </c>
      <c r="I452" t="s">
        <v>1240</v>
      </c>
      <c r="J452">
        <v>6</v>
      </c>
      <c r="K452" s="11">
        <f t="shared" si="42"/>
        <v>6.2155775398998981E-4</v>
      </c>
      <c r="L452" s="12">
        <f t="shared" ref="L452:L515" si="47">K452+L451</f>
        <v>0.79888818120332783</v>
      </c>
      <c r="M452" t="str">
        <f t="shared" si="43"/>
        <v>A</v>
      </c>
      <c r="N452" t="str">
        <f t="shared" si="44"/>
        <v>BAA</v>
      </c>
      <c r="O452" s="11">
        <f>VLOOKUP(A452,XYZ!A451:G1254,2,FALSE)</f>
        <v>2.2360679774997894</v>
      </c>
      <c r="P452" t="str">
        <f t="shared" si="45"/>
        <v>Z</v>
      </c>
      <c r="Q452" t="str">
        <f t="shared" si="46"/>
        <v>BAAZ</v>
      </c>
    </row>
    <row r="453" spans="1:17" x14ac:dyDescent="0.15">
      <c r="A453" t="s">
        <v>824</v>
      </c>
      <c r="B453" s="9">
        <v>1</v>
      </c>
      <c r="C453" s="13">
        <v>0</v>
      </c>
      <c r="D453" s="13">
        <v>0.76</v>
      </c>
      <c r="E453" s="9" t="s">
        <v>1240</v>
      </c>
      <c r="F453">
        <v>372</v>
      </c>
      <c r="G453" s="11">
        <v>1.0106165332223417E-3</v>
      </c>
      <c r="H453" s="12">
        <v>0.77423138922086898</v>
      </c>
      <c r="I453" t="s">
        <v>1240</v>
      </c>
      <c r="J453">
        <v>6</v>
      </c>
      <c r="K453" s="11">
        <f t="shared" si="42"/>
        <v>6.2155775398998981E-4</v>
      </c>
      <c r="L453" s="12">
        <f t="shared" si="47"/>
        <v>0.79950973895731781</v>
      </c>
      <c r="M453" t="str">
        <f t="shared" si="43"/>
        <v>A</v>
      </c>
      <c r="N453" t="str">
        <f t="shared" si="44"/>
        <v>AAA</v>
      </c>
      <c r="O453" s="11">
        <f>VLOOKUP(A453,XYZ!A452:G1255,2,FALSE)</f>
        <v>2.2360679774997894</v>
      </c>
      <c r="P453" t="str">
        <f t="shared" si="45"/>
        <v>Z</v>
      </c>
      <c r="Q453" t="str">
        <f t="shared" si="46"/>
        <v>AAAZ</v>
      </c>
    </row>
    <row r="454" spans="1:17" x14ac:dyDescent="0.15">
      <c r="A454" t="s">
        <v>532</v>
      </c>
      <c r="B454" s="9">
        <v>1</v>
      </c>
      <c r="C454" s="13">
        <v>0</v>
      </c>
      <c r="D454" s="13">
        <v>0.7</v>
      </c>
      <c r="E454" s="9" t="s">
        <v>1240</v>
      </c>
      <c r="F454">
        <v>371</v>
      </c>
      <c r="G454" s="11">
        <v>1.0078998221115291E-3</v>
      </c>
      <c r="H454" s="12">
        <v>0.77523928904298056</v>
      </c>
      <c r="I454" t="s">
        <v>1240</v>
      </c>
      <c r="J454">
        <v>6</v>
      </c>
      <c r="K454" s="11">
        <f t="shared" si="42"/>
        <v>6.2155775398998981E-4</v>
      </c>
      <c r="L454" s="12">
        <f t="shared" si="47"/>
        <v>0.80013129671130778</v>
      </c>
      <c r="M454" t="str">
        <f t="shared" si="43"/>
        <v>B</v>
      </c>
      <c r="N454" t="str">
        <f t="shared" si="44"/>
        <v>AAB</v>
      </c>
      <c r="O454" s="11">
        <f>VLOOKUP(A454,XYZ!A453:G1256,2,FALSE)</f>
        <v>2.2360679774997894</v>
      </c>
      <c r="P454" t="str">
        <f t="shared" si="45"/>
        <v>Z</v>
      </c>
      <c r="Q454" t="str">
        <f t="shared" si="46"/>
        <v>AABZ</v>
      </c>
    </row>
    <row r="455" spans="1:17" x14ac:dyDescent="0.15">
      <c r="A455" t="s">
        <v>136</v>
      </c>
      <c r="B455" s="9">
        <v>1</v>
      </c>
      <c r="C455" s="13">
        <v>0</v>
      </c>
      <c r="D455" s="13">
        <v>0.99</v>
      </c>
      <c r="E455" s="9" t="s">
        <v>1242</v>
      </c>
      <c r="F455">
        <v>370</v>
      </c>
      <c r="G455" s="11">
        <v>1.0051831110007162E-3</v>
      </c>
      <c r="H455" s="12">
        <v>0.77724965526498202</v>
      </c>
      <c r="I455" t="s">
        <v>1240</v>
      </c>
      <c r="J455">
        <v>6</v>
      </c>
      <c r="K455" s="11">
        <f t="shared" si="42"/>
        <v>6.2155775398998981E-4</v>
      </c>
      <c r="L455" s="12">
        <f t="shared" si="47"/>
        <v>0.80075285446529776</v>
      </c>
      <c r="M455" t="str">
        <f t="shared" si="43"/>
        <v>B</v>
      </c>
      <c r="N455" t="str">
        <f t="shared" si="44"/>
        <v>CAB</v>
      </c>
      <c r="O455" s="11">
        <f>VLOOKUP(A455,XYZ!A454:G1257,2,FALSE)</f>
        <v>2.2360679774997894</v>
      </c>
      <c r="P455" t="str">
        <f t="shared" si="45"/>
        <v>Z</v>
      </c>
      <c r="Q455" t="str">
        <f t="shared" si="46"/>
        <v>CABZ</v>
      </c>
    </row>
    <row r="456" spans="1:17" x14ac:dyDescent="0.15">
      <c r="A456" t="s">
        <v>565</v>
      </c>
      <c r="B456" s="9">
        <v>1</v>
      </c>
      <c r="C456" s="13">
        <v>0</v>
      </c>
      <c r="D456" s="13">
        <v>0.72</v>
      </c>
      <c r="E456" s="9" t="s">
        <v>1240</v>
      </c>
      <c r="F456">
        <v>368</v>
      </c>
      <c r="G456" s="11">
        <v>9.997496887790907E-4</v>
      </c>
      <c r="H456" s="12">
        <v>0.77824940495376116</v>
      </c>
      <c r="I456" t="s">
        <v>1240</v>
      </c>
      <c r="J456">
        <v>6</v>
      </c>
      <c r="K456" s="11">
        <f t="shared" si="42"/>
        <v>6.2155775398998981E-4</v>
      </c>
      <c r="L456" s="12">
        <f t="shared" si="47"/>
        <v>0.80137441221928774</v>
      </c>
      <c r="M456" t="str">
        <f t="shared" si="43"/>
        <v>B</v>
      </c>
      <c r="N456" t="str">
        <f t="shared" si="44"/>
        <v>AAB</v>
      </c>
      <c r="O456" s="11">
        <f>VLOOKUP(A456,XYZ!A455:G1258,2,FALSE)</f>
        <v>2.2360679774997894</v>
      </c>
      <c r="P456" t="str">
        <f t="shared" si="45"/>
        <v>Z</v>
      </c>
      <c r="Q456" t="str">
        <f t="shared" si="46"/>
        <v>AABZ</v>
      </c>
    </row>
    <row r="457" spans="1:17" x14ac:dyDescent="0.15">
      <c r="A457" t="s">
        <v>971</v>
      </c>
      <c r="B457" s="9">
        <v>1</v>
      </c>
      <c r="C457" s="13">
        <v>0</v>
      </c>
      <c r="D457" s="13">
        <v>0.73</v>
      </c>
      <c r="E457" s="9" t="s">
        <v>1240</v>
      </c>
      <c r="F457">
        <v>366</v>
      </c>
      <c r="G457" s="11">
        <v>9.943162665574652E-4</v>
      </c>
      <c r="H457" s="12">
        <v>0.78123986373182663</v>
      </c>
      <c r="I457" t="s">
        <v>1240</v>
      </c>
      <c r="J457">
        <v>6</v>
      </c>
      <c r="K457" s="11">
        <f t="shared" si="42"/>
        <v>6.2155775398998981E-4</v>
      </c>
      <c r="L457" s="12">
        <f t="shared" si="47"/>
        <v>0.80199596997327771</v>
      </c>
      <c r="M457" t="str">
        <f t="shared" si="43"/>
        <v>B</v>
      </c>
      <c r="N457" t="str">
        <f t="shared" si="44"/>
        <v>AAB</v>
      </c>
      <c r="O457" s="11">
        <f>VLOOKUP(A457,XYZ!A456:G1259,2,FALSE)</f>
        <v>2.2360679774997894</v>
      </c>
      <c r="P457" t="str">
        <f t="shared" si="45"/>
        <v>Z</v>
      </c>
      <c r="Q457" t="str">
        <f t="shared" si="46"/>
        <v>AABZ</v>
      </c>
    </row>
    <row r="458" spans="1:17" x14ac:dyDescent="0.15">
      <c r="A458" t="s">
        <v>735</v>
      </c>
      <c r="B458" s="9">
        <v>1</v>
      </c>
      <c r="C458" s="13">
        <v>0</v>
      </c>
      <c r="D458" s="13">
        <v>0.77</v>
      </c>
      <c r="E458" s="9" t="s">
        <v>1240</v>
      </c>
      <c r="F458">
        <v>364</v>
      </c>
      <c r="G458" s="11">
        <v>9.888828443358397E-4</v>
      </c>
      <c r="H458" s="12">
        <v>0.78420966364972267</v>
      </c>
      <c r="I458" t="s">
        <v>1240</v>
      </c>
      <c r="J458">
        <v>6</v>
      </c>
      <c r="K458" s="11">
        <f t="shared" si="42"/>
        <v>6.2155775398998981E-4</v>
      </c>
      <c r="L458" s="12">
        <f t="shared" si="47"/>
        <v>0.80261752772726769</v>
      </c>
      <c r="M458" t="str">
        <f t="shared" si="43"/>
        <v>B</v>
      </c>
      <c r="N458" t="str">
        <f t="shared" si="44"/>
        <v>AAB</v>
      </c>
      <c r="O458" s="11">
        <f>VLOOKUP(A458,XYZ!A457:G1260,2,FALSE)</f>
        <v>2.2360679774997894</v>
      </c>
      <c r="P458" t="str">
        <f t="shared" si="45"/>
        <v>Z</v>
      </c>
      <c r="Q458" t="str">
        <f t="shared" si="46"/>
        <v>AABZ</v>
      </c>
    </row>
    <row r="459" spans="1:17" x14ac:dyDescent="0.15">
      <c r="A459" t="s">
        <v>1167</v>
      </c>
      <c r="B459" s="9">
        <v>1</v>
      </c>
      <c r="C459" s="13">
        <v>0</v>
      </c>
      <c r="D459" s="13">
        <v>0.93</v>
      </c>
      <c r="E459" s="9" t="s">
        <v>1241</v>
      </c>
      <c r="F459">
        <v>363</v>
      </c>
      <c r="G459" s="11">
        <v>9.8616613322502706E-4</v>
      </c>
      <c r="H459" s="12">
        <v>0.78618199591617266</v>
      </c>
      <c r="I459" t="s">
        <v>1240</v>
      </c>
      <c r="J459">
        <v>6</v>
      </c>
      <c r="K459" s="11">
        <f t="shared" si="42"/>
        <v>6.2155775398998981E-4</v>
      </c>
      <c r="L459" s="12">
        <f t="shared" si="47"/>
        <v>0.80323908548125766</v>
      </c>
      <c r="M459" t="str">
        <f t="shared" si="43"/>
        <v>B</v>
      </c>
      <c r="N459" t="str">
        <f t="shared" si="44"/>
        <v>BAB</v>
      </c>
      <c r="O459" s="11">
        <f>VLOOKUP(A459,XYZ!A458:G1261,2,FALSE)</f>
        <v>2.2360679774997894</v>
      </c>
      <c r="P459" t="str">
        <f t="shared" si="45"/>
        <v>Z</v>
      </c>
      <c r="Q459" t="str">
        <f t="shared" si="46"/>
        <v>BABZ</v>
      </c>
    </row>
    <row r="460" spans="1:17" x14ac:dyDescent="0.15">
      <c r="A460" t="s">
        <v>850</v>
      </c>
      <c r="B460" s="9">
        <v>1</v>
      </c>
      <c r="C460" s="13">
        <v>0</v>
      </c>
      <c r="D460" s="13">
        <v>0.76</v>
      </c>
      <c r="E460" s="9" t="s">
        <v>1240</v>
      </c>
      <c r="F460">
        <v>362</v>
      </c>
      <c r="G460" s="11">
        <v>9.8344942211421441E-4</v>
      </c>
      <c r="H460" s="12">
        <v>0.78814889476040118</v>
      </c>
      <c r="I460" t="s">
        <v>1240</v>
      </c>
      <c r="J460">
        <v>6</v>
      </c>
      <c r="K460" s="11">
        <f t="shared" si="42"/>
        <v>6.2155775398998981E-4</v>
      </c>
      <c r="L460" s="12">
        <f t="shared" si="47"/>
        <v>0.80386064323524764</v>
      </c>
      <c r="M460" t="str">
        <f t="shared" si="43"/>
        <v>B</v>
      </c>
      <c r="N460" t="str">
        <f t="shared" si="44"/>
        <v>AAB</v>
      </c>
      <c r="O460" s="11">
        <f>VLOOKUP(A460,XYZ!A459:G1262,2,FALSE)</f>
        <v>2.2360679774997894</v>
      </c>
      <c r="P460" t="str">
        <f t="shared" si="45"/>
        <v>Z</v>
      </c>
      <c r="Q460" t="str">
        <f t="shared" si="46"/>
        <v>AABZ</v>
      </c>
    </row>
    <row r="461" spans="1:17" x14ac:dyDescent="0.15">
      <c r="A461" t="s">
        <v>891</v>
      </c>
      <c r="B461" s="9">
        <v>1</v>
      </c>
      <c r="C461" s="13">
        <v>0</v>
      </c>
      <c r="D461" s="13">
        <v>0.94</v>
      </c>
      <c r="E461" s="9" t="s">
        <v>1241</v>
      </c>
      <c r="F461">
        <v>361</v>
      </c>
      <c r="G461" s="11">
        <v>9.8073271100340156E-4</v>
      </c>
      <c r="H461" s="12">
        <v>0.78912962747140458</v>
      </c>
      <c r="I461" t="s">
        <v>1240</v>
      </c>
      <c r="J461">
        <v>6</v>
      </c>
      <c r="K461" s="11">
        <f t="shared" si="42"/>
        <v>6.2155775398998981E-4</v>
      </c>
      <c r="L461" s="12">
        <f t="shared" si="47"/>
        <v>0.80448220098923762</v>
      </c>
      <c r="M461" t="str">
        <f t="shared" si="43"/>
        <v>B</v>
      </c>
      <c r="N461" t="str">
        <f t="shared" si="44"/>
        <v>BAB</v>
      </c>
      <c r="O461" s="11">
        <f>VLOOKUP(A461,XYZ!A460:G1263,2,FALSE)</f>
        <v>2.2360679774997894</v>
      </c>
      <c r="P461" t="str">
        <f t="shared" si="45"/>
        <v>Z</v>
      </c>
      <c r="Q461" t="str">
        <f t="shared" si="46"/>
        <v>BABZ</v>
      </c>
    </row>
    <row r="462" spans="1:17" x14ac:dyDescent="0.15">
      <c r="A462" t="s">
        <v>1035</v>
      </c>
      <c r="B462" s="9">
        <v>1</v>
      </c>
      <c r="C462" s="13">
        <v>0</v>
      </c>
      <c r="D462" s="13">
        <v>0.83</v>
      </c>
      <c r="E462" s="9" t="s">
        <v>1241</v>
      </c>
      <c r="F462">
        <v>354</v>
      </c>
      <c r="G462" s="11">
        <v>9.617157332277123E-4</v>
      </c>
      <c r="H462" s="12">
        <v>0.79299855009853515</v>
      </c>
      <c r="I462" t="s">
        <v>1240</v>
      </c>
      <c r="J462">
        <v>6</v>
      </c>
      <c r="K462" s="11">
        <f t="shared" si="42"/>
        <v>6.2155775398998981E-4</v>
      </c>
      <c r="L462" s="12">
        <f t="shared" si="47"/>
        <v>0.80510375874322759</v>
      </c>
      <c r="M462" t="str">
        <f t="shared" si="43"/>
        <v>B</v>
      </c>
      <c r="N462" t="str">
        <f t="shared" si="44"/>
        <v>BAB</v>
      </c>
      <c r="O462" s="11">
        <f>VLOOKUP(A462,XYZ!A461:G1264,2,FALSE)</f>
        <v>2.2360679774997894</v>
      </c>
      <c r="P462" t="str">
        <f t="shared" si="45"/>
        <v>Z</v>
      </c>
      <c r="Q462" t="str">
        <f t="shared" si="46"/>
        <v>BABZ</v>
      </c>
    </row>
    <row r="463" spans="1:17" x14ac:dyDescent="0.15">
      <c r="A463" t="s">
        <v>753</v>
      </c>
      <c r="B463" s="9">
        <v>1</v>
      </c>
      <c r="C463" s="13">
        <v>0</v>
      </c>
      <c r="D463" s="13">
        <v>0.84</v>
      </c>
      <c r="E463" s="9" t="s">
        <v>1241</v>
      </c>
      <c r="F463">
        <v>353</v>
      </c>
      <c r="G463" s="11">
        <v>9.5899902211689955E-4</v>
      </c>
      <c r="H463" s="12">
        <v>0.79395754912065208</v>
      </c>
      <c r="I463" t="s">
        <v>1240</v>
      </c>
      <c r="J463">
        <v>6</v>
      </c>
      <c r="K463" s="11">
        <f t="shared" si="42"/>
        <v>6.2155775398998981E-4</v>
      </c>
      <c r="L463" s="12">
        <f t="shared" si="47"/>
        <v>0.80572531649721757</v>
      </c>
      <c r="M463" t="str">
        <f t="shared" si="43"/>
        <v>B</v>
      </c>
      <c r="N463" t="str">
        <f t="shared" si="44"/>
        <v>BAB</v>
      </c>
      <c r="O463" s="11">
        <f>VLOOKUP(A463,XYZ!A462:G1265,2,FALSE)</f>
        <v>2.2360679774997894</v>
      </c>
      <c r="P463" t="str">
        <f t="shared" si="45"/>
        <v>Z</v>
      </c>
      <c r="Q463" t="str">
        <f t="shared" si="46"/>
        <v>BABZ</v>
      </c>
    </row>
    <row r="464" spans="1:17" x14ac:dyDescent="0.15">
      <c r="A464" t="s">
        <v>1136</v>
      </c>
      <c r="B464" s="9">
        <v>1</v>
      </c>
      <c r="C464" s="13">
        <v>0</v>
      </c>
      <c r="D464" s="13">
        <v>0.94</v>
      </c>
      <c r="E464" s="9" t="s">
        <v>1241</v>
      </c>
      <c r="F464">
        <v>351</v>
      </c>
      <c r="G464" s="11">
        <v>9.5356559989527405E-4</v>
      </c>
      <c r="H464" s="12">
        <v>0.79491111472054732</v>
      </c>
      <c r="I464" t="s">
        <v>1240</v>
      </c>
      <c r="J464">
        <v>6</v>
      </c>
      <c r="K464" s="11">
        <f t="shared" si="42"/>
        <v>6.2155775398998981E-4</v>
      </c>
      <c r="L464" s="12">
        <f t="shared" si="47"/>
        <v>0.80634687425120755</v>
      </c>
      <c r="M464" t="str">
        <f t="shared" si="43"/>
        <v>B</v>
      </c>
      <c r="N464" t="str">
        <f t="shared" si="44"/>
        <v>BAB</v>
      </c>
      <c r="O464" s="11">
        <f>VLOOKUP(A464,XYZ!A463:G1266,2,FALSE)</f>
        <v>2.2360679774997894</v>
      </c>
      <c r="P464" t="str">
        <f t="shared" si="45"/>
        <v>Z</v>
      </c>
      <c r="Q464" t="str">
        <f t="shared" si="46"/>
        <v>BABZ</v>
      </c>
    </row>
    <row r="465" spans="1:17" x14ac:dyDescent="0.15">
      <c r="A465" t="s">
        <v>904</v>
      </c>
      <c r="B465" s="9">
        <v>1</v>
      </c>
      <c r="C465" s="13">
        <v>0</v>
      </c>
      <c r="D465" s="13">
        <v>0.69</v>
      </c>
      <c r="E465" s="9" t="s">
        <v>1240</v>
      </c>
      <c r="F465">
        <v>347</v>
      </c>
      <c r="G465" s="11">
        <v>9.4269875545202316E-4</v>
      </c>
      <c r="H465" s="12">
        <v>0.79965720903113735</v>
      </c>
      <c r="I465" t="s">
        <v>1240</v>
      </c>
      <c r="J465">
        <v>6</v>
      </c>
      <c r="K465" s="11">
        <f t="shared" si="42"/>
        <v>6.2155775398998981E-4</v>
      </c>
      <c r="L465" s="12">
        <f t="shared" si="47"/>
        <v>0.80696843200519752</v>
      </c>
      <c r="M465" t="str">
        <f t="shared" si="43"/>
        <v>B</v>
      </c>
      <c r="N465" t="str">
        <f t="shared" si="44"/>
        <v>AAB</v>
      </c>
      <c r="O465" s="11">
        <f>VLOOKUP(A465,XYZ!A464:G1267,2,FALSE)</f>
        <v>2.2360679774997894</v>
      </c>
      <c r="P465" t="str">
        <f t="shared" si="45"/>
        <v>Z</v>
      </c>
      <c r="Q465" t="str">
        <f t="shared" si="46"/>
        <v>AABZ</v>
      </c>
    </row>
    <row r="466" spans="1:17" x14ac:dyDescent="0.15">
      <c r="A466" t="s">
        <v>41</v>
      </c>
      <c r="B466" s="9">
        <v>1</v>
      </c>
      <c r="C466" s="13">
        <v>0</v>
      </c>
      <c r="D466" s="13">
        <v>0.72</v>
      </c>
      <c r="E466" s="9" t="s">
        <v>1240</v>
      </c>
      <c r="F466">
        <v>340</v>
      </c>
      <c r="G466" s="11">
        <v>9.236817776763339E-4</v>
      </c>
      <c r="H466" s="12">
        <v>0.80244183791972035</v>
      </c>
      <c r="I466" t="s">
        <v>1241</v>
      </c>
      <c r="J466">
        <v>6</v>
      </c>
      <c r="K466" s="11">
        <f t="shared" si="42"/>
        <v>6.2155775398998981E-4</v>
      </c>
      <c r="L466" s="12">
        <f t="shared" si="47"/>
        <v>0.8075899897591875</v>
      </c>
      <c r="M466" t="str">
        <f t="shared" si="43"/>
        <v>B</v>
      </c>
      <c r="N466" t="str">
        <f t="shared" si="44"/>
        <v>ABB</v>
      </c>
      <c r="O466" s="11">
        <f>VLOOKUP(A466,XYZ!A465:G1268,2,FALSE)</f>
        <v>2.2360679774997894</v>
      </c>
      <c r="P466" t="str">
        <f t="shared" si="45"/>
        <v>Z</v>
      </c>
      <c r="Q466" t="str">
        <f t="shared" si="46"/>
        <v>ABBZ</v>
      </c>
    </row>
    <row r="467" spans="1:17" x14ac:dyDescent="0.15">
      <c r="A467" t="s">
        <v>680</v>
      </c>
      <c r="B467" s="9">
        <v>1</v>
      </c>
      <c r="C467" s="13">
        <v>0</v>
      </c>
      <c r="D467" s="13">
        <v>0.78</v>
      </c>
      <c r="E467" s="9" t="s">
        <v>1240</v>
      </c>
      <c r="F467">
        <v>339</v>
      </c>
      <c r="G467" s="11">
        <v>9.2096506656552115E-4</v>
      </c>
      <c r="H467" s="12">
        <v>0.80428534374529559</v>
      </c>
      <c r="I467" t="s">
        <v>1241</v>
      </c>
      <c r="J467">
        <v>6</v>
      </c>
      <c r="K467" s="11">
        <f t="shared" si="42"/>
        <v>6.2155775398998981E-4</v>
      </c>
      <c r="L467" s="12">
        <f t="shared" si="47"/>
        <v>0.80821154751317748</v>
      </c>
      <c r="M467" t="str">
        <f t="shared" si="43"/>
        <v>B</v>
      </c>
      <c r="N467" t="str">
        <f t="shared" si="44"/>
        <v>ABB</v>
      </c>
      <c r="O467" s="11">
        <f>VLOOKUP(A467,XYZ!A466:G1269,2,FALSE)</f>
        <v>2.2360679774997894</v>
      </c>
      <c r="P467" t="str">
        <f t="shared" si="45"/>
        <v>Z</v>
      </c>
      <c r="Q467" t="str">
        <f t="shared" si="46"/>
        <v>ABBZ</v>
      </c>
    </row>
    <row r="468" spans="1:17" x14ac:dyDescent="0.15">
      <c r="A468" t="s">
        <v>1177</v>
      </c>
      <c r="B468" s="9">
        <v>1</v>
      </c>
      <c r="C468" s="13">
        <v>0</v>
      </c>
      <c r="D468" s="13">
        <v>0.79</v>
      </c>
      <c r="E468" s="9" t="s">
        <v>1240</v>
      </c>
      <c r="F468">
        <v>339</v>
      </c>
      <c r="G468" s="11">
        <v>9.2096506656552115E-4</v>
      </c>
      <c r="H468" s="12">
        <v>0.80520630881186106</v>
      </c>
      <c r="I468" t="s">
        <v>1241</v>
      </c>
      <c r="J468">
        <v>6</v>
      </c>
      <c r="K468" s="11">
        <f t="shared" si="42"/>
        <v>6.2155775398998981E-4</v>
      </c>
      <c r="L468" s="12">
        <f t="shared" si="47"/>
        <v>0.80883310526716745</v>
      </c>
      <c r="M468" t="str">
        <f t="shared" si="43"/>
        <v>B</v>
      </c>
      <c r="N468" t="str">
        <f t="shared" si="44"/>
        <v>ABB</v>
      </c>
      <c r="O468" s="11">
        <f>VLOOKUP(A468,XYZ!A467:G1270,2,FALSE)</f>
        <v>2.2360679774997894</v>
      </c>
      <c r="P468" t="str">
        <f t="shared" si="45"/>
        <v>Z</v>
      </c>
      <c r="Q468" t="str">
        <f t="shared" si="46"/>
        <v>ABBZ</v>
      </c>
    </row>
    <row r="469" spans="1:17" x14ac:dyDescent="0.15">
      <c r="A469" t="s">
        <v>1111</v>
      </c>
      <c r="B469" s="9">
        <v>1</v>
      </c>
      <c r="C469" s="13">
        <v>0</v>
      </c>
      <c r="D469" s="13">
        <v>0.96</v>
      </c>
      <c r="E469" s="9" t="s">
        <v>1242</v>
      </c>
      <c r="F469">
        <v>336</v>
      </c>
      <c r="G469" s="11">
        <v>9.128149332330829E-4</v>
      </c>
      <c r="H469" s="12">
        <v>0.80886300196701488</v>
      </c>
      <c r="I469" t="s">
        <v>1241</v>
      </c>
      <c r="J469">
        <v>6</v>
      </c>
      <c r="K469" s="11">
        <f t="shared" si="42"/>
        <v>6.2155775398998981E-4</v>
      </c>
      <c r="L469" s="12">
        <f t="shared" si="47"/>
        <v>0.80945466302115743</v>
      </c>
      <c r="M469" t="str">
        <f t="shared" si="43"/>
        <v>B</v>
      </c>
      <c r="N469" t="str">
        <f t="shared" si="44"/>
        <v>CBB</v>
      </c>
      <c r="O469" s="11">
        <f>VLOOKUP(A469,XYZ!A468:G1271,2,FALSE)</f>
        <v>2.2360679774997894</v>
      </c>
      <c r="P469" t="str">
        <f t="shared" si="45"/>
        <v>Z</v>
      </c>
      <c r="Q469" t="str">
        <f t="shared" si="46"/>
        <v>CBBZ</v>
      </c>
    </row>
    <row r="470" spans="1:17" x14ac:dyDescent="0.15">
      <c r="A470" t="s">
        <v>758</v>
      </c>
      <c r="B470" s="9">
        <v>1</v>
      </c>
      <c r="C470" s="13">
        <v>0</v>
      </c>
      <c r="D470" s="13">
        <v>0.73</v>
      </c>
      <c r="E470" s="9" t="s">
        <v>1240</v>
      </c>
      <c r="F470">
        <v>328</v>
      </c>
      <c r="G470" s="11">
        <v>8.9108124434658089E-4</v>
      </c>
      <c r="H470" s="12">
        <v>0.81065874801126203</v>
      </c>
      <c r="I470" t="s">
        <v>1241</v>
      </c>
      <c r="J470">
        <v>6</v>
      </c>
      <c r="K470" s="11">
        <f t="shared" si="42"/>
        <v>6.2155775398998981E-4</v>
      </c>
      <c r="L470" s="12">
        <f t="shared" si="47"/>
        <v>0.8100762207751474</v>
      </c>
      <c r="M470" t="str">
        <f t="shared" si="43"/>
        <v>B</v>
      </c>
      <c r="N470" t="str">
        <f t="shared" si="44"/>
        <v>ABB</v>
      </c>
      <c r="O470" s="11">
        <f>VLOOKUP(A470,XYZ!A469:G1272,2,FALSE)</f>
        <v>2.2360679774997894</v>
      </c>
      <c r="P470" t="str">
        <f t="shared" si="45"/>
        <v>Z</v>
      </c>
      <c r="Q470" t="str">
        <f t="shared" si="46"/>
        <v>ABBZ</v>
      </c>
    </row>
    <row r="471" spans="1:17" x14ac:dyDescent="0.15">
      <c r="A471" t="s">
        <v>500</v>
      </c>
      <c r="B471" s="9">
        <v>1</v>
      </c>
      <c r="C471" s="13">
        <v>0</v>
      </c>
      <c r="D471" s="13">
        <v>0.94</v>
      </c>
      <c r="E471" s="9" t="s">
        <v>1241</v>
      </c>
      <c r="F471">
        <v>327</v>
      </c>
      <c r="G471" s="11">
        <v>8.8836453323576814E-4</v>
      </c>
      <c r="H471" s="12">
        <v>0.81332818834874665</v>
      </c>
      <c r="I471" t="s">
        <v>1241</v>
      </c>
      <c r="J471">
        <v>6</v>
      </c>
      <c r="K471" s="11">
        <f t="shared" si="42"/>
        <v>6.2155775398998981E-4</v>
      </c>
      <c r="L471" s="12">
        <f t="shared" si="47"/>
        <v>0.81069777852913738</v>
      </c>
      <c r="M471" t="str">
        <f t="shared" si="43"/>
        <v>B</v>
      </c>
      <c r="N471" t="str">
        <f t="shared" si="44"/>
        <v>BBB</v>
      </c>
      <c r="O471" s="11">
        <f>VLOOKUP(A471,XYZ!A470:G1273,2,FALSE)</f>
        <v>2.2360679774997894</v>
      </c>
      <c r="P471" t="str">
        <f t="shared" si="45"/>
        <v>Z</v>
      </c>
      <c r="Q471" t="str">
        <f t="shared" si="46"/>
        <v>BBBZ</v>
      </c>
    </row>
    <row r="472" spans="1:17" x14ac:dyDescent="0.15">
      <c r="A472" t="s">
        <v>733</v>
      </c>
      <c r="B472" s="9">
        <v>1</v>
      </c>
      <c r="C472" s="13">
        <v>0</v>
      </c>
      <c r="D472" s="13">
        <v>0.73</v>
      </c>
      <c r="E472" s="9" t="s">
        <v>1240</v>
      </c>
      <c r="F472">
        <v>322</v>
      </c>
      <c r="G472" s="11">
        <v>8.7478097768170439E-4</v>
      </c>
      <c r="H472" s="12">
        <v>0.81420296932642833</v>
      </c>
      <c r="I472" t="s">
        <v>1241</v>
      </c>
      <c r="J472">
        <v>6</v>
      </c>
      <c r="K472" s="11">
        <f t="shared" si="42"/>
        <v>6.2155775398998981E-4</v>
      </c>
      <c r="L472" s="12">
        <f t="shared" si="47"/>
        <v>0.81131933628312736</v>
      </c>
      <c r="M472" t="str">
        <f t="shared" si="43"/>
        <v>B</v>
      </c>
      <c r="N472" t="str">
        <f t="shared" si="44"/>
        <v>ABB</v>
      </c>
      <c r="O472" s="11">
        <f>VLOOKUP(A472,XYZ!A471:G1274,2,FALSE)</f>
        <v>2.2360679774997894</v>
      </c>
      <c r="P472" t="str">
        <f t="shared" si="45"/>
        <v>Z</v>
      </c>
      <c r="Q472" t="str">
        <f t="shared" si="46"/>
        <v>ABBZ</v>
      </c>
    </row>
    <row r="473" spans="1:17" x14ac:dyDescent="0.15">
      <c r="A473" t="s">
        <v>1225</v>
      </c>
      <c r="B473" s="9">
        <v>1</v>
      </c>
      <c r="C473" s="13">
        <v>0</v>
      </c>
      <c r="D473" s="13">
        <v>0.93</v>
      </c>
      <c r="E473" s="9" t="s">
        <v>1241</v>
      </c>
      <c r="F473">
        <v>322</v>
      </c>
      <c r="G473" s="11">
        <v>8.7478097768170439E-4</v>
      </c>
      <c r="H473" s="12">
        <v>0.81507775030411</v>
      </c>
      <c r="I473" t="s">
        <v>1241</v>
      </c>
      <c r="J473">
        <v>6</v>
      </c>
      <c r="K473" s="11">
        <f t="shared" si="42"/>
        <v>6.2155775398998981E-4</v>
      </c>
      <c r="L473" s="12">
        <f t="shared" si="47"/>
        <v>0.81194089403711733</v>
      </c>
      <c r="M473" t="str">
        <f t="shared" si="43"/>
        <v>B</v>
      </c>
      <c r="N473" t="str">
        <f t="shared" si="44"/>
        <v>BBB</v>
      </c>
      <c r="O473" s="11">
        <f>VLOOKUP(A473,XYZ!A472:G1275,2,FALSE)</f>
        <v>2.2360679774997894</v>
      </c>
      <c r="P473" t="str">
        <f t="shared" si="45"/>
        <v>Z</v>
      </c>
      <c r="Q473" t="str">
        <f t="shared" si="46"/>
        <v>BBBZ</v>
      </c>
    </row>
    <row r="474" spans="1:17" x14ac:dyDescent="0.15">
      <c r="A474" t="s">
        <v>1056</v>
      </c>
      <c r="B474" s="9">
        <v>1</v>
      </c>
      <c r="C474" s="13">
        <v>0</v>
      </c>
      <c r="D474" s="13">
        <v>0.82</v>
      </c>
      <c r="E474" s="9" t="s">
        <v>1241</v>
      </c>
      <c r="F474">
        <v>319</v>
      </c>
      <c r="G474" s="11">
        <v>8.6663084434926625E-4</v>
      </c>
      <c r="H474" s="12">
        <v>0.81594438114845924</v>
      </c>
      <c r="I474" t="s">
        <v>1241</v>
      </c>
      <c r="J474">
        <v>6</v>
      </c>
      <c r="K474" s="11">
        <f t="shared" si="42"/>
        <v>6.2155775398998981E-4</v>
      </c>
      <c r="L474" s="12">
        <f t="shared" si="47"/>
        <v>0.81256245179110731</v>
      </c>
      <c r="M474" t="str">
        <f t="shared" si="43"/>
        <v>B</v>
      </c>
      <c r="N474" t="str">
        <f t="shared" si="44"/>
        <v>BBB</v>
      </c>
      <c r="O474" s="11">
        <f>VLOOKUP(A474,XYZ!A473:G1276,2,FALSE)</f>
        <v>2.2360679774997894</v>
      </c>
      <c r="P474" t="str">
        <f t="shared" si="45"/>
        <v>Z</v>
      </c>
      <c r="Q474" t="str">
        <f t="shared" si="46"/>
        <v>BBBZ</v>
      </c>
    </row>
    <row r="475" spans="1:17" x14ac:dyDescent="0.15">
      <c r="A475" t="s">
        <v>728</v>
      </c>
      <c r="B475" s="9">
        <v>1</v>
      </c>
      <c r="C475" s="13">
        <v>0</v>
      </c>
      <c r="D475" s="13">
        <v>0.86</v>
      </c>
      <c r="E475" s="9" t="s">
        <v>1241</v>
      </c>
      <c r="F475">
        <v>319</v>
      </c>
      <c r="G475" s="11">
        <v>8.6663084434926625E-4</v>
      </c>
      <c r="H475" s="12">
        <v>0.81681101199280848</v>
      </c>
      <c r="I475" t="s">
        <v>1241</v>
      </c>
      <c r="J475">
        <v>6</v>
      </c>
      <c r="K475" s="11">
        <f t="shared" si="42"/>
        <v>6.2155775398998981E-4</v>
      </c>
      <c r="L475" s="12">
        <f t="shared" si="47"/>
        <v>0.81318400954509729</v>
      </c>
      <c r="M475" t="str">
        <f t="shared" si="43"/>
        <v>B</v>
      </c>
      <c r="N475" t="str">
        <f t="shared" si="44"/>
        <v>BBB</v>
      </c>
      <c r="O475" s="11">
        <f>VLOOKUP(A475,XYZ!A474:G1277,2,FALSE)</f>
        <v>2.2360679774997894</v>
      </c>
      <c r="P475" t="str">
        <f t="shared" si="45"/>
        <v>Z</v>
      </c>
      <c r="Q475" t="str">
        <f t="shared" si="46"/>
        <v>BBBZ</v>
      </c>
    </row>
    <row r="476" spans="1:17" x14ac:dyDescent="0.15">
      <c r="A476" t="s">
        <v>209</v>
      </c>
      <c r="B476" s="9">
        <v>1</v>
      </c>
      <c r="C476" s="13">
        <v>0</v>
      </c>
      <c r="D476" s="13">
        <v>0.94</v>
      </c>
      <c r="E476" s="9" t="s">
        <v>1241</v>
      </c>
      <c r="F476">
        <v>317</v>
      </c>
      <c r="G476" s="11">
        <v>8.6119742212764075E-4</v>
      </c>
      <c r="H476" s="12">
        <v>0.81767220941493612</v>
      </c>
      <c r="I476" t="s">
        <v>1241</v>
      </c>
      <c r="J476">
        <v>6</v>
      </c>
      <c r="K476" s="11">
        <f t="shared" si="42"/>
        <v>6.2155775398998981E-4</v>
      </c>
      <c r="L476" s="12">
        <f t="shared" si="47"/>
        <v>0.81380556729908726</v>
      </c>
      <c r="M476" t="str">
        <f t="shared" si="43"/>
        <v>B</v>
      </c>
      <c r="N476" t="str">
        <f t="shared" si="44"/>
        <v>BBB</v>
      </c>
      <c r="O476" s="11">
        <f>VLOOKUP(A476,XYZ!A475:G1278,2,FALSE)</f>
        <v>2.2360679774997894</v>
      </c>
      <c r="P476" t="str">
        <f t="shared" si="45"/>
        <v>Z</v>
      </c>
      <c r="Q476" t="str">
        <f t="shared" si="46"/>
        <v>BBBZ</v>
      </c>
    </row>
    <row r="477" spans="1:17" x14ac:dyDescent="0.15">
      <c r="A477" t="s">
        <v>1169</v>
      </c>
      <c r="B477" s="9">
        <v>1</v>
      </c>
      <c r="C477" s="13">
        <v>0</v>
      </c>
      <c r="D477" s="13">
        <v>0.76</v>
      </c>
      <c r="E477" s="9" t="s">
        <v>1240</v>
      </c>
      <c r="F477">
        <v>315</v>
      </c>
      <c r="G477" s="11">
        <v>8.5576399990601524E-4</v>
      </c>
      <c r="H477" s="12">
        <v>0.81938645412585898</v>
      </c>
      <c r="I477" t="s">
        <v>1241</v>
      </c>
      <c r="J477">
        <v>6</v>
      </c>
      <c r="K477" s="11">
        <f t="shared" si="42"/>
        <v>6.2155775398998981E-4</v>
      </c>
      <c r="L477" s="12">
        <f t="shared" si="47"/>
        <v>0.81442712505307724</v>
      </c>
      <c r="M477" t="str">
        <f t="shared" si="43"/>
        <v>B</v>
      </c>
      <c r="N477" t="str">
        <f t="shared" si="44"/>
        <v>ABB</v>
      </c>
      <c r="O477" s="11">
        <f>VLOOKUP(A477,XYZ!A476:G1279,2,FALSE)</f>
        <v>2.2360679774997894</v>
      </c>
      <c r="P477" t="str">
        <f t="shared" si="45"/>
        <v>Z</v>
      </c>
      <c r="Q477" t="str">
        <f t="shared" si="46"/>
        <v>ABBZ</v>
      </c>
    </row>
    <row r="478" spans="1:17" x14ac:dyDescent="0.15">
      <c r="A478" t="s">
        <v>843</v>
      </c>
      <c r="B478" s="9">
        <v>1</v>
      </c>
      <c r="C478" s="13">
        <v>0</v>
      </c>
      <c r="D478" s="13">
        <v>0.81</v>
      </c>
      <c r="E478" s="9" t="s">
        <v>1241</v>
      </c>
      <c r="F478">
        <v>313</v>
      </c>
      <c r="G478" s="11">
        <v>8.5033057768438974E-4</v>
      </c>
      <c r="H478" s="12">
        <v>0.82023678470354333</v>
      </c>
      <c r="I478" t="s">
        <v>1241</v>
      </c>
      <c r="J478">
        <v>6</v>
      </c>
      <c r="K478" s="11">
        <f t="shared" si="42"/>
        <v>6.2155775398998981E-4</v>
      </c>
      <c r="L478" s="12">
        <f t="shared" si="47"/>
        <v>0.81504868280706722</v>
      </c>
      <c r="M478" t="str">
        <f t="shared" si="43"/>
        <v>B</v>
      </c>
      <c r="N478" t="str">
        <f t="shared" si="44"/>
        <v>BBB</v>
      </c>
      <c r="O478" s="11">
        <f>VLOOKUP(A478,XYZ!A477:G1280,2,FALSE)</f>
        <v>2.2360679774997894</v>
      </c>
      <c r="P478" t="str">
        <f t="shared" si="45"/>
        <v>Z</v>
      </c>
      <c r="Q478" t="str">
        <f t="shared" si="46"/>
        <v>BBBZ</v>
      </c>
    </row>
    <row r="479" spans="1:17" x14ac:dyDescent="0.15">
      <c r="A479" t="s">
        <v>1156</v>
      </c>
      <c r="B479" s="9">
        <v>1</v>
      </c>
      <c r="C479" s="13">
        <v>0</v>
      </c>
      <c r="D479" s="13">
        <v>0.82</v>
      </c>
      <c r="E479" s="9" t="s">
        <v>1241</v>
      </c>
      <c r="F479">
        <v>310.5</v>
      </c>
      <c r="G479" s="11">
        <v>8.4353879990735781E-4</v>
      </c>
      <c r="H479" s="12">
        <v>0.82108032350345073</v>
      </c>
      <c r="I479" t="s">
        <v>1241</v>
      </c>
      <c r="J479">
        <v>6</v>
      </c>
      <c r="K479" s="11">
        <f t="shared" si="42"/>
        <v>6.2155775398998981E-4</v>
      </c>
      <c r="L479" s="12">
        <f t="shared" si="47"/>
        <v>0.81567024056105719</v>
      </c>
      <c r="M479" t="str">
        <f t="shared" si="43"/>
        <v>B</v>
      </c>
      <c r="N479" t="str">
        <f t="shared" si="44"/>
        <v>BBB</v>
      </c>
      <c r="O479" s="11">
        <f>VLOOKUP(A479,XYZ!A478:G1281,2,FALSE)</f>
        <v>2.2360679774997894</v>
      </c>
      <c r="P479" t="str">
        <f t="shared" si="45"/>
        <v>Z</v>
      </c>
      <c r="Q479" t="str">
        <f t="shared" si="46"/>
        <v>BBBZ</v>
      </c>
    </row>
    <row r="480" spans="1:17" x14ac:dyDescent="0.15">
      <c r="A480" t="s">
        <v>493</v>
      </c>
      <c r="B480" s="9">
        <v>1</v>
      </c>
      <c r="C480" s="13">
        <v>0</v>
      </c>
      <c r="D480" s="13">
        <v>0.87</v>
      </c>
      <c r="E480" s="9" t="s">
        <v>1241</v>
      </c>
      <c r="F480">
        <v>309</v>
      </c>
      <c r="G480" s="11">
        <v>8.3946373324113874E-4</v>
      </c>
      <c r="H480" s="12">
        <v>0.82275925096993308</v>
      </c>
      <c r="I480" t="s">
        <v>1241</v>
      </c>
      <c r="J480">
        <v>6</v>
      </c>
      <c r="K480" s="11">
        <f t="shared" si="42"/>
        <v>6.2155775398998981E-4</v>
      </c>
      <c r="L480" s="12">
        <f t="shared" si="47"/>
        <v>0.81629179831504717</v>
      </c>
      <c r="M480" t="str">
        <f t="shared" si="43"/>
        <v>B</v>
      </c>
      <c r="N480" t="str">
        <f t="shared" si="44"/>
        <v>BBB</v>
      </c>
      <c r="O480" s="11">
        <f>VLOOKUP(A480,XYZ!A479:G1282,2,FALSE)</f>
        <v>2.2360679774997894</v>
      </c>
      <c r="P480" t="str">
        <f t="shared" si="45"/>
        <v>Z</v>
      </c>
      <c r="Q480" t="str">
        <f t="shared" si="46"/>
        <v>BBBZ</v>
      </c>
    </row>
    <row r="481" spans="1:17" x14ac:dyDescent="0.15">
      <c r="A481" t="s">
        <v>639</v>
      </c>
      <c r="B481" s="9">
        <v>1</v>
      </c>
      <c r="C481" s="13">
        <v>0</v>
      </c>
      <c r="D481" s="13">
        <v>0.97</v>
      </c>
      <c r="E481" s="9" t="s">
        <v>1242</v>
      </c>
      <c r="F481">
        <v>308</v>
      </c>
      <c r="G481" s="11">
        <v>8.3674702213032599E-4</v>
      </c>
      <c r="H481" s="12">
        <v>0.82443274501419372</v>
      </c>
      <c r="I481" t="s">
        <v>1241</v>
      </c>
      <c r="J481">
        <v>6</v>
      </c>
      <c r="K481" s="11">
        <f t="shared" si="42"/>
        <v>6.2155775398998981E-4</v>
      </c>
      <c r="L481" s="12">
        <f t="shared" si="47"/>
        <v>0.81691335606903714</v>
      </c>
      <c r="M481" t="str">
        <f t="shared" si="43"/>
        <v>B</v>
      </c>
      <c r="N481" t="str">
        <f t="shared" si="44"/>
        <v>CBB</v>
      </c>
      <c r="O481" s="11">
        <f>VLOOKUP(A481,XYZ!A480:G1283,2,FALSE)</f>
        <v>2.2360679774997894</v>
      </c>
      <c r="P481" t="str">
        <f t="shared" si="45"/>
        <v>Z</v>
      </c>
      <c r="Q481" t="str">
        <f t="shared" si="46"/>
        <v>CBBZ</v>
      </c>
    </row>
    <row r="482" spans="1:17" x14ac:dyDescent="0.15">
      <c r="A482" t="s">
        <v>905</v>
      </c>
      <c r="B482" s="9">
        <v>1</v>
      </c>
      <c r="C482" s="13">
        <v>0</v>
      </c>
      <c r="D482" s="13">
        <v>0.7</v>
      </c>
      <c r="E482" s="9" t="s">
        <v>1240</v>
      </c>
      <c r="F482">
        <v>307</v>
      </c>
      <c r="G482" s="11">
        <v>8.3403031101951324E-4</v>
      </c>
      <c r="H482" s="12">
        <v>0.82610080563623267</v>
      </c>
      <c r="I482" t="s">
        <v>1241</v>
      </c>
      <c r="J482">
        <v>6</v>
      </c>
      <c r="K482" s="11">
        <f t="shared" si="42"/>
        <v>6.2155775398998981E-4</v>
      </c>
      <c r="L482" s="12">
        <f t="shared" si="47"/>
        <v>0.81753491382302712</v>
      </c>
      <c r="M482" t="str">
        <f t="shared" si="43"/>
        <v>B</v>
      </c>
      <c r="N482" t="str">
        <f t="shared" si="44"/>
        <v>ABB</v>
      </c>
      <c r="O482" s="11">
        <f>VLOOKUP(A482,XYZ!A481:G1284,2,FALSE)</f>
        <v>2.2360679774997894</v>
      </c>
      <c r="P482" t="str">
        <f t="shared" si="45"/>
        <v>Z</v>
      </c>
      <c r="Q482" t="str">
        <f t="shared" si="46"/>
        <v>ABBZ</v>
      </c>
    </row>
    <row r="483" spans="1:17" x14ac:dyDescent="0.15">
      <c r="A483" t="s">
        <v>287</v>
      </c>
      <c r="B483" s="9">
        <v>1</v>
      </c>
      <c r="C483" s="13">
        <v>0</v>
      </c>
      <c r="D483" s="13">
        <v>0.72</v>
      </c>
      <c r="E483" s="9" t="s">
        <v>1240</v>
      </c>
      <c r="F483">
        <v>306</v>
      </c>
      <c r="G483" s="11">
        <v>8.3131359990870049E-4</v>
      </c>
      <c r="H483" s="12">
        <v>0.82776343283605014</v>
      </c>
      <c r="I483" t="s">
        <v>1241</v>
      </c>
      <c r="J483">
        <v>6</v>
      </c>
      <c r="K483" s="11">
        <f t="shared" si="42"/>
        <v>6.2155775398998981E-4</v>
      </c>
      <c r="L483" s="12">
        <f t="shared" si="47"/>
        <v>0.8181564715770171</v>
      </c>
      <c r="M483" t="str">
        <f t="shared" si="43"/>
        <v>B</v>
      </c>
      <c r="N483" t="str">
        <f t="shared" si="44"/>
        <v>ABB</v>
      </c>
      <c r="O483" s="11">
        <f>VLOOKUP(A483,XYZ!A482:G1285,2,FALSE)</f>
        <v>2.2360679774997894</v>
      </c>
      <c r="P483" t="str">
        <f t="shared" si="45"/>
        <v>Z</v>
      </c>
      <c r="Q483" t="str">
        <f t="shared" si="46"/>
        <v>ABBZ</v>
      </c>
    </row>
    <row r="484" spans="1:17" x14ac:dyDescent="0.15">
      <c r="A484" t="s">
        <v>598</v>
      </c>
      <c r="B484" s="9">
        <v>1</v>
      </c>
      <c r="C484" s="13">
        <v>0</v>
      </c>
      <c r="D484" s="13">
        <v>0.98</v>
      </c>
      <c r="E484" s="9" t="s">
        <v>1242</v>
      </c>
      <c r="F484">
        <v>306</v>
      </c>
      <c r="G484" s="11">
        <v>8.3131359990870049E-4</v>
      </c>
      <c r="H484" s="12">
        <v>0.82859474643595887</v>
      </c>
      <c r="I484" t="s">
        <v>1241</v>
      </c>
      <c r="J484">
        <v>6</v>
      </c>
      <c r="K484" s="11">
        <f t="shared" si="42"/>
        <v>6.2155775398998981E-4</v>
      </c>
      <c r="L484" s="12">
        <f t="shared" si="47"/>
        <v>0.81877802933100707</v>
      </c>
      <c r="M484" t="str">
        <f t="shared" si="43"/>
        <v>B</v>
      </c>
      <c r="N484" t="str">
        <f t="shared" si="44"/>
        <v>CBB</v>
      </c>
      <c r="O484" s="11">
        <f>VLOOKUP(A484,XYZ!A483:G1286,2,FALSE)</f>
        <v>2.2360679774997894</v>
      </c>
      <c r="P484" t="str">
        <f t="shared" si="45"/>
        <v>Z</v>
      </c>
      <c r="Q484" t="str">
        <f t="shared" si="46"/>
        <v>CBBZ</v>
      </c>
    </row>
    <row r="485" spans="1:17" x14ac:dyDescent="0.15">
      <c r="A485" t="s">
        <v>1123</v>
      </c>
      <c r="B485" s="9">
        <v>1</v>
      </c>
      <c r="C485" s="13">
        <v>0</v>
      </c>
      <c r="D485" s="13">
        <v>0.83</v>
      </c>
      <c r="E485" s="9" t="s">
        <v>1241</v>
      </c>
      <c r="F485">
        <v>302</v>
      </c>
      <c r="G485" s="11">
        <v>8.2044675546544949E-4</v>
      </c>
      <c r="H485" s="12">
        <v>0.83106695354679849</v>
      </c>
      <c r="I485" t="s">
        <v>1241</v>
      </c>
      <c r="J485">
        <v>6</v>
      </c>
      <c r="K485" s="11">
        <f t="shared" si="42"/>
        <v>6.2155775398998981E-4</v>
      </c>
      <c r="L485" s="12">
        <f t="shared" si="47"/>
        <v>0.81939958708499705</v>
      </c>
      <c r="M485" t="str">
        <f t="shared" si="43"/>
        <v>B</v>
      </c>
      <c r="N485" t="str">
        <f t="shared" si="44"/>
        <v>BBB</v>
      </c>
      <c r="O485" s="11">
        <f>VLOOKUP(A485,XYZ!A484:G1287,2,FALSE)</f>
        <v>2.2360679774997894</v>
      </c>
      <c r="P485" t="str">
        <f t="shared" si="45"/>
        <v>Z</v>
      </c>
      <c r="Q485" t="str">
        <f t="shared" si="46"/>
        <v>BBBZ</v>
      </c>
    </row>
    <row r="486" spans="1:17" x14ac:dyDescent="0.15">
      <c r="A486" t="s">
        <v>787</v>
      </c>
      <c r="B486" s="9">
        <v>1</v>
      </c>
      <c r="C486" s="13">
        <v>0</v>
      </c>
      <c r="D486" s="13">
        <v>0.72</v>
      </c>
      <c r="E486" s="9" t="s">
        <v>1240</v>
      </c>
      <c r="F486">
        <v>300</v>
      </c>
      <c r="G486" s="11">
        <v>8.1501333324382399E-4</v>
      </c>
      <c r="H486" s="12">
        <v>0.8326969802132862</v>
      </c>
      <c r="I486" t="s">
        <v>1241</v>
      </c>
      <c r="J486">
        <v>6</v>
      </c>
      <c r="K486" s="11">
        <f t="shared" si="42"/>
        <v>6.2155775398998981E-4</v>
      </c>
      <c r="L486" s="12">
        <f t="shared" si="47"/>
        <v>0.82002114483898703</v>
      </c>
      <c r="M486" t="str">
        <f t="shared" si="43"/>
        <v>B</v>
      </c>
      <c r="N486" t="str">
        <f t="shared" si="44"/>
        <v>ABB</v>
      </c>
      <c r="O486" s="11">
        <f>VLOOKUP(A486,XYZ!A485:G1288,2,FALSE)</f>
        <v>2.2360679774997894</v>
      </c>
      <c r="P486" t="str">
        <f t="shared" si="45"/>
        <v>Z</v>
      </c>
      <c r="Q486" t="str">
        <f t="shared" si="46"/>
        <v>ABBZ</v>
      </c>
    </row>
    <row r="487" spans="1:17" x14ac:dyDescent="0.15">
      <c r="A487" t="s">
        <v>1095</v>
      </c>
      <c r="B487" s="9">
        <v>1</v>
      </c>
      <c r="C487" s="13">
        <v>0</v>
      </c>
      <c r="D487" s="13">
        <v>0.84</v>
      </c>
      <c r="E487" s="9" t="s">
        <v>1241</v>
      </c>
      <c r="F487">
        <v>298</v>
      </c>
      <c r="G487" s="11">
        <v>8.0957991102219848E-4</v>
      </c>
      <c r="H487" s="12">
        <v>0.83350656012430835</v>
      </c>
      <c r="I487" t="s">
        <v>1241</v>
      </c>
      <c r="J487">
        <v>6</v>
      </c>
      <c r="K487" s="11">
        <f t="shared" si="42"/>
        <v>6.2155775398998981E-4</v>
      </c>
      <c r="L487" s="12">
        <f t="shared" si="47"/>
        <v>0.820642702592977</v>
      </c>
      <c r="M487" t="str">
        <f t="shared" si="43"/>
        <v>B</v>
      </c>
      <c r="N487" t="str">
        <f t="shared" si="44"/>
        <v>BBB</v>
      </c>
      <c r="O487" s="11">
        <f>VLOOKUP(A487,XYZ!A486:G1289,2,FALSE)</f>
        <v>2.2360679774997894</v>
      </c>
      <c r="P487" t="str">
        <f t="shared" si="45"/>
        <v>Z</v>
      </c>
      <c r="Q487" t="str">
        <f t="shared" si="46"/>
        <v>BBBZ</v>
      </c>
    </row>
    <row r="488" spans="1:17" x14ac:dyDescent="0.15">
      <c r="A488" t="s">
        <v>1211</v>
      </c>
      <c r="B488" s="9">
        <v>1</v>
      </c>
      <c r="C488" s="13">
        <v>0</v>
      </c>
      <c r="D488" s="13">
        <v>0.89</v>
      </c>
      <c r="E488" s="9" t="s">
        <v>1241</v>
      </c>
      <c r="F488">
        <v>298</v>
      </c>
      <c r="G488" s="11">
        <v>8.0957991102219848E-4</v>
      </c>
      <c r="H488" s="12">
        <v>0.8343161400353305</v>
      </c>
      <c r="I488" t="s">
        <v>1241</v>
      </c>
      <c r="J488">
        <v>6</v>
      </c>
      <c r="K488" s="11">
        <f t="shared" si="42"/>
        <v>6.2155775398998981E-4</v>
      </c>
      <c r="L488" s="12">
        <f t="shared" si="47"/>
        <v>0.82126426034696698</v>
      </c>
      <c r="M488" t="str">
        <f t="shared" si="43"/>
        <v>B</v>
      </c>
      <c r="N488" t="str">
        <f t="shared" si="44"/>
        <v>BBB</v>
      </c>
      <c r="O488" s="11">
        <f>VLOOKUP(A488,XYZ!A487:G1290,2,FALSE)</f>
        <v>2.2360679774997894</v>
      </c>
      <c r="P488" t="str">
        <f t="shared" si="45"/>
        <v>Z</v>
      </c>
      <c r="Q488" t="str">
        <f t="shared" si="46"/>
        <v>BBBZ</v>
      </c>
    </row>
    <row r="489" spans="1:17" x14ac:dyDescent="0.15">
      <c r="A489" t="s">
        <v>164</v>
      </c>
      <c r="B489" s="9">
        <v>1</v>
      </c>
      <c r="C489" s="13">
        <v>0</v>
      </c>
      <c r="D489" s="13">
        <v>0.91</v>
      </c>
      <c r="E489" s="9" t="s">
        <v>1241</v>
      </c>
      <c r="F489">
        <v>295</v>
      </c>
      <c r="G489" s="11">
        <v>8.0142977768976023E-4</v>
      </c>
      <c r="H489" s="12">
        <v>0.8367264876341769</v>
      </c>
      <c r="I489" t="s">
        <v>1241</v>
      </c>
      <c r="J489">
        <v>6</v>
      </c>
      <c r="K489" s="11">
        <f t="shared" si="42"/>
        <v>6.2155775398998981E-4</v>
      </c>
      <c r="L489" s="12">
        <f t="shared" si="47"/>
        <v>0.82188581810095696</v>
      </c>
      <c r="M489" t="str">
        <f t="shared" si="43"/>
        <v>B</v>
      </c>
      <c r="N489" t="str">
        <f t="shared" si="44"/>
        <v>BBB</v>
      </c>
      <c r="O489" s="11">
        <f>VLOOKUP(A489,XYZ!A488:G1291,2,FALSE)</f>
        <v>2.2360679774997894</v>
      </c>
      <c r="P489" t="str">
        <f t="shared" si="45"/>
        <v>Z</v>
      </c>
      <c r="Q489" t="str">
        <f t="shared" si="46"/>
        <v>BBBZ</v>
      </c>
    </row>
    <row r="490" spans="1:17" x14ac:dyDescent="0.15">
      <c r="A490" t="s">
        <v>1122</v>
      </c>
      <c r="B490" s="9">
        <v>1</v>
      </c>
      <c r="C490" s="13">
        <v>0</v>
      </c>
      <c r="D490" s="13">
        <v>0.81</v>
      </c>
      <c r="E490" s="9" t="s">
        <v>1241</v>
      </c>
      <c r="F490">
        <v>288</v>
      </c>
      <c r="G490" s="11">
        <v>7.8241279991407109E-4</v>
      </c>
      <c r="H490" s="12">
        <v>0.84224141118912665</v>
      </c>
      <c r="I490" t="s">
        <v>1241</v>
      </c>
      <c r="J490">
        <v>6</v>
      </c>
      <c r="K490" s="11">
        <f t="shared" si="42"/>
        <v>6.2155775398998981E-4</v>
      </c>
      <c r="L490" s="12">
        <f t="shared" si="47"/>
        <v>0.82250737585494693</v>
      </c>
      <c r="M490" t="str">
        <f t="shared" si="43"/>
        <v>B</v>
      </c>
      <c r="N490" t="str">
        <f t="shared" si="44"/>
        <v>BBB</v>
      </c>
      <c r="O490" s="11">
        <f>VLOOKUP(A490,XYZ!A489:G1292,2,FALSE)</f>
        <v>2.2360679774997894</v>
      </c>
      <c r="P490" t="str">
        <f t="shared" si="45"/>
        <v>Z</v>
      </c>
      <c r="Q490" t="str">
        <f t="shared" si="46"/>
        <v>BBBZ</v>
      </c>
    </row>
    <row r="491" spans="1:17" x14ac:dyDescent="0.15">
      <c r="A491" t="s">
        <v>573</v>
      </c>
      <c r="B491" s="9">
        <v>1</v>
      </c>
      <c r="C491" s="13">
        <v>0</v>
      </c>
      <c r="D491" s="13">
        <v>0.88</v>
      </c>
      <c r="E491" s="9" t="s">
        <v>1241</v>
      </c>
      <c r="F491">
        <v>286</v>
      </c>
      <c r="G491" s="11">
        <v>7.7697937769244559E-4</v>
      </c>
      <c r="H491" s="12">
        <v>0.84457234932220415</v>
      </c>
      <c r="I491" t="s">
        <v>1241</v>
      </c>
      <c r="J491">
        <v>6</v>
      </c>
      <c r="K491" s="11">
        <f t="shared" si="42"/>
        <v>6.2155775398998981E-4</v>
      </c>
      <c r="L491" s="12">
        <f t="shared" si="47"/>
        <v>0.82312893360893691</v>
      </c>
      <c r="M491" t="str">
        <f t="shared" si="43"/>
        <v>B</v>
      </c>
      <c r="N491" t="str">
        <f t="shared" si="44"/>
        <v>BBB</v>
      </c>
      <c r="O491" s="11">
        <f>VLOOKUP(A491,XYZ!A490:G1293,2,FALSE)</f>
        <v>2.2360679774997894</v>
      </c>
      <c r="P491" t="str">
        <f t="shared" si="45"/>
        <v>Z</v>
      </c>
      <c r="Q491" t="str">
        <f t="shared" si="46"/>
        <v>BBBZ</v>
      </c>
    </row>
    <row r="492" spans="1:17" x14ac:dyDescent="0.15">
      <c r="A492" t="s">
        <v>271</v>
      </c>
      <c r="B492" s="9">
        <v>1</v>
      </c>
      <c r="C492" s="13">
        <v>0</v>
      </c>
      <c r="D492" s="13">
        <v>0.92</v>
      </c>
      <c r="E492" s="9" t="s">
        <v>1241</v>
      </c>
      <c r="F492">
        <v>286</v>
      </c>
      <c r="G492" s="11">
        <v>7.7697937769244559E-4</v>
      </c>
      <c r="H492" s="12">
        <v>0.84534932869989665</v>
      </c>
      <c r="I492" t="s">
        <v>1241</v>
      </c>
      <c r="J492">
        <v>6</v>
      </c>
      <c r="K492" s="11">
        <f t="shared" si="42"/>
        <v>6.2155775398998981E-4</v>
      </c>
      <c r="L492" s="12">
        <f t="shared" si="47"/>
        <v>0.82375049136292688</v>
      </c>
      <c r="M492" t="str">
        <f t="shared" si="43"/>
        <v>B</v>
      </c>
      <c r="N492" t="str">
        <f t="shared" si="44"/>
        <v>BBB</v>
      </c>
      <c r="O492" s="11">
        <f>VLOOKUP(A492,XYZ!A491:G1294,2,FALSE)</f>
        <v>2.2360679774997894</v>
      </c>
      <c r="P492" t="str">
        <f t="shared" si="45"/>
        <v>Z</v>
      </c>
      <c r="Q492" t="str">
        <f t="shared" si="46"/>
        <v>BBBZ</v>
      </c>
    </row>
    <row r="493" spans="1:17" x14ac:dyDescent="0.15">
      <c r="A493" t="s">
        <v>1196</v>
      </c>
      <c r="B493" s="9">
        <v>1</v>
      </c>
      <c r="C493" s="13">
        <v>0</v>
      </c>
      <c r="D493" s="13">
        <v>0.93</v>
      </c>
      <c r="E493" s="9" t="s">
        <v>1241</v>
      </c>
      <c r="F493">
        <v>285</v>
      </c>
      <c r="G493" s="11">
        <v>7.7426266658163284E-4</v>
      </c>
      <c r="H493" s="12">
        <v>0.8461235913664783</v>
      </c>
      <c r="I493" t="s">
        <v>1241</v>
      </c>
      <c r="J493">
        <v>6</v>
      </c>
      <c r="K493" s="11">
        <f t="shared" si="42"/>
        <v>6.2155775398998981E-4</v>
      </c>
      <c r="L493" s="12">
        <f t="shared" si="47"/>
        <v>0.82437204911691686</v>
      </c>
      <c r="M493" t="str">
        <f t="shared" si="43"/>
        <v>B</v>
      </c>
      <c r="N493" t="str">
        <f t="shared" si="44"/>
        <v>BBB</v>
      </c>
      <c r="O493" s="11">
        <f>VLOOKUP(A493,XYZ!A492:G1295,2,FALSE)</f>
        <v>2.2360679774997894</v>
      </c>
      <c r="P493" t="str">
        <f t="shared" si="45"/>
        <v>Z</v>
      </c>
      <c r="Q493" t="str">
        <f t="shared" si="46"/>
        <v>BBBZ</v>
      </c>
    </row>
    <row r="494" spans="1:17" x14ac:dyDescent="0.15">
      <c r="A494" t="s">
        <v>42</v>
      </c>
      <c r="B494" s="9">
        <v>1</v>
      </c>
      <c r="C494" s="13">
        <v>0</v>
      </c>
      <c r="D494" s="13">
        <v>0.83</v>
      </c>
      <c r="E494" s="9" t="s">
        <v>1241</v>
      </c>
      <c r="F494">
        <v>284</v>
      </c>
      <c r="G494" s="11">
        <v>7.7154595547082008E-4</v>
      </c>
      <c r="H494" s="12">
        <v>0.8468951373219491</v>
      </c>
      <c r="I494" t="s">
        <v>1241</v>
      </c>
      <c r="J494">
        <v>6</v>
      </c>
      <c r="K494" s="11">
        <f t="shared" si="42"/>
        <v>6.2155775398998981E-4</v>
      </c>
      <c r="L494" s="12">
        <f t="shared" si="47"/>
        <v>0.82499360687090684</v>
      </c>
      <c r="M494" t="str">
        <f t="shared" si="43"/>
        <v>B</v>
      </c>
      <c r="N494" t="str">
        <f t="shared" si="44"/>
        <v>BBB</v>
      </c>
      <c r="O494" s="11">
        <f>VLOOKUP(A494,XYZ!A493:G1296,2,FALSE)</f>
        <v>2.2360679774997894</v>
      </c>
      <c r="P494" t="str">
        <f t="shared" si="45"/>
        <v>Z</v>
      </c>
      <c r="Q494" t="str">
        <f t="shared" si="46"/>
        <v>BBBZ</v>
      </c>
    </row>
    <row r="495" spans="1:17" x14ac:dyDescent="0.15">
      <c r="A495" t="s">
        <v>393</v>
      </c>
      <c r="B495" s="9">
        <v>1</v>
      </c>
      <c r="C495" s="13">
        <v>0</v>
      </c>
      <c r="D495" s="13">
        <v>0.73</v>
      </c>
      <c r="E495" s="9" t="s">
        <v>1240</v>
      </c>
      <c r="F495">
        <v>282</v>
      </c>
      <c r="G495" s="11">
        <v>7.6611253324919458E-4</v>
      </c>
      <c r="H495" s="12">
        <v>0.84842736238844751</v>
      </c>
      <c r="I495" t="s">
        <v>1241</v>
      </c>
      <c r="J495">
        <v>6</v>
      </c>
      <c r="K495" s="11">
        <f t="shared" si="42"/>
        <v>6.2155775398998981E-4</v>
      </c>
      <c r="L495" s="12">
        <f t="shared" si="47"/>
        <v>0.82561516462489681</v>
      </c>
      <c r="M495" t="str">
        <f t="shared" si="43"/>
        <v>B</v>
      </c>
      <c r="N495" t="str">
        <f t="shared" si="44"/>
        <v>ABB</v>
      </c>
      <c r="O495" s="11">
        <f>VLOOKUP(A495,XYZ!A494:G1297,2,FALSE)</f>
        <v>2.2360679774997894</v>
      </c>
      <c r="P495" t="str">
        <f t="shared" si="45"/>
        <v>Z</v>
      </c>
      <c r="Q495" t="str">
        <f t="shared" si="46"/>
        <v>ABBZ</v>
      </c>
    </row>
    <row r="496" spans="1:17" x14ac:dyDescent="0.15">
      <c r="A496" t="s">
        <v>561</v>
      </c>
      <c r="B496" s="9">
        <v>1</v>
      </c>
      <c r="C496" s="13">
        <v>0</v>
      </c>
      <c r="D496" s="13">
        <v>0.94</v>
      </c>
      <c r="E496" s="9" t="s">
        <v>1241</v>
      </c>
      <c r="F496">
        <v>282</v>
      </c>
      <c r="G496" s="11">
        <v>7.6611253324919458E-4</v>
      </c>
      <c r="H496" s="12">
        <v>0.84919347492169672</v>
      </c>
      <c r="I496" t="s">
        <v>1241</v>
      </c>
      <c r="J496">
        <v>6</v>
      </c>
      <c r="K496" s="11">
        <f t="shared" si="42"/>
        <v>6.2155775398998981E-4</v>
      </c>
      <c r="L496" s="12">
        <f t="shared" si="47"/>
        <v>0.82623672237888679</v>
      </c>
      <c r="M496" t="str">
        <f t="shared" si="43"/>
        <v>B</v>
      </c>
      <c r="N496" t="str">
        <f t="shared" si="44"/>
        <v>BBB</v>
      </c>
      <c r="O496" s="11">
        <f>VLOOKUP(A496,XYZ!A495:G1298,2,FALSE)</f>
        <v>2.2360679774997894</v>
      </c>
      <c r="P496" t="str">
        <f t="shared" si="45"/>
        <v>Z</v>
      </c>
      <c r="Q496" t="str">
        <f t="shared" si="46"/>
        <v>BBBZ</v>
      </c>
    </row>
    <row r="497" spans="1:17" x14ac:dyDescent="0.15">
      <c r="A497" t="s">
        <v>132</v>
      </c>
      <c r="B497" s="9">
        <v>1</v>
      </c>
      <c r="C497" s="13">
        <v>0</v>
      </c>
      <c r="D497" s="13">
        <v>0.89</v>
      </c>
      <c r="E497" s="9" t="s">
        <v>1241</v>
      </c>
      <c r="F497">
        <v>280</v>
      </c>
      <c r="G497" s="11">
        <v>7.6067911102756908E-4</v>
      </c>
      <c r="H497" s="12">
        <v>0.85071483314375196</v>
      </c>
      <c r="I497" t="s">
        <v>1241</v>
      </c>
      <c r="J497">
        <v>6</v>
      </c>
      <c r="K497" s="11">
        <f t="shared" si="42"/>
        <v>6.2155775398998981E-4</v>
      </c>
      <c r="L497" s="12">
        <f t="shared" si="47"/>
        <v>0.82685828013287677</v>
      </c>
      <c r="M497" t="str">
        <f t="shared" si="43"/>
        <v>B</v>
      </c>
      <c r="N497" t="str">
        <f t="shared" si="44"/>
        <v>BBB</v>
      </c>
      <c r="O497" s="11">
        <f>VLOOKUP(A497,XYZ!A496:G1299,2,FALSE)</f>
        <v>2.2360679774997894</v>
      </c>
      <c r="P497" t="str">
        <f t="shared" si="45"/>
        <v>Z</v>
      </c>
      <c r="Q497" t="str">
        <f t="shared" si="46"/>
        <v>BBBZ</v>
      </c>
    </row>
    <row r="498" spans="1:17" x14ac:dyDescent="0.15">
      <c r="A498" t="s">
        <v>951</v>
      </c>
      <c r="B498" s="9">
        <v>1</v>
      </c>
      <c r="C498" s="13">
        <v>0</v>
      </c>
      <c r="D498" s="13">
        <v>0.88</v>
      </c>
      <c r="E498" s="9" t="s">
        <v>1241</v>
      </c>
      <c r="F498">
        <v>279</v>
      </c>
      <c r="G498" s="11">
        <v>7.5796239991675633E-4</v>
      </c>
      <c r="H498" s="12">
        <v>0.85147279554366873</v>
      </c>
      <c r="I498" t="s">
        <v>1241</v>
      </c>
      <c r="J498">
        <v>6</v>
      </c>
      <c r="K498" s="11">
        <f t="shared" si="42"/>
        <v>6.2155775398998981E-4</v>
      </c>
      <c r="L498" s="12">
        <f t="shared" si="47"/>
        <v>0.82747983788686674</v>
      </c>
      <c r="M498" t="str">
        <f t="shared" si="43"/>
        <v>B</v>
      </c>
      <c r="N498" t="str">
        <f t="shared" si="44"/>
        <v>BBB</v>
      </c>
      <c r="O498" s="11">
        <f>VLOOKUP(A498,XYZ!A497:G1300,2,FALSE)</f>
        <v>2.2360679774997894</v>
      </c>
      <c r="P498" t="str">
        <f t="shared" si="45"/>
        <v>Z</v>
      </c>
      <c r="Q498" t="str">
        <f t="shared" si="46"/>
        <v>BBBZ</v>
      </c>
    </row>
    <row r="499" spans="1:17" x14ac:dyDescent="0.15">
      <c r="A499" t="s">
        <v>681</v>
      </c>
      <c r="B499" s="9">
        <v>1</v>
      </c>
      <c r="C499" s="13">
        <v>0</v>
      </c>
      <c r="D499" s="13">
        <v>0.92</v>
      </c>
      <c r="E499" s="9" t="s">
        <v>1241</v>
      </c>
      <c r="F499">
        <v>279</v>
      </c>
      <c r="G499" s="11">
        <v>7.5796239991675633E-4</v>
      </c>
      <c r="H499" s="12">
        <v>0.85223075794358549</v>
      </c>
      <c r="I499" t="s">
        <v>1241</v>
      </c>
      <c r="J499">
        <v>6</v>
      </c>
      <c r="K499" s="11">
        <f t="shared" si="42"/>
        <v>6.2155775398998981E-4</v>
      </c>
      <c r="L499" s="12">
        <f t="shared" si="47"/>
        <v>0.82810139564085672</v>
      </c>
      <c r="M499" t="str">
        <f t="shared" si="43"/>
        <v>B</v>
      </c>
      <c r="N499" t="str">
        <f t="shared" si="44"/>
        <v>BBB</v>
      </c>
      <c r="O499" s="11">
        <f>VLOOKUP(A499,XYZ!A498:G1301,2,FALSE)</f>
        <v>2.2360679774997894</v>
      </c>
      <c r="P499" t="str">
        <f t="shared" si="45"/>
        <v>Z</v>
      </c>
      <c r="Q499" t="str">
        <f t="shared" si="46"/>
        <v>BBBZ</v>
      </c>
    </row>
    <row r="500" spans="1:17" x14ac:dyDescent="0.15">
      <c r="A500" t="s">
        <v>1058</v>
      </c>
      <c r="B500" s="9">
        <v>1</v>
      </c>
      <c r="C500" s="13">
        <v>0</v>
      </c>
      <c r="D500" s="13">
        <v>0.79</v>
      </c>
      <c r="E500" s="9" t="s">
        <v>1240</v>
      </c>
      <c r="F500">
        <v>278</v>
      </c>
      <c r="G500" s="11">
        <v>7.5524568880594358E-4</v>
      </c>
      <c r="H500" s="12">
        <v>0.85298600363239141</v>
      </c>
      <c r="I500" t="s">
        <v>1241</v>
      </c>
      <c r="J500">
        <v>6</v>
      </c>
      <c r="K500" s="11">
        <f t="shared" si="42"/>
        <v>6.2155775398998981E-4</v>
      </c>
      <c r="L500" s="12">
        <f t="shared" si="47"/>
        <v>0.8287229533948467</v>
      </c>
      <c r="M500" t="str">
        <f t="shared" si="43"/>
        <v>B</v>
      </c>
      <c r="N500" t="str">
        <f t="shared" si="44"/>
        <v>ABB</v>
      </c>
      <c r="O500" s="11">
        <f>VLOOKUP(A500,XYZ!A499:G1302,2,FALSE)</f>
        <v>2.2360679774997894</v>
      </c>
      <c r="P500" t="str">
        <f t="shared" si="45"/>
        <v>Z</v>
      </c>
      <c r="Q500" t="str">
        <f t="shared" si="46"/>
        <v>ABBZ</v>
      </c>
    </row>
    <row r="501" spans="1:17" x14ac:dyDescent="0.15">
      <c r="A501" t="s">
        <v>1132</v>
      </c>
      <c r="B501" s="9">
        <v>1</v>
      </c>
      <c r="C501" s="13">
        <v>0</v>
      </c>
      <c r="D501" s="13">
        <v>0.91</v>
      </c>
      <c r="E501" s="9" t="s">
        <v>1241</v>
      </c>
      <c r="F501">
        <v>276</v>
      </c>
      <c r="G501" s="11">
        <v>7.4981226658431808E-4</v>
      </c>
      <c r="H501" s="12">
        <v>0.85373581589897574</v>
      </c>
      <c r="I501" t="s">
        <v>1241</v>
      </c>
      <c r="J501">
        <v>6</v>
      </c>
      <c r="K501" s="11">
        <f t="shared" si="42"/>
        <v>6.2155775398998981E-4</v>
      </c>
      <c r="L501" s="12">
        <f t="shared" si="47"/>
        <v>0.82934451114883667</v>
      </c>
      <c r="M501" t="str">
        <f t="shared" si="43"/>
        <v>B</v>
      </c>
      <c r="N501" t="str">
        <f t="shared" si="44"/>
        <v>BBB</v>
      </c>
      <c r="O501" s="11">
        <f>VLOOKUP(A501,XYZ!A500:G1303,2,FALSE)</f>
        <v>2.2360679774997894</v>
      </c>
      <c r="P501" t="str">
        <f t="shared" si="45"/>
        <v>Z</v>
      </c>
      <c r="Q501" t="str">
        <f t="shared" si="46"/>
        <v>BBBZ</v>
      </c>
    </row>
    <row r="502" spans="1:17" x14ac:dyDescent="0.15">
      <c r="A502" t="s">
        <v>929</v>
      </c>
      <c r="B502" s="9">
        <v>1</v>
      </c>
      <c r="C502" s="13">
        <v>0</v>
      </c>
      <c r="D502" s="13">
        <v>0.8</v>
      </c>
      <c r="E502" s="9" t="s">
        <v>1240</v>
      </c>
      <c r="F502">
        <v>275</v>
      </c>
      <c r="G502" s="11">
        <v>7.4709555547350533E-4</v>
      </c>
      <c r="H502" s="12">
        <v>0.85448291145444921</v>
      </c>
      <c r="I502" t="s">
        <v>1241</v>
      </c>
      <c r="J502">
        <v>6</v>
      </c>
      <c r="K502" s="11">
        <f t="shared" si="42"/>
        <v>6.2155775398998981E-4</v>
      </c>
      <c r="L502" s="12">
        <f t="shared" si="47"/>
        <v>0.82996606890282665</v>
      </c>
      <c r="M502" t="str">
        <f t="shared" si="43"/>
        <v>B</v>
      </c>
      <c r="N502" t="str">
        <f t="shared" si="44"/>
        <v>ABB</v>
      </c>
      <c r="O502" s="11">
        <f>VLOOKUP(A502,XYZ!A501:G1304,2,FALSE)</f>
        <v>2.2360679774997894</v>
      </c>
      <c r="P502" t="str">
        <f t="shared" si="45"/>
        <v>Z</v>
      </c>
      <c r="Q502" t="str">
        <f t="shared" si="46"/>
        <v>ABBZ</v>
      </c>
    </row>
    <row r="503" spans="1:17" x14ac:dyDescent="0.15">
      <c r="A503" t="s">
        <v>1086</v>
      </c>
      <c r="B503" s="9">
        <v>1</v>
      </c>
      <c r="C503" s="13">
        <v>0</v>
      </c>
      <c r="D503" s="13">
        <v>0.86</v>
      </c>
      <c r="E503" s="9" t="s">
        <v>1241</v>
      </c>
      <c r="F503">
        <v>275</v>
      </c>
      <c r="G503" s="11">
        <v>7.4709555547350533E-4</v>
      </c>
      <c r="H503" s="12">
        <v>0.85523000700992269</v>
      </c>
      <c r="I503" t="s">
        <v>1241</v>
      </c>
      <c r="J503">
        <v>6</v>
      </c>
      <c r="K503" s="11">
        <f t="shared" si="42"/>
        <v>6.2155775398998981E-4</v>
      </c>
      <c r="L503" s="12">
        <f t="shared" si="47"/>
        <v>0.83058762665681662</v>
      </c>
      <c r="M503" t="str">
        <f t="shared" si="43"/>
        <v>B</v>
      </c>
      <c r="N503" t="str">
        <f t="shared" si="44"/>
        <v>BBB</v>
      </c>
      <c r="O503" s="11">
        <f>VLOOKUP(A503,XYZ!A502:G1305,2,FALSE)</f>
        <v>2.2360679774997894</v>
      </c>
      <c r="P503" t="str">
        <f t="shared" si="45"/>
        <v>Z</v>
      </c>
      <c r="Q503" t="str">
        <f t="shared" si="46"/>
        <v>BBBZ</v>
      </c>
    </row>
    <row r="504" spans="1:17" x14ac:dyDescent="0.15">
      <c r="A504" t="s">
        <v>1092</v>
      </c>
      <c r="B504" s="9">
        <v>1</v>
      </c>
      <c r="C504" s="13">
        <v>0</v>
      </c>
      <c r="D504" s="13">
        <v>0.92</v>
      </c>
      <c r="E504" s="9" t="s">
        <v>1241</v>
      </c>
      <c r="F504">
        <v>274</v>
      </c>
      <c r="G504" s="11">
        <v>7.4437884436269258E-4</v>
      </c>
      <c r="H504" s="12">
        <v>0.85671876469864816</v>
      </c>
      <c r="I504" t="s">
        <v>1241</v>
      </c>
      <c r="J504">
        <v>6</v>
      </c>
      <c r="K504" s="11">
        <f t="shared" si="42"/>
        <v>6.2155775398998981E-4</v>
      </c>
      <c r="L504" s="12">
        <f t="shared" si="47"/>
        <v>0.8312091844108066</v>
      </c>
      <c r="M504" t="str">
        <f t="shared" si="43"/>
        <v>B</v>
      </c>
      <c r="N504" t="str">
        <f t="shared" si="44"/>
        <v>BBB</v>
      </c>
      <c r="O504" s="11">
        <f>VLOOKUP(A504,XYZ!A503:G1306,2,FALSE)</f>
        <v>2.2360679774997894</v>
      </c>
      <c r="P504" t="str">
        <f t="shared" si="45"/>
        <v>Z</v>
      </c>
      <c r="Q504" t="str">
        <f t="shared" si="46"/>
        <v>BBBZ</v>
      </c>
    </row>
    <row r="505" spans="1:17" x14ac:dyDescent="0.15">
      <c r="A505" t="s">
        <v>599</v>
      </c>
      <c r="B505" s="9">
        <v>1</v>
      </c>
      <c r="C505" s="13">
        <v>0</v>
      </c>
      <c r="D505" s="13">
        <v>0.71</v>
      </c>
      <c r="E505" s="9" t="s">
        <v>1240</v>
      </c>
      <c r="F505">
        <v>273</v>
      </c>
      <c r="G505" s="11">
        <v>7.4166213325187983E-4</v>
      </c>
      <c r="H505" s="12">
        <v>0.85820208900223505</v>
      </c>
      <c r="I505" t="s">
        <v>1241</v>
      </c>
      <c r="J505">
        <v>6</v>
      </c>
      <c r="K505" s="11">
        <f t="shared" si="42"/>
        <v>6.2155775398998981E-4</v>
      </c>
      <c r="L505" s="12">
        <f t="shared" si="47"/>
        <v>0.83183074216479658</v>
      </c>
      <c r="M505" t="str">
        <f t="shared" si="43"/>
        <v>B</v>
      </c>
      <c r="N505" t="str">
        <f t="shared" si="44"/>
        <v>ABB</v>
      </c>
      <c r="O505" s="11">
        <f>VLOOKUP(A505,XYZ!A504:G1307,2,FALSE)</f>
        <v>2.2360679774997894</v>
      </c>
      <c r="P505" t="str">
        <f t="shared" si="45"/>
        <v>Z</v>
      </c>
      <c r="Q505" t="str">
        <f t="shared" si="46"/>
        <v>ABBZ</v>
      </c>
    </row>
    <row r="506" spans="1:17" x14ac:dyDescent="0.15">
      <c r="A506" t="s">
        <v>567</v>
      </c>
      <c r="B506" s="9">
        <v>1</v>
      </c>
      <c r="C506" s="13">
        <v>0</v>
      </c>
      <c r="D506" s="13">
        <v>0.95</v>
      </c>
      <c r="E506" s="9" t="s">
        <v>1242</v>
      </c>
      <c r="F506">
        <v>273</v>
      </c>
      <c r="G506" s="11">
        <v>7.4166213325187983E-4</v>
      </c>
      <c r="H506" s="12">
        <v>0.85894375113548693</v>
      </c>
      <c r="I506" t="s">
        <v>1241</v>
      </c>
      <c r="J506">
        <v>6</v>
      </c>
      <c r="K506" s="11">
        <f t="shared" si="42"/>
        <v>6.2155775398998981E-4</v>
      </c>
      <c r="L506" s="12">
        <f t="shared" si="47"/>
        <v>0.83245229991878655</v>
      </c>
      <c r="M506" t="str">
        <f t="shared" si="43"/>
        <v>B</v>
      </c>
      <c r="N506" t="str">
        <f t="shared" si="44"/>
        <v>CBB</v>
      </c>
      <c r="O506" s="11">
        <f>VLOOKUP(A506,XYZ!A505:G1308,2,FALSE)</f>
        <v>2.2360679774997894</v>
      </c>
      <c r="P506" t="str">
        <f t="shared" si="45"/>
        <v>Z</v>
      </c>
      <c r="Q506" t="str">
        <f t="shared" si="46"/>
        <v>CBBZ</v>
      </c>
    </row>
    <row r="507" spans="1:17" x14ac:dyDescent="0.15">
      <c r="A507" t="s">
        <v>972</v>
      </c>
      <c r="B507" s="9">
        <v>1</v>
      </c>
      <c r="C507" s="13">
        <v>0</v>
      </c>
      <c r="D507" s="13">
        <v>0.78</v>
      </c>
      <c r="E507" s="9" t="s">
        <v>1240</v>
      </c>
      <c r="F507">
        <v>272</v>
      </c>
      <c r="G507" s="11">
        <v>7.3894542214106708E-4</v>
      </c>
      <c r="H507" s="12">
        <v>0.860421641979769</v>
      </c>
      <c r="I507" t="s">
        <v>1241</v>
      </c>
      <c r="J507">
        <v>6</v>
      </c>
      <c r="K507" s="11">
        <f t="shared" si="42"/>
        <v>6.2155775398998981E-4</v>
      </c>
      <c r="L507" s="12">
        <f t="shared" si="47"/>
        <v>0.83307385767277653</v>
      </c>
      <c r="M507" t="str">
        <f t="shared" si="43"/>
        <v>B</v>
      </c>
      <c r="N507" t="str">
        <f t="shared" si="44"/>
        <v>ABB</v>
      </c>
      <c r="O507" s="11">
        <f>VLOOKUP(A507,XYZ!A506:G1309,2,FALSE)</f>
        <v>2.2360679774997894</v>
      </c>
      <c r="P507" t="str">
        <f t="shared" si="45"/>
        <v>Z</v>
      </c>
      <c r="Q507" t="str">
        <f t="shared" si="46"/>
        <v>ABBZ</v>
      </c>
    </row>
    <row r="508" spans="1:17" x14ac:dyDescent="0.15">
      <c r="A508" t="s">
        <v>414</v>
      </c>
      <c r="B508" s="9">
        <v>1</v>
      </c>
      <c r="C508" s="13">
        <v>0</v>
      </c>
      <c r="D508" s="13">
        <v>0.81</v>
      </c>
      <c r="E508" s="9" t="s">
        <v>1241</v>
      </c>
      <c r="F508">
        <v>272</v>
      </c>
      <c r="G508" s="11">
        <v>7.3894542214106708E-4</v>
      </c>
      <c r="H508" s="12">
        <v>0.86116058740191004</v>
      </c>
      <c r="I508" t="s">
        <v>1241</v>
      </c>
      <c r="J508">
        <v>6</v>
      </c>
      <c r="K508" s="11">
        <f t="shared" si="42"/>
        <v>6.2155775398998981E-4</v>
      </c>
      <c r="L508" s="12">
        <f t="shared" si="47"/>
        <v>0.83369541542676651</v>
      </c>
      <c r="M508" t="str">
        <f t="shared" si="43"/>
        <v>B</v>
      </c>
      <c r="N508" t="str">
        <f t="shared" si="44"/>
        <v>BBB</v>
      </c>
      <c r="O508" s="11">
        <f>VLOOKUP(A508,XYZ!A507:G1310,2,FALSE)</f>
        <v>2.2360679774997894</v>
      </c>
      <c r="P508" t="str">
        <f t="shared" si="45"/>
        <v>Z</v>
      </c>
      <c r="Q508" t="str">
        <f t="shared" si="46"/>
        <v>BBBZ</v>
      </c>
    </row>
    <row r="509" spans="1:17" x14ac:dyDescent="0.15">
      <c r="A509" t="s">
        <v>1017</v>
      </c>
      <c r="B509" s="9">
        <v>1</v>
      </c>
      <c r="C509" s="13">
        <v>0</v>
      </c>
      <c r="D509" s="13">
        <v>0.89</v>
      </c>
      <c r="E509" s="9" t="s">
        <v>1241</v>
      </c>
      <c r="F509">
        <v>271</v>
      </c>
      <c r="G509" s="11">
        <v>7.3622871103025433E-4</v>
      </c>
      <c r="H509" s="12">
        <v>0.86189681611294033</v>
      </c>
      <c r="I509" t="s">
        <v>1241</v>
      </c>
      <c r="J509">
        <v>6</v>
      </c>
      <c r="K509" s="11">
        <f t="shared" si="42"/>
        <v>6.2155775398998981E-4</v>
      </c>
      <c r="L509" s="12">
        <f t="shared" si="47"/>
        <v>0.83431697318075648</v>
      </c>
      <c r="M509" t="str">
        <f t="shared" si="43"/>
        <v>B</v>
      </c>
      <c r="N509" t="str">
        <f t="shared" si="44"/>
        <v>BBB</v>
      </c>
      <c r="O509" s="11">
        <f>VLOOKUP(A509,XYZ!A508:G1311,2,FALSE)</f>
        <v>2.2360679774997894</v>
      </c>
      <c r="P509" t="str">
        <f t="shared" si="45"/>
        <v>Z</v>
      </c>
      <c r="Q509" t="str">
        <f t="shared" si="46"/>
        <v>BBBZ</v>
      </c>
    </row>
    <row r="510" spans="1:17" x14ac:dyDescent="0.15">
      <c r="A510" t="s">
        <v>704</v>
      </c>
      <c r="B510" s="9">
        <v>1</v>
      </c>
      <c r="C510" s="13">
        <v>0</v>
      </c>
      <c r="D510" s="13">
        <v>0.72</v>
      </c>
      <c r="E510" s="9" t="s">
        <v>1240</v>
      </c>
      <c r="F510">
        <v>270</v>
      </c>
      <c r="G510" s="11">
        <v>7.3351199991944158E-4</v>
      </c>
      <c r="H510" s="12">
        <v>0.86409735211269867</v>
      </c>
      <c r="I510" t="s">
        <v>1241</v>
      </c>
      <c r="J510">
        <v>6</v>
      </c>
      <c r="K510" s="11">
        <f t="shared" si="42"/>
        <v>6.2155775398998981E-4</v>
      </c>
      <c r="L510" s="12">
        <f t="shared" si="47"/>
        <v>0.83493853093474646</v>
      </c>
      <c r="M510" t="str">
        <f t="shared" si="43"/>
        <v>B</v>
      </c>
      <c r="N510" t="str">
        <f t="shared" si="44"/>
        <v>ABB</v>
      </c>
      <c r="O510" s="11">
        <f>VLOOKUP(A510,XYZ!A509:G1312,2,FALSE)</f>
        <v>2.2360679774997894</v>
      </c>
      <c r="P510" t="str">
        <f t="shared" si="45"/>
        <v>Z</v>
      </c>
      <c r="Q510" t="str">
        <f t="shared" si="46"/>
        <v>ABBZ</v>
      </c>
    </row>
    <row r="511" spans="1:17" x14ac:dyDescent="0.15">
      <c r="A511" t="s">
        <v>308</v>
      </c>
      <c r="B511" s="9">
        <v>1</v>
      </c>
      <c r="C511" s="13">
        <v>0</v>
      </c>
      <c r="D511" s="13">
        <v>0.75</v>
      </c>
      <c r="E511" s="9" t="s">
        <v>1240</v>
      </c>
      <c r="F511">
        <v>270</v>
      </c>
      <c r="G511" s="11">
        <v>7.3351199991944158E-4</v>
      </c>
      <c r="H511" s="12">
        <v>0.86483086411261811</v>
      </c>
      <c r="I511" t="s">
        <v>1241</v>
      </c>
      <c r="J511">
        <v>6</v>
      </c>
      <c r="K511" s="11">
        <f t="shared" si="42"/>
        <v>6.2155775398998981E-4</v>
      </c>
      <c r="L511" s="12">
        <f t="shared" si="47"/>
        <v>0.83556008868873644</v>
      </c>
      <c r="M511" t="str">
        <f t="shared" si="43"/>
        <v>B</v>
      </c>
      <c r="N511" t="str">
        <f t="shared" si="44"/>
        <v>ABB</v>
      </c>
      <c r="O511" s="11">
        <f>VLOOKUP(A511,XYZ!A510:G1313,2,FALSE)</f>
        <v>2.2360679774997894</v>
      </c>
      <c r="P511" t="str">
        <f t="shared" si="45"/>
        <v>Z</v>
      </c>
      <c r="Q511" t="str">
        <f t="shared" si="46"/>
        <v>ABBZ</v>
      </c>
    </row>
    <row r="512" spans="1:17" x14ac:dyDescent="0.15">
      <c r="A512" t="s">
        <v>22</v>
      </c>
      <c r="B512" s="9">
        <v>1</v>
      </c>
      <c r="C512" s="13">
        <v>0</v>
      </c>
      <c r="D512" s="13">
        <v>0.76</v>
      </c>
      <c r="E512" s="9" t="s">
        <v>1240</v>
      </c>
      <c r="F512">
        <v>270</v>
      </c>
      <c r="G512" s="11">
        <v>7.3351199991944158E-4</v>
      </c>
      <c r="H512" s="12">
        <v>0.86556437611253756</v>
      </c>
      <c r="I512" t="s">
        <v>1241</v>
      </c>
      <c r="J512">
        <v>6</v>
      </c>
      <c r="K512" s="11">
        <f t="shared" si="42"/>
        <v>6.2155775398998981E-4</v>
      </c>
      <c r="L512" s="12">
        <f t="shared" si="47"/>
        <v>0.83618164644272641</v>
      </c>
      <c r="M512" t="str">
        <f t="shared" si="43"/>
        <v>B</v>
      </c>
      <c r="N512" t="str">
        <f t="shared" si="44"/>
        <v>ABB</v>
      </c>
      <c r="O512" s="11">
        <f>VLOOKUP(A512,XYZ!A511:G1314,2,FALSE)</f>
        <v>2.2360679774997894</v>
      </c>
      <c r="P512" t="str">
        <f t="shared" si="45"/>
        <v>Z</v>
      </c>
      <c r="Q512" t="str">
        <f t="shared" si="46"/>
        <v>ABBZ</v>
      </c>
    </row>
    <row r="513" spans="1:17" x14ac:dyDescent="0.15">
      <c r="A513" t="s">
        <v>472</v>
      </c>
      <c r="B513" s="9">
        <v>1</v>
      </c>
      <c r="C513" s="13">
        <v>0</v>
      </c>
      <c r="D513" s="13">
        <v>0.87</v>
      </c>
      <c r="E513" s="9" t="s">
        <v>1241</v>
      </c>
      <c r="F513">
        <v>270</v>
      </c>
      <c r="G513" s="11">
        <v>7.3351199991944158E-4</v>
      </c>
      <c r="H513" s="12">
        <v>0.866297888112457</v>
      </c>
      <c r="I513" t="s">
        <v>1241</v>
      </c>
      <c r="J513">
        <v>6</v>
      </c>
      <c r="K513" s="11">
        <f t="shared" si="42"/>
        <v>6.2155775398998981E-4</v>
      </c>
      <c r="L513" s="12">
        <f t="shared" si="47"/>
        <v>0.83680320419671639</v>
      </c>
      <c r="M513" t="str">
        <f t="shared" si="43"/>
        <v>B</v>
      </c>
      <c r="N513" t="str">
        <f t="shared" si="44"/>
        <v>BBB</v>
      </c>
      <c r="O513" s="11">
        <f>VLOOKUP(A513,XYZ!A512:G1315,2,FALSE)</f>
        <v>2.2360679774997894</v>
      </c>
      <c r="P513" t="str">
        <f t="shared" si="45"/>
        <v>Z</v>
      </c>
      <c r="Q513" t="str">
        <f t="shared" si="46"/>
        <v>BBBZ</v>
      </c>
    </row>
    <row r="514" spans="1:17" x14ac:dyDescent="0.15">
      <c r="A514" t="s">
        <v>611</v>
      </c>
      <c r="B514" s="9">
        <v>1</v>
      </c>
      <c r="C514" s="13">
        <v>0</v>
      </c>
      <c r="D514" s="13">
        <v>0.76</v>
      </c>
      <c r="E514" s="9" t="s">
        <v>1240</v>
      </c>
      <c r="F514">
        <v>269</v>
      </c>
      <c r="G514" s="11">
        <v>7.3079528880862883E-4</v>
      </c>
      <c r="H514" s="12">
        <v>0.8670286834012656</v>
      </c>
      <c r="I514" t="s">
        <v>1241</v>
      </c>
      <c r="J514">
        <v>6</v>
      </c>
      <c r="K514" s="11">
        <f t="shared" si="42"/>
        <v>6.2155775398998981E-4</v>
      </c>
      <c r="L514" s="12">
        <f t="shared" si="47"/>
        <v>0.83742476195070636</v>
      </c>
      <c r="M514" t="str">
        <f t="shared" si="43"/>
        <v>B</v>
      </c>
      <c r="N514" t="str">
        <f t="shared" si="44"/>
        <v>ABB</v>
      </c>
      <c r="O514" s="11">
        <f>VLOOKUP(A514,XYZ!A513:G1316,2,FALSE)</f>
        <v>2.2360679774997894</v>
      </c>
      <c r="P514" t="str">
        <f t="shared" si="45"/>
        <v>Z</v>
      </c>
      <c r="Q514" t="str">
        <f t="shared" si="46"/>
        <v>ABBZ</v>
      </c>
    </row>
    <row r="515" spans="1:17" x14ac:dyDescent="0.15">
      <c r="A515" t="s">
        <v>1066</v>
      </c>
      <c r="B515" s="9">
        <v>1</v>
      </c>
      <c r="C515" s="13">
        <v>0</v>
      </c>
      <c r="D515" s="13">
        <v>0.78</v>
      </c>
      <c r="E515" s="9" t="s">
        <v>1240</v>
      </c>
      <c r="F515">
        <v>266</v>
      </c>
      <c r="G515" s="11">
        <v>7.2264515547619057E-4</v>
      </c>
      <c r="H515" s="12">
        <v>0.86847940713443961</v>
      </c>
      <c r="I515" t="s">
        <v>1241</v>
      </c>
      <c r="J515">
        <v>6</v>
      </c>
      <c r="K515" s="11">
        <f t="shared" ref="K515:K578" si="48">J515/SUM(J:J)</f>
        <v>6.2155775398998981E-4</v>
      </c>
      <c r="L515" s="12">
        <f t="shared" si="47"/>
        <v>0.83804631970469634</v>
      </c>
      <c r="M515" t="str">
        <f t="shared" ref="M515:M578" si="49">IF(L515&lt;0.8,"A",IF(L515&lt;0.95,"B","C"))</f>
        <v>B</v>
      </c>
      <c r="N515" t="str">
        <f t="shared" ref="N515:N578" si="50">E515&amp;I515&amp;M515</f>
        <v>ABB</v>
      </c>
      <c r="O515" s="11">
        <f>VLOOKUP(A515,XYZ!A514:G1317,2,FALSE)</f>
        <v>2.2360679774997894</v>
      </c>
      <c r="P515" t="str">
        <f t="shared" ref="P515:P578" si="51">IF(O515&lt;0.1,"A",IF(O515&lt;0.25,"Y","Z"))</f>
        <v>Z</v>
      </c>
      <c r="Q515" t="str">
        <f t="shared" ref="Q515:Q578" si="52">N515&amp;P515</f>
        <v>ABBZ</v>
      </c>
    </row>
    <row r="516" spans="1:17" x14ac:dyDescent="0.15">
      <c r="A516" t="s">
        <v>749</v>
      </c>
      <c r="B516" s="9">
        <v>1</v>
      </c>
      <c r="C516" s="13">
        <v>0</v>
      </c>
      <c r="D516" s="13">
        <v>0.99</v>
      </c>
      <c r="E516" s="9" t="s">
        <v>1242</v>
      </c>
      <c r="F516">
        <v>261</v>
      </c>
      <c r="G516" s="11">
        <v>7.0906159992212693E-4</v>
      </c>
      <c r="H516" s="12">
        <v>0.87206003237849083</v>
      </c>
      <c r="I516" t="s">
        <v>1241</v>
      </c>
      <c r="J516">
        <v>6</v>
      </c>
      <c r="K516" s="11">
        <f t="shared" si="48"/>
        <v>6.2155775398998981E-4</v>
      </c>
      <c r="L516" s="12">
        <f t="shared" ref="L516:L579" si="53">K516+L515</f>
        <v>0.83866787745868632</v>
      </c>
      <c r="M516" t="str">
        <f t="shared" si="49"/>
        <v>B</v>
      </c>
      <c r="N516" t="str">
        <f t="shared" si="50"/>
        <v>CBB</v>
      </c>
      <c r="O516" s="11">
        <f>VLOOKUP(A516,XYZ!A515:G1318,2,FALSE)</f>
        <v>2.2360679774997894</v>
      </c>
      <c r="P516" t="str">
        <f t="shared" si="51"/>
        <v>Z</v>
      </c>
      <c r="Q516" t="str">
        <f t="shared" si="52"/>
        <v>CBBZ</v>
      </c>
    </row>
    <row r="517" spans="1:17" x14ac:dyDescent="0.15">
      <c r="A517" t="s">
        <v>484</v>
      </c>
      <c r="B517" s="9">
        <v>1</v>
      </c>
      <c r="C517" s="13">
        <v>0</v>
      </c>
      <c r="D517" s="13">
        <v>0.85</v>
      </c>
      <c r="E517" s="9" t="s">
        <v>1241</v>
      </c>
      <c r="F517">
        <v>256</v>
      </c>
      <c r="G517" s="11">
        <v>6.9547804436806318E-4</v>
      </c>
      <c r="H517" s="12">
        <v>0.87275551042285893</v>
      </c>
      <c r="I517" t="s">
        <v>1241</v>
      </c>
      <c r="J517">
        <v>6</v>
      </c>
      <c r="K517" s="11">
        <f t="shared" si="48"/>
        <v>6.2155775398998981E-4</v>
      </c>
      <c r="L517" s="12">
        <f t="shared" si="53"/>
        <v>0.83928943521267629</v>
      </c>
      <c r="M517" t="str">
        <f t="shared" si="49"/>
        <v>B</v>
      </c>
      <c r="N517" t="str">
        <f t="shared" si="50"/>
        <v>BBB</v>
      </c>
      <c r="O517" s="11">
        <f>VLOOKUP(A517,XYZ!A516:G1319,2,FALSE)</f>
        <v>2.2360679774997894</v>
      </c>
      <c r="P517" t="str">
        <f t="shared" si="51"/>
        <v>Z</v>
      </c>
      <c r="Q517" t="str">
        <f t="shared" si="52"/>
        <v>BBBZ</v>
      </c>
    </row>
    <row r="518" spans="1:17" x14ac:dyDescent="0.15">
      <c r="A518" t="s">
        <v>1133</v>
      </c>
      <c r="B518" s="9">
        <v>1</v>
      </c>
      <c r="C518" s="13">
        <v>0</v>
      </c>
      <c r="D518" s="13">
        <v>0.79</v>
      </c>
      <c r="E518" s="9" t="s">
        <v>1240</v>
      </c>
      <c r="F518">
        <v>255</v>
      </c>
      <c r="G518" s="11">
        <v>6.9276133325725043E-4</v>
      </c>
      <c r="H518" s="12">
        <v>0.87344827175611617</v>
      </c>
      <c r="I518" t="s">
        <v>1241</v>
      </c>
      <c r="J518">
        <v>6</v>
      </c>
      <c r="K518" s="11">
        <f t="shared" si="48"/>
        <v>6.2155775398998981E-4</v>
      </c>
      <c r="L518" s="12">
        <f t="shared" si="53"/>
        <v>0.83991099296666627</v>
      </c>
      <c r="M518" t="str">
        <f t="shared" si="49"/>
        <v>B</v>
      </c>
      <c r="N518" t="str">
        <f t="shared" si="50"/>
        <v>ABB</v>
      </c>
      <c r="O518" s="11">
        <f>VLOOKUP(A518,XYZ!A517:G1320,2,FALSE)</f>
        <v>2.2360679774997894</v>
      </c>
      <c r="P518" t="str">
        <f t="shared" si="51"/>
        <v>Z</v>
      </c>
      <c r="Q518" t="str">
        <f t="shared" si="52"/>
        <v>ABBZ</v>
      </c>
    </row>
    <row r="519" spans="1:17" x14ac:dyDescent="0.15">
      <c r="A519" t="s">
        <v>602</v>
      </c>
      <c r="B519" s="9">
        <v>1</v>
      </c>
      <c r="C519" s="13">
        <v>0</v>
      </c>
      <c r="D519" s="13">
        <v>0.9</v>
      </c>
      <c r="E519" s="9" t="s">
        <v>1241</v>
      </c>
      <c r="F519">
        <v>255</v>
      </c>
      <c r="G519" s="11">
        <v>6.9276133325725043E-4</v>
      </c>
      <c r="H519" s="12">
        <v>0.87414103308937341</v>
      </c>
      <c r="I519" t="s">
        <v>1241</v>
      </c>
      <c r="J519">
        <v>6</v>
      </c>
      <c r="K519" s="11">
        <f t="shared" si="48"/>
        <v>6.2155775398998981E-4</v>
      </c>
      <c r="L519" s="12">
        <f t="shared" si="53"/>
        <v>0.84053255072065625</v>
      </c>
      <c r="M519" t="str">
        <f t="shared" si="49"/>
        <v>B</v>
      </c>
      <c r="N519" t="str">
        <f t="shared" si="50"/>
        <v>BBB</v>
      </c>
      <c r="O519" s="11">
        <f>VLOOKUP(A519,XYZ!A518:G1321,2,FALSE)</f>
        <v>2.2360679774997894</v>
      </c>
      <c r="P519" t="str">
        <f t="shared" si="51"/>
        <v>Z</v>
      </c>
      <c r="Q519" t="str">
        <f t="shared" si="52"/>
        <v>BBBZ</v>
      </c>
    </row>
    <row r="520" spans="1:17" x14ac:dyDescent="0.15">
      <c r="A520" t="s">
        <v>936</v>
      </c>
      <c r="B520" s="9">
        <v>1</v>
      </c>
      <c r="C520" s="13">
        <v>0</v>
      </c>
      <c r="D520" s="13">
        <v>0.82</v>
      </c>
      <c r="E520" s="9" t="s">
        <v>1241</v>
      </c>
      <c r="F520">
        <v>254</v>
      </c>
      <c r="G520" s="11">
        <v>6.9004462214643768E-4</v>
      </c>
      <c r="H520" s="12">
        <v>0.87621334032470133</v>
      </c>
      <c r="I520" t="s">
        <v>1241</v>
      </c>
      <c r="J520">
        <v>6</v>
      </c>
      <c r="K520" s="11">
        <f t="shared" si="48"/>
        <v>6.2155775398998981E-4</v>
      </c>
      <c r="L520" s="12">
        <f t="shared" si="53"/>
        <v>0.84115410847464622</v>
      </c>
      <c r="M520" t="str">
        <f t="shared" si="49"/>
        <v>B</v>
      </c>
      <c r="N520" t="str">
        <f t="shared" si="50"/>
        <v>BBB</v>
      </c>
      <c r="O520" s="11">
        <f>VLOOKUP(A520,XYZ!A519:G1322,2,FALSE)</f>
        <v>2.2360679774997894</v>
      </c>
      <c r="P520" t="str">
        <f t="shared" si="51"/>
        <v>Z</v>
      </c>
      <c r="Q520" t="str">
        <f t="shared" si="52"/>
        <v>BBBZ</v>
      </c>
    </row>
    <row r="521" spans="1:17" x14ac:dyDescent="0.15">
      <c r="A521" t="s">
        <v>1107</v>
      </c>
      <c r="B521" s="9">
        <v>1</v>
      </c>
      <c r="C521" s="13">
        <v>0</v>
      </c>
      <c r="D521" s="13">
        <v>0.98</v>
      </c>
      <c r="E521" s="9" t="s">
        <v>1242</v>
      </c>
      <c r="F521">
        <v>254</v>
      </c>
      <c r="G521" s="11">
        <v>6.9004462214643768E-4</v>
      </c>
      <c r="H521" s="12">
        <v>0.87690338494684772</v>
      </c>
      <c r="I521" t="s">
        <v>1241</v>
      </c>
      <c r="J521">
        <v>6</v>
      </c>
      <c r="K521" s="11">
        <f t="shared" si="48"/>
        <v>6.2155775398998981E-4</v>
      </c>
      <c r="L521" s="12">
        <f t="shared" si="53"/>
        <v>0.8417756662286362</v>
      </c>
      <c r="M521" t="str">
        <f t="shared" si="49"/>
        <v>B</v>
      </c>
      <c r="N521" t="str">
        <f t="shared" si="50"/>
        <v>CBB</v>
      </c>
      <c r="O521" s="11">
        <f>VLOOKUP(A521,XYZ!A520:G1323,2,FALSE)</f>
        <v>2.2360679774997894</v>
      </c>
      <c r="P521" t="str">
        <f t="shared" si="51"/>
        <v>Z</v>
      </c>
      <c r="Q521" t="str">
        <f t="shared" si="52"/>
        <v>CBBZ</v>
      </c>
    </row>
    <row r="522" spans="1:17" x14ac:dyDescent="0.15">
      <c r="A522" t="s">
        <v>534</v>
      </c>
      <c r="B522" s="9">
        <v>1</v>
      </c>
      <c r="C522" s="13">
        <v>0</v>
      </c>
      <c r="D522" s="13">
        <v>0.87</v>
      </c>
      <c r="E522" s="9" t="s">
        <v>1241</v>
      </c>
      <c r="F522">
        <v>253</v>
      </c>
      <c r="G522" s="11">
        <v>6.8732791103562492E-4</v>
      </c>
      <c r="H522" s="12">
        <v>0.87759071285788337</v>
      </c>
      <c r="I522" t="s">
        <v>1241</v>
      </c>
      <c r="J522">
        <v>6</v>
      </c>
      <c r="K522" s="11">
        <f t="shared" si="48"/>
        <v>6.2155775398998981E-4</v>
      </c>
      <c r="L522" s="12">
        <f t="shared" si="53"/>
        <v>0.84239722398262618</v>
      </c>
      <c r="M522" t="str">
        <f t="shared" si="49"/>
        <v>B</v>
      </c>
      <c r="N522" t="str">
        <f t="shared" si="50"/>
        <v>BBB</v>
      </c>
      <c r="O522" s="11">
        <f>VLOOKUP(A522,XYZ!A521:G1324,2,FALSE)</f>
        <v>2.2360679774997894</v>
      </c>
      <c r="P522" t="str">
        <f t="shared" si="51"/>
        <v>Z</v>
      </c>
      <c r="Q522" t="str">
        <f t="shared" si="52"/>
        <v>BBBZ</v>
      </c>
    </row>
    <row r="523" spans="1:17" x14ac:dyDescent="0.15">
      <c r="A523" t="s">
        <v>448</v>
      </c>
      <c r="B523" s="9">
        <v>1</v>
      </c>
      <c r="C523" s="13">
        <v>0</v>
      </c>
      <c r="D523" s="13">
        <v>0.88</v>
      </c>
      <c r="E523" s="9" t="s">
        <v>1241</v>
      </c>
      <c r="F523">
        <v>252</v>
      </c>
      <c r="G523" s="11">
        <v>6.8461119992481217E-4</v>
      </c>
      <c r="H523" s="12">
        <v>0.87895993525773297</v>
      </c>
      <c r="I523" t="s">
        <v>1241</v>
      </c>
      <c r="J523">
        <v>6</v>
      </c>
      <c r="K523" s="11">
        <f t="shared" si="48"/>
        <v>6.2155775398998981E-4</v>
      </c>
      <c r="L523" s="12">
        <f t="shared" si="53"/>
        <v>0.84301878173661615</v>
      </c>
      <c r="M523" t="str">
        <f t="shared" si="49"/>
        <v>B</v>
      </c>
      <c r="N523" t="str">
        <f t="shared" si="50"/>
        <v>BBB</v>
      </c>
      <c r="O523" s="11">
        <f>VLOOKUP(A523,XYZ!A522:G1325,2,FALSE)</f>
        <v>2.2360679774997894</v>
      </c>
      <c r="P523" t="str">
        <f t="shared" si="51"/>
        <v>Z</v>
      </c>
      <c r="Q523" t="str">
        <f t="shared" si="52"/>
        <v>BBBZ</v>
      </c>
    </row>
    <row r="524" spans="1:17" x14ac:dyDescent="0.15">
      <c r="A524" t="s">
        <v>147</v>
      </c>
      <c r="B524" s="9">
        <v>1</v>
      </c>
      <c r="C524" s="13">
        <v>0</v>
      </c>
      <c r="D524" s="13">
        <v>0.76</v>
      </c>
      <c r="E524" s="9" t="s">
        <v>1240</v>
      </c>
      <c r="F524">
        <v>249</v>
      </c>
      <c r="G524" s="11">
        <v>6.7646106659237392E-4</v>
      </c>
      <c r="H524" s="12">
        <v>0.88031285739091769</v>
      </c>
      <c r="I524" t="s">
        <v>1241</v>
      </c>
      <c r="J524">
        <v>6</v>
      </c>
      <c r="K524" s="11">
        <f t="shared" si="48"/>
        <v>6.2155775398998981E-4</v>
      </c>
      <c r="L524" s="12">
        <f t="shared" si="53"/>
        <v>0.84364033949060613</v>
      </c>
      <c r="M524" t="str">
        <f t="shared" si="49"/>
        <v>B</v>
      </c>
      <c r="N524" t="str">
        <f t="shared" si="50"/>
        <v>ABB</v>
      </c>
      <c r="O524" s="11">
        <f>VLOOKUP(A524,XYZ!A523:G1326,2,FALSE)</f>
        <v>2.2360679774997894</v>
      </c>
      <c r="P524" t="str">
        <f t="shared" si="51"/>
        <v>Z</v>
      </c>
      <c r="Q524" t="str">
        <f t="shared" si="52"/>
        <v>ABBZ</v>
      </c>
    </row>
    <row r="525" spans="1:17" x14ac:dyDescent="0.15">
      <c r="A525" t="s">
        <v>111</v>
      </c>
      <c r="B525" s="9">
        <v>1</v>
      </c>
      <c r="C525" s="13">
        <v>0</v>
      </c>
      <c r="D525" s="13">
        <v>0.81</v>
      </c>
      <c r="E525" s="9" t="s">
        <v>1241</v>
      </c>
      <c r="F525">
        <v>247</v>
      </c>
      <c r="G525" s="11">
        <v>6.7102764437074842E-4</v>
      </c>
      <c r="H525" s="12">
        <v>0.88098388503528846</v>
      </c>
      <c r="I525" t="s">
        <v>1241</v>
      </c>
      <c r="J525">
        <v>6</v>
      </c>
      <c r="K525" s="11">
        <f t="shared" si="48"/>
        <v>6.2155775398998981E-4</v>
      </c>
      <c r="L525" s="12">
        <f t="shared" si="53"/>
        <v>0.8442618972445961</v>
      </c>
      <c r="M525" t="str">
        <f t="shared" si="49"/>
        <v>B</v>
      </c>
      <c r="N525" t="str">
        <f t="shared" si="50"/>
        <v>BBB</v>
      </c>
      <c r="O525" s="11">
        <f>VLOOKUP(A525,XYZ!A524:G1327,2,FALSE)</f>
        <v>2.2360679774997894</v>
      </c>
      <c r="P525" t="str">
        <f t="shared" si="51"/>
        <v>Z</v>
      </c>
      <c r="Q525" t="str">
        <f t="shared" si="52"/>
        <v>BBBZ</v>
      </c>
    </row>
    <row r="526" spans="1:17" x14ac:dyDescent="0.15">
      <c r="A526" t="s">
        <v>924</v>
      </c>
      <c r="B526" s="9">
        <v>1</v>
      </c>
      <c r="C526" s="13">
        <v>0</v>
      </c>
      <c r="D526" s="13">
        <v>0.82</v>
      </c>
      <c r="E526" s="9" t="s">
        <v>1241</v>
      </c>
      <c r="F526">
        <v>247</v>
      </c>
      <c r="G526" s="11">
        <v>6.7102764437074842E-4</v>
      </c>
      <c r="H526" s="12">
        <v>0.88165491267965923</v>
      </c>
      <c r="I526" t="s">
        <v>1241</v>
      </c>
      <c r="J526">
        <v>6</v>
      </c>
      <c r="K526" s="11">
        <f t="shared" si="48"/>
        <v>6.2155775398998981E-4</v>
      </c>
      <c r="L526" s="12">
        <f t="shared" si="53"/>
        <v>0.84488345499858608</v>
      </c>
      <c r="M526" t="str">
        <f t="shared" si="49"/>
        <v>B</v>
      </c>
      <c r="N526" t="str">
        <f t="shared" si="50"/>
        <v>BBB</v>
      </c>
      <c r="O526" s="11">
        <f>VLOOKUP(A526,XYZ!A525:G1328,2,FALSE)</f>
        <v>2.2360679774997894</v>
      </c>
      <c r="P526" t="str">
        <f t="shared" si="51"/>
        <v>Z</v>
      </c>
      <c r="Q526" t="str">
        <f t="shared" si="52"/>
        <v>BBBZ</v>
      </c>
    </row>
    <row r="527" spans="1:17" x14ac:dyDescent="0.15">
      <c r="A527" t="s">
        <v>1032</v>
      </c>
      <c r="B527" s="9">
        <v>1</v>
      </c>
      <c r="C527" s="13">
        <v>0</v>
      </c>
      <c r="D527" s="13">
        <v>0.82</v>
      </c>
      <c r="E527" s="9" t="s">
        <v>1241</v>
      </c>
      <c r="F527">
        <v>245</v>
      </c>
      <c r="G527" s="11">
        <v>6.6559422214912292E-4</v>
      </c>
      <c r="H527" s="12">
        <v>0.88298610112395737</v>
      </c>
      <c r="I527" t="s">
        <v>1241</v>
      </c>
      <c r="J527">
        <v>6</v>
      </c>
      <c r="K527" s="11">
        <f t="shared" si="48"/>
        <v>6.2155775398998981E-4</v>
      </c>
      <c r="L527" s="12">
        <f t="shared" si="53"/>
        <v>0.84550501275257606</v>
      </c>
      <c r="M527" t="str">
        <f t="shared" si="49"/>
        <v>B</v>
      </c>
      <c r="N527" t="str">
        <f t="shared" si="50"/>
        <v>BBB</v>
      </c>
      <c r="O527" s="11">
        <f>VLOOKUP(A527,XYZ!A526:G1329,2,FALSE)</f>
        <v>2.2360679774997894</v>
      </c>
      <c r="P527" t="str">
        <f t="shared" si="51"/>
        <v>Z</v>
      </c>
      <c r="Q527" t="str">
        <f t="shared" si="52"/>
        <v>BBBZ</v>
      </c>
    </row>
    <row r="528" spans="1:17" x14ac:dyDescent="0.15">
      <c r="A528" t="s">
        <v>362</v>
      </c>
      <c r="B528" s="9">
        <v>1</v>
      </c>
      <c r="C528" s="13">
        <v>0</v>
      </c>
      <c r="D528" s="13">
        <v>0.95</v>
      </c>
      <c r="E528" s="9" t="s">
        <v>1241</v>
      </c>
      <c r="F528">
        <v>245</v>
      </c>
      <c r="G528" s="11">
        <v>6.6559422214912292E-4</v>
      </c>
      <c r="H528" s="12">
        <v>0.88365169534610644</v>
      </c>
      <c r="I528" t="s">
        <v>1241</v>
      </c>
      <c r="J528">
        <v>6</v>
      </c>
      <c r="K528" s="11">
        <f t="shared" si="48"/>
        <v>6.2155775398998981E-4</v>
      </c>
      <c r="L528" s="12">
        <f t="shared" si="53"/>
        <v>0.84612657050656603</v>
      </c>
      <c r="M528" t="str">
        <f t="shared" si="49"/>
        <v>B</v>
      </c>
      <c r="N528" t="str">
        <f t="shared" si="50"/>
        <v>BBB</v>
      </c>
      <c r="O528" s="11">
        <f>VLOOKUP(A528,XYZ!A527:G1330,2,FALSE)</f>
        <v>2.2360679774997894</v>
      </c>
      <c r="P528" t="str">
        <f t="shared" si="51"/>
        <v>Z</v>
      </c>
      <c r="Q528" t="str">
        <f t="shared" si="52"/>
        <v>BBBZ</v>
      </c>
    </row>
    <row r="529" spans="1:17" x14ac:dyDescent="0.15">
      <c r="A529" t="s">
        <v>1137</v>
      </c>
      <c r="B529" s="9">
        <v>1</v>
      </c>
      <c r="C529" s="13">
        <v>0</v>
      </c>
      <c r="D529" s="13">
        <v>0.8</v>
      </c>
      <c r="E529" s="9" t="s">
        <v>1240</v>
      </c>
      <c r="F529">
        <v>240</v>
      </c>
      <c r="G529" s="11">
        <v>6.5201066659505917E-4</v>
      </c>
      <c r="H529" s="12">
        <v>0.88495571667929651</v>
      </c>
      <c r="I529" t="s">
        <v>1241</v>
      </c>
      <c r="J529">
        <v>6</v>
      </c>
      <c r="K529" s="11">
        <f t="shared" si="48"/>
        <v>6.2155775398998981E-4</v>
      </c>
      <c r="L529" s="12">
        <f t="shared" si="53"/>
        <v>0.84674812826055601</v>
      </c>
      <c r="M529" t="str">
        <f t="shared" si="49"/>
        <v>B</v>
      </c>
      <c r="N529" t="str">
        <f t="shared" si="50"/>
        <v>ABB</v>
      </c>
      <c r="O529" s="11">
        <f>VLOOKUP(A529,XYZ!A528:G1331,2,FALSE)</f>
        <v>2.2360679774997894</v>
      </c>
      <c r="P529" t="str">
        <f t="shared" si="51"/>
        <v>Z</v>
      </c>
      <c r="Q529" t="str">
        <f t="shared" si="52"/>
        <v>ABBZ</v>
      </c>
    </row>
    <row r="530" spans="1:17" x14ac:dyDescent="0.15">
      <c r="A530" t="s">
        <v>1149</v>
      </c>
      <c r="B530" s="9">
        <v>1</v>
      </c>
      <c r="C530" s="13">
        <v>0</v>
      </c>
      <c r="D530" s="13">
        <v>0.81</v>
      </c>
      <c r="E530" s="9" t="s">
        <v>1241</v>
      </c>
      <c r="F530">
        <v>240</v>
      </c>
      <c r="G530" s="11">
        <v>6.5201066659505917E-4</v>
      </c>
      <c r="H530" s="12">
        <v>0.88560772734589155</v>
      </c>
      <c r="I530" t="s">
        <v>1241</v>
      </c>
      <c r="J530">
        <v>6</v>
      </c>
      <c r="K530" s="11">
        <f t="shared" si="48"/>
        <v>6.2155775398998981E-4</v>
      </c>
      <c r="L530" s="12">
        <f t="shared" si="53"/>
        <v>0.84736968601454599</v>
      </c>
      <c r="M530" t="str">
        <f t="shared" si="49"/>
        <v>B</v>
      </c>
      <c r="N530" t="str">
        <f t="shared" si="50"/>
        <v>BBB</v>
      </c>
      <c r="O530" s="11">
        <f>VLOOKUP(A530,XYZ!A529:G1332,2,FALSE)</f>
        <v>2.2360679774997894</v>
      </c>
      <c r="P530" t="str">
        <f t="shared" si="51"/>
        <v>Z</v>
      </c>
      <c r="Q530" t="str">
        <f t="shared" si="52"/>
        <v>BBBZ</v>
      </c>
    </row>
    <row r="531" spans="1:17" x14ac:dyDescent="0.15">
      <c r="A531" t="s">
        <v>311</v>
      </c>
      <c r="B531" s="9">
        <v>1</v>
      </c>
      <c r="C531" s="13">
        <v>0</v>
      </c>
      <c r="D531" s="13">
        <v>0.86</v>
      </c>
      <c r="E531" s="9" t="s">
        <v>1241</v>
      </c>
      <c r="F531">
        <v>240</v>
      </c>
      <c r="G531" s="11">
        <v>6.5201066659505917E-4</v>
      </c>
      <c r="H531" s="12">
        <v>0.88625973801248659</v>
      </c>
      <c r="I531" t="s">
        <v>1241</v>
      </c>
      <c r="J531">
        <v>6</v>
      </c>
      <c r="K531" s="11">
        <f t="shared" si="48"/>
        <v>6.2155775398998981E-4</v>
      </c>
      <c r="L531" s="12">
        <f t="shared" si="53"/>
        <v>0.84799124376853596</v>
      </c>
      <c r="M531" t="str">
        <f t="shared" si="49"/>
        <v>B</v>
      </c>
      <c r="N531" t="str">
        <f t="shared" si="50"/>
        <v>BBB</v>
      </c>
      <c r="O531" s="11">
        <f>VLOOKUP(A531,XYZ!A530:G1333,2,FALSE)</f>
        <v>2.2360679774997894</v>
      </c>
      <c r="P531" t="str">
        <f t="shared" si="51"/>
        <v>Z</v>
      </c>
      <c r="Q531" t="str">
        <f t="shared" si="52"/>
        <v>BBBZ</v>
      </c>
    </row>
    <row r="532" spans="1:17" x14ac:dyDescent="0.15">
      <c r="A532" t="s">
        <v>457</v>
      </c>
      <c r="B532" s="9">
        <v>1</v>
      </c>
      <c r="C532" s="13">
        <v>0</v>
      </c>
      <c r="D532" s="13">
        <v>0.86</v>
      </c>
      <c r="E532" s="9" t="s">
        <v>1241</v>
      </c>
      <c r="F532">
        <v>239</v>
      </c>
      <c r="G532" s="11">
        <v>6.4929395548424642E-4</v>
      </c>
      <c r="H532" s="12">
        <v>0.88690903196797088</v>
      </c>
      <c r="I532" t="s">
        <v>1241</v>
      </c>
      <c r="J532">
        <v>6</v>
      </c>
      <c r="K532" s="11">
        <f t="shared" si="48"/>
        <v>6.2155775398998981E-4</v>
      </c>
      <c r="L532" s="12">
        <f t="shared" si="53"/>
        <v>0.84861280152252594</v>
      </c>
      <c r="M532" t="str">
        <f t="shared" si="49"/>
        <v>B</v>
      </c>
      <c r="N532" t="str">
        <f t="shared" si="50"/>
        <v>BBB</v>
      </c>
      <c r="O532" s="11">
        <f>VLOOKUP(A532,XYZ!A531:G1334,2,FALSE)</f>
        <v>2.2360679774997894</v>
      </c>
      <c r="P532" t="str">
        <f t="shared" si="51"/>
        <v>Z</v>
      </c>
      <c r="Q532" t="str">
        <f t="shared" si="52"/>
        <v>BBBZ</v>
      </c>
    </row>
    <row r="533" spans="1:17" x14ac:dyDescent="0.15">
      <c r="A533" t="s">
        <v>813</v>
      </c>
      <c r="B533" s="9">
        <v>1</v>
      </c>
      <c r="C533" s="13">
        <v>0</v>
      </c>
      <c r="D533" s="13">
        <v>0.86</v>
      </c>
      <c r="E533" s="9" t="s">
        <v>1241</v>
      </c>
      <c r="F533">
        <v>236</v>
      </c>
      <c r="G533" s="11">
        <v>6.4114382215180827E-4</v>
      </c>
      <c r="H533" s="12">
        <v>0.88819675303449619</v>
      </c>
      <c r="I533" t="s">
        <v>1241</v>
      </c>
      <c r="J533">
        <v>6</v>
      </c>
      <c r="K533" s="11">
        <f t="shared" si="48"/>
        <v>6.2155775398998981E-4</v>
      </c>
      <c r="L533" s="12">
        <f t="shared" si="53"/>
        <v>0.84923435927651592</v>
      </c>
      <c r="M533" t="str">
        <f t="shared" si="49"/>
        <v>B</v>
      </c>
      <c r="N533" t="str">
        <f t="shared" si="50"/>
        <v>BBB</v>
      </c>
      <c r="O533" s="11">
        <f>VLOOKUP(A533,XYZ!A532:G1335,2,FALSE)</f>
        <v>2.2360679774997894</v>
      </c>
      <c r="P533" t="str">
        <f t="shared" si="51"/>
        <v>Z</v>
      </c>
      <c r="Q533" t="str">
        <f t="shared" si="52"/>
        <v>BBBZ</v>
      </c>
    </row>
    <row r="534" spans="1:17" x14ac:dyDescent="0.15">
      <c r="A534" t="s">
        <v>1197</v>
      </c>
      <c r="B534" s="9">
        <v>1</v>
      </c>
      <c r="C534" s="13">
        <v>0</v>
      </c>
      <c r="D534" s="13">
        <v>0.83</v>
      </c>
      <c r="E534" s="9" t="s">
        <v>1241</v>
      </c>
      <c r="F534">
        <v>235</v>
      </c>
      <c r="G534" s="11">
        <v>6.3842711104099552E-4</v>
      </c>
      <c r="H534" s="12">
        <v>0.8888351801455372</v>
      </c>
      <c r="I534" t="s">
        <v>1241</v>
      </c>
      <c r="J534">
        <v>6</v>
      </c>
      <c r="K534" s="11">
        <f t="shared" si="48"/>
        <v>6.2155775398998981E-4</v>
      </c>
      <c r="L534" s="12">
        <f t="shared" si="53"/>
        <v>0.84985591703050589</v>
      </c>
      <c r="M534" t="str">
        <f t="shared" si="49"/>
        <v>B</v>
      </c>
      <c r="N534" t="str">
        <f t="shared" si="50"/>
        <v>BBB</v>
      </c>
      <c r="O534" s="11">
        <f>VLOOKUP(A534,XYZ!A533:G1336,2,FALSE)</f>
        <v>2.2360679774997894</v>
      </c>
      <c r="P534" t="str">
        <f t="shared" si="51"/>
        <v>Z</v>
      </c>
      <c r="Q534" t="str">
        <f t="shared" si="52"/>
        <v>BBBZ</v>
      </c>
    </row>
    <row r="535" spans="1:17" x14ac:dyDescent="0.15">
      <c r="A535" t="s">
        <v>124</v>
      </c>
      <c r="B535" s="9">
        <v>1</v>
      </c>
      <c r="C535" s="13">
        <v>0</v>
      </c>
      <c r="D535" s="13">
        <v>0.77</v>
      </c>
      <c r="E535" s="9" t="s">
        <v>1240</v>
      </c>
      <c r="F535">
        <v>233</v>
      </c>
      <c r="G535" s="11">
        <v>6.3299368881937002E-4</v>
      </c>
      <c r="H535" s="12">
        <v>0.89073959463421692</v>
      </c>
      <c r="I535" t="s">
        <v>1241</v>
      </c>
      <c r="J535">
        <v>6</v>
      </c>
      <c r="K535" s="11">
        <f t="shared" si="48"/>
        <v>6.2155775398998981E-4</v>
      </c>
      <c r="L535" s="12">
        <f t="shared" si="53"/>
        <v>0.85047747478449587</v>
      </c>
      <c r="M535" t="str">
        <f t="shared" si="49"/>
        <v>B</v>
      </c>
      <c r="N535" t="str">
        <f t="shared" si="50"/>
        <v>ABB</v>
      </c>
      <c r="O535" s="11">
        <f>VLOOKUP(A535,XYZ!A534:G1337,2,FALSE)</f>
        <v>2.2360679774997894</v>
      </c>
      <c r="P535" t="str">
        <f t="shared" si="51"/>
        <v>Z</v>
      </c>
      <c r="Q535" t="str">
        <f t="shared" si="52"/>
        <v>ABBZ</v>
      </c>
    </row>
    <row r="536" spans="1:17" x14ac:dyDescent="0.15">
      <c r="A536" t="s">
        <v>546</v>
      </c>
      <c r="B536" s="9">
        <v>1</v>
      </c>
      <c r="C536" s="13">
        <v>0</v>
      </c>
      <c r="D536" s="13">
        <v>0.76</v>
      </c>
      <c r="E536" s="9" t="s">
        <v>1240</v>
      </c>
      <c r="F536">
        <v>231</v>
      </c>
      <c r="G536" s="11">
        <v>6.2756026659774452E-4</v>
      </c>
      <c r="H536" s="12">
        <v>0.89199743187852321</v>
      </c>
      <c r="I536" t="s">
        <v>1241</v>
      </c>
      <c r="J536">
        <v>6</v>
      </c>
      <c r="K536" s="11">
        <f t="shared" si="48"/>
        <v>6.2155775398998981E-4</v>
      </c>
      <c r="L536" s="12">
        <f t="shared" si="53"/>
        <v>0.85109903253848584</v>
      </c>
      <c r="M536" t="str">
        <f t="shared" si="49"/>
        <v>B</v>
      </c>
      <c r="N536" t="str">
        <f t="shared" si="50"/>
        <v>ABB</v>
      </c>
      <c r="O536" s="11">
        <f>VLOOKUP(A536,XYZ!A535:G1338,2,FALSE)</f>
        <v>2.2360679774997894</v>
      </c>
      <c r="P536" t="str">
        <f t="shared" si="51"/>
        <v>Z</v>
      </c>
      <c r="Q536" t="str">
        <f t="shared" si="52"/>
        <v>ABBZ</v>
      </c>
    </row>
    <row r="537" spans="1:17" x14ac:dyDescent="0.15">
      <c r="A537" t="s">
        <v>189</v>
      </c>
      <c r="B537" s="9">
        <v>1</v>
      </c>
      <c r="C537" s="13">
        <v>0</v>
      </c>
      <c r="D537" s="13">
        <v>0.88</v>
      </c>
      <c r="E537" s="9" t="s">
        <v>1241</v>
      </c>
      <c r="F537">
        <v>227</v>
      </c>
      <c r="G537" s="11">
        <v>6.1669342215449352E-4</v>
      </c>
      <c r="H537" s="12">
        <v>0.89323896885616472</v>
      </c>
      <c r="I537" t="s">
        <v>1241</v>
      </c>
      <c r="J537">
        <v>6</v>
      </c>
      <c r="K537" s="11">
        <f t="shared" si="48"/>
        <v>6.2155775398998981E-4</v>
      </c>
      <c r="L537" s="12">
        <f t="shared" si="53"/>
        <v>0.85172059029247582</v>
      </c>
      <c r="M537" t="str">
        <f t="shared" si="49"/>
        <v>B</v>
      </c>
      <c r="N537" t="str">
        <f t="shared" si="50"/>
        <v>BBB</v>
      </c>
      <c r="O537" s="11">
        <f>VLOOKUP(A537,XYZ!A536:G1339,2,FALSE)</f>
        <v>2.2360679774997894</v>
      </c>
      <c r="P537" t="str">
        <f t="shared" si="51"/>
        <v>Z</v>
      </c>
      <c r="Q537" t="str">
        <f t="shared" si="52"/>
        <v>BBBZ</v>
      </c>
    </row>
    <row r="538" spans="1:17" x14ac:dyDescent="0.15">
      <c r="A538" t="s">
        <v>562</v>
      </c>
      <c r="B538" s="9">
        <v>1</v>
      </c>
      <c r="C538" s="13">
        <v>0</v>
      </c>
      <c r="D538" s="13">
        <v>0.93</v>
      </c>
      <c r="E538" s="9" t="s">
        <v>1241</v>
      </c>
      <c r="F538">
        <v>226</v>
      </c>
      <c r="G538" s="11">
        <v>6.1397671104368077E-4</v>
      </c>
      <c r="H538" s="12">
        <v>0.8938529455672084</v>
      </c>
      <c r="I538" t="s">
        <v>1241</v>
      </c>
      <c r="J538">
        <v>6</v>
      </c>
      <c r="K538" s="11">
        <f t="shared" si="48"/>
        <v>6.2155775398998981E-4</v>
      </c>
      <c r="L538" s="12">
        <f t="shared" si="53"/>
        <v>0.8523421480464658</v>
      </c>
      <c r="M538" t="str">
        <f t="shared" si="49"/>
        <v>B</v>
      </c>
      <c r="N538" t="str">
        <f t="shared" si="50"/>
        <v>BBB</v>
      </c>
      <c r="O538" s="11">
        <f>VLOOKUP(A538,XYZ!A537:G1340,2,FALSE)</f>
        <v>2.2360679774997894</v>
      </c>
      <c r="P538" t="str">
        <f t="shared" si="51"/>
        <v>Z</v>
      </c>
      <c r="Q538" t="str">
        <f t="shared" si="52"/>
        <v>BBBZ</v>
      </c>
    </row>
    <row r="539" spans="1:17" x14ac:dyDescent="0.15">
      <c r="A539" t="s">
        <v>683</v>
      </c>
      <c r="B539" s="9">
        <v>1</v>
      </c>
      <c r="C539" s="13">
        <v>0</v>
      </c>
      <c r="D539" s="13">
        <v>0.84</v>
      </c>
      <c r="E539" s="9" t="s">
        <v>1241</v>
      </c>
      <c r="F539">
        <v>224</v>
      </c>
      <c r="G539" s="11">
        <v>6.0854328882205527E-4</v>
      </c>
      <c r="H539" s="12">
        <v>0.8944614888560305</v>
      </c>
      <c r="I539" t="s">
        <v>1241</v>
      </c>
      <c r="J539">
        <v>6</v>
      </c>
      <c r="K539" s="11">
        <f t="shared" si="48"/>
        <v>6.2155775398998981E-4</v>
      </c>
      <c r="L539" s="12">
        <f t="shared" si="53"/>
        <v>0.85296370580045577</v>
      </c>
      <c r="M539" t="str">
        <f t="shared" si="49"/>
        <v>B</v>
      </c>
      <c r="N539" t="str">
        <f t="shared" si="50"/>
        <v>BBB</v>
      </c>
      <c r="O539" s="11">
        <f>VLOOKUP(A539,XYZ!A538:G1341,2,FALSE)</f>
        <v>2.2360679774997894</v>
      </c>
      <c r="P539" t="str">
        <f t="shared" si="51"/>
        <v>Z</v>
      </c>
      <c r="Q539" t="str">
        <f t="shared" si="52"/>
        <v>BBBZ</v>
      </c>
    </row>
    <row r="540" spans="1:17" x14ac:dyDescent="0.15">
      <c r="A540" t="s">
        <v>833</v>
      </c>
      <c r="B540" s="9">
        <v>1</v>
      </c>
      <c r="C540" s="13">
        <v>0</v>
      </c>
      <c r="D540" s="13">
        <v>0.77</v>
      </c>
      <c r="E540" s="9" t="s">
        <v>1240</v>
      </c>
      <c r="F540">
        <v>222</v>
      </c>
      <c r="G540" s="11">
        <v>6.0310986660042976E-4</v>
      </c>
      <c r="H540" s="12">
        <v>0.89566770858923128</v>
      </c>
      <c r="I540" t="s">
        <v>1241</v>
      </c>
      <c r="J540">
        <v>6</v>
      </c>
      <c r="K540" s="11">
        <f t="shared" si="48"/>
        <v>6.2155775398998981E-4</v>
      </c>
      <c r="L540" s="12">
        <f t="shared" si="53"/>
        <v>0.85358526355444575</v>
      </c>
      <c r="M540" t="str">
        <f t="shared" si="49"/>
        <v>B</v>
      </c>
      <c r="N540" t="str">
        <f t="shared" si="50"/>
        <v>ABB</v>
      </c>
      <c r="O540" s="11">
        <f>VLOOKUP(A540,XYZ!A539:G1342,2,FALSE)</f>
        <v>2.2360679774997894</v>
      </c>
      <c r="P540" t="str">
        <f t="shared" si="51"/>
        <v>Z</v>
      </c>
      <c r="Q540" t="str">
        <f t="shared" si="52"/>
        <v>ABBZ</v>
      </c>
    </row>
    <row r="541" spans="1:17" x14ac:dyDescent="0.15">
      <c r="A541" t="s">
        <v>995</v>
      </c>
      <c r="B541" s="9">
        <v>1</v>
      </c>
      <c r="C541" s="13">
        <v>0</v>
      </c>
      <c r="D541" s="13">
        <v>0.8</v>
      </c>
      <c r="E541" s="9" t="s">
        <v>1240</v>
      </c>
      <c r="F541">
        <v>222</v>
      </c>
      <c r="G541" s="11">
        <v>6.0310986660042976E-4</v>
      </c>
      <c r="H541" s="12">
        <v>0.89627081845583167</v>
      </c>
      <c r="I541" t="s">
        <v>1241</v>
      </c>
      <c r="J541">
        <v>6</v>
      </c>
      <c r="K541" s="11">
        <f t="shared" si="48"/>
        <v>6.2155775398998981E-4</v>
      </c>
      <c r="L541" s="12">
        <f t="shared" si="53"/>
        <v>0.85420682130843573</v>
      </c>
      <c r="M541" t="str">
        <f t="shared" si="49"/>
        <v>B</v>
      </c>
      <c r="N541" t="str">
        <f t="shared" si="50"/>
        <v>ABB</v>
      </c>
      <c r="O541" s="11">
        <f>VLOOKUP(A541,XYZ!A540:G1343,2,FALSE)</f>
        <v>2.2360679774997894</v>
      </c>
      <c r="P541" t="str">
        <f t="shared" si="51"/>
        <v>Z</v>
      </c>
      <c r="Q541" t="str">
        <f t="shared" si="52"/>
        <v>ABBZ</v>
      </c>
    </row>
    <row r="542" spans="1:17" x14ac:dyDescent="0.15">
      <c r="A542" t="s">
        <v>1112</v>
      </c>
      <c r="B542" s="9">
        <v>1</v>
      </c>
      <c r="C542" s="13">
        <v>0</v>
      </c>
      <c r="D542" s="13">
        <v>0.78</v>
      </c>
      <c r="E542" s="9" t="s">
        <v>1240</v>
      </c>
      <c r="F542">
        <v>221</v>
      </c>
      <c r="G542" s="11">
        <v>6.0039315548961701E-4</v>
      </c>
      <c r="H542" s="12">
        <v>0.89747160476681098</v>
      </c>
      <c r="I542" t="s">
        <v>1241</v>
      </c>
      <c r="J542">
        <v>6</v>
      </c>
      <c r="K542" s="11">
        <f t="shared" si="48"/>
        <v>6.2155775398998981E-4</v>
      </c>
      <c r="L542" s="12">
        <f t="shared" si="53"/>
        <v>0.8548283790624257</v>
      </c>
      <c r="M542" t="str">
        <f t="shared" si="49"/>
        <v>B</v>
      </c>
      <c r="N542" t="str">
        <f t="shared" si="50"/>
        <v>ABB</v>
      </c>
      <c r="O542" s="11">
        <f>VLOOKUP(A542,XYZ!A541:G1344,2,FALSE)</f>
        <v>2.2360679774997894</v>
      </c>
      <c r="P542" t="str">
        <f t="shared" si="51"/>
        <v>Z</v>
      </c>
      <c r="Q542" t="str">
        <f t="shared" si="52"/>
        <v>ABBZ</v>
      </c>
    </row>
    <row r="543" spans="1:17" x14ac:dyDescent="0.15">
      <c r="A543" t="s">
        <v>1151</v>
      </c>
      <c r="B543" s="9">
        <v>1</v>
      </c>
      <c r="C543" s="13">
        <v>0</v>
      </c>
      <c r="D543" s="13">
        <v>0.98</v>
      </c>
      <c r="E543" s="9" t="s">
        <v>1242</v>
      </c>
      <c r="F543">
        <v>219</v>
      </c>
      <c r="G543" s="11">
        <v>5.9495973326799151E-4</v>
      </c>
      <c r="H543" s="12">
        <v>0.89866152423334689</v>
      </c>
      <c r="I543" t="s">
        <v>1241</v>
      </c>
      <c r="J543">
        <v>6</v>
      </c>
      <c r="K543" s="11">
        <f t="shared" si="48"/>
        <v>6.2155775398998981E-4</v>
      </c>
      <c r="L543" s="12">
        <f t="shared" si="53"/>
        <v>0.85544993681641568</v>
      </c>
      <c r="M543" t="str">
        <f t="shared" si="49"/>
        <v>B</v>
      </c>
      <c r="N543" t="str">
        <f t="shared" si="50"/>
        <v>CBB</v>
      </c>
      <c r="O543" s="11">
        <f>VLOOKUP(A543,XYZ!A542:G1345,2,FALSE)</f>
        <v>2.2360679774997894</v>
      </c>
      <c r="P543" t="str">
        <f t="shared" si="51"/>
        <v>Z</v>
      </c>
      <c r="Q543" t="str">
        <f t="shared" si="52"/>
        <v>CBBZ</v>
      </c>
    </row>
    <row r="544" spans="1:17" x14ac:dyDescent="0.15">
      <c r="A544" t="s">
        <v>1178</v>
      </c>
      <c r="B544" s="9">
        <v>1</v>
      </c>
      <c r="C544" s="13">
        <v>0</v>
      </c>
      <c r="D544" s="13">
        <v>0.74</v>
      </c>
      <c r="E544" s="9" t="s">
        <v>1240</v>
      </c>
      <c r="F544">
        <v>218</v>
      </c>
      <c r="G544" s="11">
        <v>5.9224302215717876E-4</v>
      </c>
      <c r="H544" s="12">
        <v>0.8992537672555041</v>
      </c>
      <c r="I544" t="s">
        <v>1241</v>
      </c>
      <c r="J544">
        <v>6</v>
      </c>
      <c r="K544" s="11">
        <f t="shared" si="48"/>
        <v>6.2155775398998981E-4</v>
      </c>
      <c r="L544" s="12">
        <f t="shared" si="53"/>
        <v>0.85607149457040566</v>
      </c>
      <c r="M544" t="str">
        <f t="shared" si="49"/>
        <v>B</v>
      </c>
      <c r="N544" t="str">
        <f t="shared" si="50"/>
        <v>ABB</v>
      </c>
      <c r="O544" s="11">
        <f>VLOOKUP(A544,XYZ!A543:G1346,2,FALSE)</f>
        <v>2.2360679774997894</v>
      </c>
      <c r="P544" t="str">
        <f t="shared" si="51"/>
        <v>Z</v>
      </c>
      <c r="Q544" t="str">
        <f t="shared" si="52"/>
        <v>ABBZ</v>
      </c>
    </row>
    <row r="545" spans="1:17" x14ac:dyDescent="0.15">
      <c r="A545" t="s">
        <v>581</v>
      </c>
      <c r="B545" s="9">
        <v>1</v>
      </c>
      <c r="C545" s="13">
        <v>0</v>
      </c>
      <c r="D545" s="13">
        <v>0.8</v>
      </c>
      <c r="E545" s="9" t="s">
        <v>1240</v>
      </c>
      <c r="F545">
        <v>218</v>
      </c>
      <c r="G545" s="11">
        <v>5.9224302215717876E-4</v>
      </c>
      <c r="H545" s="12">
        <v>0.89984601027766131</v>
      </c>
      <c r="I545" t="s">
        <v>1241</v>
      </c>
      <c r="J545">
        <v>6</v>
      </c>
      <c r="K545" s="11">
        <f t="shared" si="48"/>
        <v>6.2155775398998981E-4</v>
      </c>
      <c r="L545" s="12">
        <f t="shared" si="53"/>
        <v>0.85669305232439563</v>
      </c>
      <c r="M545" t="str">
        <f t="shared" si="49"/>
        <v>B</v>
      </c>
      <c r="N545" t="str">
        <f t="shared" si="50"/>
        <v>ABB</v>
      </c>
      <c r="O545" s="11">
        <f>VLOOKUP(A545,XYZ!A544:G1347,2,FALSE)</f>
        <v>2.2360679774997894</v>
      </c>
      <c r="P545" t="str">
        <f t="shared" si="51"/>
        <v>Z</v>
      </c>
      <c r="Q545" t="str">
        <f t="shared" si="52"/>
        <v>ABBZ</v>
      </c>
    </row>
    <row r="546" spans="1:17" x14ac:dyDescent="0.15">
      <c r="A546" t="s">
        <v>831</v>
      </c>
      <c r="B546" s="9">
        <v>1</v>
      </c>
      <c r="C546" s="13">
        <v>0</v>
      </c>
      <c r="D546" s="13">
        <v>0.87</v>
      </c>
      <c r="E546" s="9" t="s">
        <v>1241</v>
      </c>
      <c r="F546">
        <v>217</v>
      </c>
      <c r="G546" s="11">
        <v>5.8952631104636601E-4</v>
      </c>
      <c r="H546" s="12">
        <v>0.90043553658870767</v>
      </c>
      <c r="I546" t="s">
        <v>1241</v>
      </c>
      <c r="J546">
        <v>6</v>
      </c>
      <c r="K546" s="11">
        <f t="shared" si="48"/>
        <v>6.2155775398998981E-4</v>
      </c>
      <c r="L546" s="12">
        <f t="shared" si="53"/>
        <v>0.85731461007838561</v>
      </c>
      <c r="M546" t="str">
        <f t="shared" si="49"/>
        <v>B</v>
      </c>
      <c r="N546" t="str">
        <f t="shared" si="50"/>
        <v>BBB</v>
      </c>
      <c r="O546" s="11">
        <f>VLOOKUP(A546,XYZ!A545:G1348,2,FALSE)</f>
        <v>2.2360679774997894</v>
      </c>
      <c r="P546" t="str">
        <f t="shared" si="51"/>
        <v>Z</v>
      </c>
      <c r="Q546" t="str">
        <f t="shared" si="52"/>
        <v>BBBZ</v>
      </c>
    </row>
    <row r="547" spans="1:17" x14ac:dyDescent="0.15">
      <c r="A547" t="s">
        <v>505</v>
      </c>
      <c r="B547" s="9">
        <v>1</v>
      </c>
      <c r="C547" s="13">
        <v>0</v>
      </c>
      <c r="D547" s="13">
        <v>0.69</v>
      </c>
      <c r="E547" s="9" t="s">
        <v>1240</v>
      </c>
      <c r="F547">
        <v>216</v>
      </c>
      <c r="G547" s="11">
        <v>5.8680959993555326E-4</v>
      </c>
      <c r="H547" s="12">
        <v>0.90102234618864319</v>
      </c>
      <c r="I547" t="s">
        <v>1241</v>
      </c>
      <c r="J547">
        <v>6</v>
      </c>
      <c r="K547" s="11">
        <f t="shared" si="48"/>
        <v>6.2155775398998981E-4</v>
      </c>
      <c r="L547" s="12">
        <f t="shared" si="53"/>
        <v>0.85793616783237558</v>
      </c>
      <c r="M547" t="str">
        <f t="shared" si="49"/>
        <v>B</v>
      </c>
      <c r="N547" t="str">
        <f t="shared" si="50"/>
        <v>ABB</v>
      </c>
      <c r="O547" s="11">
        <f>VLOOKUP(A547,XYZ!A546:G1349,2,FALSE)</f>
        <v>2.2360679774997894</v>
      </c>
      <c r="P547" t="str">
        <f t="shared" si="51"/>
        <v>Z</v>
      </c>
      <c r="Q547" t="str">
        <f t="shared" si="52"/>
        <v>ABBZ</v>
      </c>
    </row>
    <row r="548" spans="1:17" x14ac:dyDescent="0.15">
      <c r="A548" t="s">
        <v>557</v>
      </c>
      <c r="B548" s="9">
        <v>1</v>
      </c>
      <c r="C548" s="13">
        <v>0</v>
      </c>
      <c r="D548" s="13">
        <v>0.82</v>
      </c>
      <c r="E548" s="9" t="s">
        <v>1241</v>
      </c>
      <c r="F548">
        <v>214</v>
      </c>
      <c r="G548" s="11">
        <v>5.8137617771392776E-4</v>
      </c>
      <c r="H548" s="12">
        <v>0.90160372236635711</v>
      </c>
      <c r="I548" t="s">
        <v>1241</v>
      </c>
      <c r="J548">
        <v>6</v>
      </c>
      <c r="K548" s="11">
        <f t="shared" si="48"/>
        <v>6.2155775398998981E-4</v>
      </c>
      <c r="L548" s="12">
        <f t="shared" si="53"/>
        <v>0.85855772558636556</v>
      </c>
      <c r="M548" t="str">
        <f t="shared" si="49"/>
        <v>B</v>
      </c>
      <c r="N548" t="str">
        <f t="shared" si="50"/>
        <v>BBB</v>
      </c>
      <c r="O548" s="11">
        <f>VLOOKUP(A548,XYZ!A547:G1350,2,FALSE)</f>
        <v>2.2360679774997894</v>
      </c>
      <c r="P548" t="str">
        <f t="shared" si="51"/>
        <v>Z</v>
      </c>
      <c r="Q548" t="str">
        <f t="shared" si="52"/>
        <v>BBBZ</v>
      </c>
    </row>
    <row r="549" spans="1:17" x14ac:dyDescent="0.15">
      <c r="A549" t="s">
        <v>851</v>
      </c>
      <c r="B549" s="9">
        <v>1</v>
      </c>
      <c r="C549" s="13">
        <v>0</v>
      </c>
      <c r="D549" s="13">
        <v>0.86</v>
      </c>
      <c r="E549" s="9" t="s">
        <v>1241</v>
      </c>
      <c r="F549">
        <v>214</v>
      </c>
      <c r="G549" s="11">
        <v>5.8137617771392776E-4</v>
      </c>
      <c r="H549" s="12">
        <v>0.90218509854407103</v>
      </c>
      <c r="I549" t="s">
        <v>1241</v>
      </c>
      <c r="J549">
        <v>6</v>
      </c>
      <c r="K549" s="11">
        <f t="shared" si="48"/>
        <v>6.2155775398998981E-4</v>
      </c>
      <c r="L549" s="12">
        <f t="shared" si="53"/>
        <v>0.85917928334035554</v>
      </c>
      <c r="M549" t="str">
        <f t="shared" si="49"/>
        <v>B</v>
      </c>
      <c r="N549" t="str">
        <f t="shared" si="50"/>
        <v>BBB</v>
      </c>
      <c r="O549" s="11">
        <f>VLOOKUP(A549,XYZ!A548:G1351,2,FALSE)</f>
        <v>2.2360679774997894</v>
      </c>
      <c r="P549" t="str">
        <f t="shared" si="51"/>
        <v>Z</v>
      </c>
      <c r="Q549" t="str">
        <f t="shared" si="52"/>
        <v>BBBZ</v>
      </c>
    </row>
    <row r="550" spans="1:17" x14ac:dyDescent="0.15">
      <c r="A550" t="s">
        <v>1052</v>
      </c>
      <c r="B550" s="9">
        <v>1</v>
      </c>
      <c r="C550" s="13">
        <v>0</v>
      </c>
      <c r="D550" s="13">
        <v>0.97</v>
      </c>
      <c r="E550" s="9" t="s">
        <v>1242</v>
      </c>
      <c r="F550">
        <v>214</v>
      </c>
      <c r="G550" s="11">
        <v>5.8137617771392776E-4</v>
      </c>
      <c r="H550" s="12">
        <v>0.90276647472178495</v>
      </c>
      <c r="I550" t="s">
        <v>1241</v>
      </c>
      <c r="J550">
        <v>6</v>
      </c>
      <c r="K550" s="11">
        <f t="shared" si="48"/>
        <v>6.2155775398998981E-4</v>
      </c>
      <c r="L550" s="12">
        <f t="shared" si="53"/>
        <v>0.85980084109434551</v>
      </c>
      <c r="M550" t="str">
        <f t="shared" si="49"/>
        <v>B</v>
      </c>
      <c r="N550" t="str">
        <f t="shared" si="50"/>
        <v>CBB</v>
      </c>
      <c r="O550" s="11">
        <f>VLOOKUP(A550,XYZ!A549:G1352,2,FALSE)</f>
        <v>2.2360679774997894</v>
      </c>
      <c r="P550" t="str">
        <f t="shared" si="51"/>
        <v>Z</v>
      </c>
      <c r="Q550" t="str">
        <f t="shared" si="52"/>
        <v>CBBZ</v>
      </c>
    </row>
    <row r="551" spans="1:17" x14ac:dyDescent="0.15">
      <c r="A551" t="s">
        <v>766</v>
      </c>
      <c r="B551" s="9">
        <v>1</v>
      </c>
      <c r="C551" s="13">
        <v>0</v>
      </c>
      <c r="D551" s="13">
        <v>0.69</v>
      </c>
      <c r="E551" s="9" t="s">
        <v>1240</v>
      </c>
      <c r="F551">
        <v>213</v>
      </c>
      <c r="G551" s="11">
        <v>5.7865946660311501E-4</v>
      </c>
      <c r="H551" s="12">
        <v>0.90392379365499109</v>
      </c>
      <c r="I551" t="s">
        <v>1241</v>
      </c>
      <c r="J551">
        <v>6</v>
      </c>
      <c r="K551" s="11">
        <f t="shared" si="48"/>
        <v>6.2155775398998981E-4</v>
      </c>
      <c r="L551" s="12">
        <f t="shared" si="53"/>
        <v>0.86042239884833549</v>
      </c>
      <c r="M551" t="str">
        <f t="shared" si="49"/>
        <v>B</v>
      </c>
      <c r="N551" t="str">
        <f t="shared" si="50"/>
        <v>ABB</v>
      </c>
      <c r="O551" s="11">
        <f>VLOOKUP(A551,XYZ!A550:G1353,2,FALSE)</f>
        <v>2.2360679774997894</v>
      </c>
      <c r="P551" t="str">
        <f t="shared" si="51"/>
        <v>Z</v>
      </c>
      <c r="Q551" t="str">
        <f t="shared" si="52"/>
        <v>ABBZ</v>
      </c>
    </row>
    <row r="552" spans="1:17" x14ac:dyDescent="0.15">
      <c r="A552" t="s">
        <v>152</v>
      </c>
      <c r="B552" s="9">
        <v>1</v>
      </c>
      <c r="C552" s="13">
        <v>0</v>
      </c>
      <c r="D552" s="13">
        <v>0.91</v>
      </c>
      <c r="E552" s="9" t="s">
        <v>1241</v>
      </c>
      <c r="F552">
        <v>211</v>
      </c>
      <c r="G552" s="11">
        <v>5.7322604438148951E-4</v>
      </c>
      <c r="H552" s="12">
        <v>0.9050729624548649</v>
      </c>
      <c r="I552" t="s">
        <v>1241</v>
      </c>
      <c r="J552">
        <v>6</v>
      </c>
      <c r="K552" s="11">
        <f t="shared" si="48"/>
        <v>6.2155775398998981E-4</v>
      </c>
      <c r="L552" s="12">
        <f t="shared" si="53"/>
        <v>0.86104395660232547</v>
      </c>
      <c r="M552" t="str">
        <f t="shared" si="49"/>
        <v>B</v>
      </c>
      <c r="N552" t="str">
        <f t="shared" si="50"/>
        <v>BBB</v>
      </c>
      <c r="O552" s="11">
        <f>VLOOKUP(A552,XYZ!A551:G1354,2,FALSE)</f>
        <v>2.2360679774997894</v>
      </c>
      <c r="P552" t="str">
        <f t="shared" si="51"/>
        <v>Z</v>
      </c>
      <c r="Q552" t="str">
        <f t="shared" si="52"/>
        <v>BBBZ</v>
      </c>
    </row>
    <row r="553" spans="1:17" x14ac:dyDescent="0.15">
      <c r="A553" t="s">
        <v>954</v>
      </c>
      <c r="B553" s="9">
        <v>1</v>
      </c>
      <c r="C553" s="13">
        <v>0</v>
      </c>
      <c r="D553" s="13">
        <v>0.83</v>
      </c>
      <c r="E553" s="9" t="s">
        <v>1241</v>
      </c>
      <c r="F553">
        <v>209</v>
      </c>
      <c r="G553" s="11">
        <v>5.6779262215986401E-4</v>
      </c>
      <c r="H553" s="12">
        <v>0.90735228307683669</v>
      </c>
      <c r="I553" t="s">
        <v>1241</v>
      </c>
      <c r="J553">
        <v>6</v>
      </c>
      <c r="K553" s="11">
        <f t="shared" si="48"/>
        <v>6.2155775398998981E-4</v>
      </c>
      <c r="L553" s="12">
        <f t="shared" si="53"/>
        <v>0.86166551435631544</v>
      </c>
      <c r="M553" t="str">
        <f t="shared" si="49"/>
        <v>B</v>
      </c>
      <c r="N553" t="str">
        <f t="shared" si="50"/>
        <v>BBB</v>
      </c>
      <c r="O553" s="11">
        <f>VLOOKUP(A553,XYZ!A552:G1355,2,FALSE)</f>
        <v>2.2360679774997894</v>
      </c>
      <c r="P553" t="str">
        <f t="shared" si="51"/>
        <v>Z</v>
      </c>
      <c r="Q553" t="str">
        <f t="shared" si="52"/>
        <v>BBBZ</v>
      </c>
    </row>
    <row r="554" spans="1:17" x14ac:dyDescent="0.15">
      <c r="A554" t="s">
        <v>365</v>
      </c>
      <c r="B554" s="9">
        <v>1</v>
      </c>
      <c r="C554" s="13">
        <v>0</v>
      </c>
      <c r="D554" s="13">
        <v>0.82</v>
      </c>
      <c r="E554" s="9" t="s">
        <v>1241</v>
      </c>
      <c r="F554">
        <v>207</v>
      </c>
      <c r="G554" s="11">
        <v>5.6235919993823861E-4</v>
      </c>
      <c r="H554" s="12">
        <v>0.90791464227677487</v>
      </c>
      <c r="I554" t="s">
        <v>1241</v>
      </c>
      <c r="J554">
        <v>6</v>
      </c>
      <c r="K554" s="11">
        <f t="shared" si="48"/>
        <v>6.2155775398998981E-4</v>
      </c>
      <c r="L554" s="12">
        <f t="shared" si="53"/>
        <v>0.86228707211030542</v>
      </c>
      <c r="M554" t="str">
        <f t="shared" si="49"/>
        <v>B</v>
      </c>
      <c r="N554" t="str">
        <f t="shared" si="50"/>
        <v>BBB</v>
      </c>
      <c r="O554" s="11">
        <f>VLOOKUP(A554,XYZ!A553:G1356,2,FALSE)</f>
        <v>2.2360679774997894</v>
      </c>
      <c r="P554" t="str">
        <f t="shared" si="51"/>
        <v>Z</v>
      </c>
      <c r="Q554" t="str">
        <f t="shared" si="52"/>
        <v>BBBZ</v>
      </c>
    </row>
    <row r="555" spans="1:17" x14ac:dyDescent="0.15">
      <c r="A555" t="s">
        <v>980</v>
      </c>
      <c r="B555" s="9">
        <v>1</v>
      </c>
      <c r="C555" s="13">
        <v>0</v>
      </c>
      <c r="D555" s="13">
        <v>0.93</v>
      </c>
      <c r="E555" s="9" t="s">
        <v>1241</v>
      </c>
      <c r="F555">
        <v>207</v>
      </c>
      <c r="G555" s="11">
        <v>5.6235919993823861E-4</v>
      </c>
      <c r="H555" s="12">
        <v>0.90847700147671306</v>
      </c>
      <c r="I555" t="s">
        <v>1241</v>
      </c>
      <c r="J555">
        <v>6</v>
      </c>
      <c r="K555" s="11">
        <f t="shared" si="48"/>
        <v>6.2155775398998981E-4</v>
      </c>
      <c r="L555" s="12">
        <f t="shared" si="53"/>
        <v>0.8629086298642954</v>
      </c>
      <c r="M555" t="str">
        <f t="shared" si="49"/>
        <v>B</v>
      </c>
      <c r="N555" t="str">
        <f t="shared" si="50"/>
        <v>BBB</v>
      </c>
      <c r="O555" s="11">
        <f>VLOOKUP(A555,XYZ!A554:G1357,2,FALSE)</f>
        <v>2.2360679774997894</v>
      </c>
      <c r="P555" t="str">
        <f t="shared" si="51"/>
        <v>Z</v>
      </c>
      <c r="Q555" t="str">
        <f t="shared" si="52"/>
        <v>BBBZ</v>
      </c>
    </row>
    <row r="556" spans="1:17" x14ac:dyDescent="0.15">
      <c r="A556" t="s">
        <v>764</v>
      </c>
      <c r="B556" s="9">
        <v>1</v>
      </c>
      <c r="C556" s="13">
        <v>0</v>
      </c>
      <c r="D556" s="13">
        <v>0.75</v>
      </c>
      <c r="E556" s="9" t="s">
        <v>1240</v>
      </c>
      <c r="F556">
        <v>206</v>
      </c>
      <c r="G556" s="11">
        <v>5.5964248882742586E-4</v>
      </c>
      <c r="H556" s="12">
        <v>0.90959628645436796</v>
      </c>
      <c r="I556" t="s">
        <v>1241</v>
      </c>
      <c r="J556">
        <v>6</v>
      </c>
      <c r="K556" s="11">
        <f t="shared" si="48"/>
        <v>6.2155775398998981E-4</v>
      </c>
      <c r="L556" s="12">
        <f t="shared" si="53"/>
        <v>0.86353018761828537</v>
      </c>
      <c r="M556" t="str">
        <f t="shared" si="49"/>
        <v>B</v>
      </c>
      <c r="N556" t="str">
        <f t="shared" si="50"/>
        <v>ABB</v>
      </c>
      <c r="O556" s="11">
        <f>VLOOKUP(A556,XYZ!A555:G1358,2,FALSE)</f>
        <v>2.2360679774997894</v>
      </c>
      <c r="P556" t="str">
        <f t="shared" si="51"/>
        <v>Z</v>
      </c>
      <c r="Q556" t="str">
        <f t="shared" si="52"/>
        <v>ABBZ</v>
      </c>
    </row>
    <row r="557" spans="1:17" x14ac:dyDescent="0.15">
      <c r="A557" t="s">
        <v>811</v>
      </c>
      <c r="B557" s="9">
        <v>1</v>
      </c>
      <c r="C557" s="13">
        <v>0</v>
      </c>
      <c r="D557" s="13">
        <v>0.96</v>
      </c>
      <c r="E557" s="9" t="s">
        <v>1242</v>
      </c>
      <c r="F557">
        <v>206</v>
      </c>
      <c r="G557" s="11">
        <v>5.5964248882742586E-4</v>
      </c>
      <c r="H557" s="12">
        <v>0.91015592894319541</v>
      </c>
      <c r="I557" t="s">
        <v>1241</v>
      </c>
      <c r="J557">
        <v>6</v>
      </c>
      <c r="K557" s="11">
        <f t="shared" si="48"/>
        <v>6.2155775398998981E-4</v>
      </c>
      <c r="L557" s="12">
        <f t="shared" si="53"/>
        <v>0.86415174537227535</v>
      </c>
      <c r="M557" t="str">
        <f t="shared" si="49"/>
        <v>B</v>
      </c>
      <c r="N557" t="str">
        <f t="shared" si="50"/>
        <v>CBB</v>
      </c>
      <c r="O557" s="11">
        <f>VLOOKUP(A557,XYZ!A556:G1359,2,FALSE)</f>
        <v>2.2360679774997894</v>
      </c>
      <c r="P557" t="str">
        <f t="shared" si="51"/>
        <v>Z</v>
      </c>
      <c r="Q557" t="str">
        <f t="shared" si="52"/>
        <v>CBBZ</v>
      </c>
    </row>
    <row r="558" spans="1:17" x14ac:dyDescent="0.15">
      <c r="A558" t="s">
        <v>634</v>
      </c>
      <c r="B558" s="9">
        <v>1</v>
      </c>
      <c r="C558" s="13">
        <v>0</v>
      </c>
      <c r="D558" s="13">
        <v>0.78</v>
      </c>
      <c r="E558" s="9" t="s">
        <v>1240</v>
      </c>
      <c r="F558">
        <v>203</v>
      </c>
      <c r="G558" s="11">
        <v>5.5149235549498761E-4</v>
      </c>
      <c r="H558" s="12">
        <v>0.91126163036529617</v>
      </c>
      <c r="I558" t="s">
        <v>1241</v>
      </c>
      <c r="J558">
        <v>6</v>
      </c>
      <c r="K558" s="11">
        <f t="shared" si="48"/>
        <v>6.2155775398998981E-4</v>
      </c>
      <c r="L558" s="12">
        <f t="shared" si="53"/>
        <v>0.86477330312626532</v>
      </c>
      <c r="M558" t="str">
        <f t="shared" si="49"/>
        <v>B</v>
      </c>
      <c r="N558" t="str">
        <f t="shared" si="50"/>
        <v>ABB</v>
      </c>
      <c r="O558" s="11">
        <f>VLOOKUP(A558,XYZ!A557:G1360,2,FALSE)</f>
        <v>2.2360679774997894</v>
      </c>
      <c r="P558" t="str">
        <f t="shared" si="51"/>
        <v>Z</v>
      </c>
      <c r="Q558" t="str">
        <f t="shared" si="52"/>
        <v>ABBZ</v>
      </c>
    </row>
    <row r="559" spans="1:17" x14ac:dyDescent="0.15">
      <c r="A559" t="s">
        <v>1049</v>
      </c>
      <c r="B559" s="9">
        <v>1</v>
      </c>
      <c r="C559" s="13">
        <v>0</v>
      </c>
      <c r="D559" s="13">
        <v>0.88</v>
      </c>
      <c r="E559" s="9" t="s">
        <v>1241</v>
      </c>
      <c r="F559">
        <v>200</v>
      </c>
      <c r="G559" s="11">
        <v>5.4334222216254936E-4</v>
      </c>
      <c r="H559" s="12">
        <v>0.91234831480962131</v>
      </c>
      <c r="I559" t="s">
        <v>1241</v>
      </c>
      <c r="J559">
        <v>6</v>
      </c>
      <c r="K559" s="11">
        <f t="shared" si="48"/>
        <v>6.2155775398998981E-4</v>
      </c>
      <c r="L559" s="12">
        <f t="shared" si="53"/>
        <v>0.8653948608802553</v>
      </c>
      <c r="M559" t="str">
        <f t="shared" si="49"/>
        <v>B</v>
      </c>
      <c r="N559" t="str">
        <f t="shared" si="50"/>
        <v>BBB</v>
      </c>
      <c r="O559" s="11">
        <f>VLOOKUP(A559,XYZ!A558:G1361,2,FALSE)</f>
        <v>2.2360679774997894</v>
      </c>
      <c r="P559" t="str">
        <f t="shared" si="51"/>
        <v>Z</v>
      </c>
      <c r="Q559" t="str">
        <f t="shared" si="52"/>
        <v>BBBZ</v>
      </c>
    </row>
    <row r="560" spans="1:17" x14ac:dyDescent="0.15">
      <c r="A560" t="s">
        <v>471</v>
      </c>
      <c r="B560" s="9">
        <v>1</v>
      </c>
      <c r="C560" s="13">
        <v>0</v>
      </c>
      <c r="D560" s="13">
        <v>0.92</v>
      </c>
      <c r="E560" s="9" t="s">
        <v>1241</v>
      </c>
      <c r="F560">
        <v>199</v>
      </c>
      <c r="G560" s="11">
        <v>5.4062551105173661E-4</v>
      </c>
      <c r="H560" s="12">
        <v>0.91342956583172474</v>
      </c>
      <c r="I560" t="s">
        <v>1241</v>
      </c>
      <c r="J560">
        <v>6</v>
      </c>
      <c r="K560" s="11">
        <f t="shared" si="48"/>
        <v>6.2155775398998981E-4</v>
      </c>
      <c r="L560" s="12">
        <f t="shared" si="53"/>
        <v>0.86601641863424528</v>
      </c>
      <c r="M560" t="str">
        <f t="shared" si="49"/>
        <v>B</v>
      </c>
      <c r="N560" t="str">
        <f t="shared" si="50"/>
        <v>BBB</v>
      </c>
      <c r="O560" s="11">
        <f>VLOOKUP(A560,XYZ!A559:G1362,2,FALSE)</f>
        <v>2.2360679774997894</v>
      </c>
      <c r="P560" t="str">
        <f t="shared" si="51"/>
        <v>Z</v>
      </c>
      <c r="Q560" t="str">
        <f t="shared" si="52"/>
        <v>BBBZ</v>
      </c>
    </row>
    <row r="561" spans="1:17" x14ac:dyDescent="0.15">
      <c r="A561" t="s">
        <v>1199</v>
      </c>
      <c r="B561" s="9">
        <v>1</v>
      </c>
      <c r="C561" s="13">
        <v>0</v>
      </c>
      <c r="D561" s="13">
        <v>0.69</v>
      </c>
      <c r="E561" s="9" t="s">
        <v>1240</v>
      </c>
      <c r="F561">
        <v>195</v>
      </c>
      <c r="G561" s="11">
        <v>5.2975866660848561E-4</v>
      </c>
      <c r="H561" s="12">
        <v>0.91395932449833328</v>
      </c>
      <c r="I561" t="s">
        <v>1241</v>
      </c>
      <c r="J561">
        <v>6</v>
      </c>
      <c r="K561" s="11">
        <f t="shared" si="48"/>
        <v>6.2155775398998981E-4</v>
      </c>
      <c r="L561" s="12">
        <f t="shared" si="53"/>
        <v>0.86663797638823525</v>
      </c>
      <c r="M561" t="str">
        <f t="shared" si="49"/>
        <v>B</v>
      </c>
      <c r="N561" t="str">
        <f t="shared" si="50"/>
        <v>ABB</v>
      </c>
      <c r="O561" s="11">
        <f>VLOOKUP(A561,XYZ!A560:G1363,2,FALSE)</f>
        <v>2.2360679774997894</v>
      </c>
      <c r="P561" t="str">
        <f t="shared" si="51"/>
        <v>Z</v>
      </c>
      <c r="Q561" t="str">
        <f t="shared" si="52"/>
        <v>ABBZ</v>
      </c>
    </row>
    <row r="562" spans="1:17" x14ac:dyDescent="0.15">
      <c r="A562" t="s">
        <v>426</v>
      </c>
      <c r="B562" s="9">
        <v>1</v>
      </c>
      <c r="C562" s="13">
        <v>0</v>
      </c>
      <c r="D562" s="13">
        <v>0.86</v>
      </c>
      <c r="E562" s="9" t="s">
        <v>1241</v>
      </c>
      <c r="F562">
        <v>195</v>
      </c>
      <c r="G562" s="11">
        <v>5.2975866660848561E-4</v>
      </c>
      <c r="H562" s="12">
        <v>0.91448908316494182</v>
      </c>
      <c r="I562" t="s">
        <v>1241</v>
      </c>
      <c r="J562">
        <v>6</v>
      </c>
      <c r="K562" s="11">
        <f t="shared" si="48"/>
        <v>6.2155775398998981E-4</v>
      </c>
      <c r="L562" s="12">
        <f t="shared" si="53"/>
        <v>0.86725953414222523</v>
      </c>
      <c r="M562" t="str">
        <f t="shared" si="49"/>
        <v>B</v>
      </c>
      <c r="N562" t="str">
        <f t="shared" si="50"/>
        <v>BBB</v>
      </c>
      <c r="O562" s="11">
        <f>VLOOKUP(A562,XYZ!A561:G1364,2,FALSE)</f>
        <v>2.2360679774997894</v>
      </c>
      <c r="P562" t="str">
        <f t="shared" si="51"/>
        <v>Z</v>
      </c>
      <c r="Q562" t="str">
        <f t="shared" si="52"/>
        <v>BBBZ</v>
      </c>
    </row>
    <row r="563" spans="1:17" x14ac:dyDescent="0.15">
      <c r="A563" t="s">
        <v>496</v>
      </c>
      <c r="B563" s="9">
        <v>1</v>
      </c>
      <c r="C563" s="13">
        <v>0</v>
      </c>
      <c r="D563" s="13">
        <v>0.97</v>
      </c>
      <c r="E563" s="9" t="s">
        <v>1242</v>
      </c>
      <c r="F563">
        <v>192</v>
      </c>
      <c r="G563" s="11">
        <v>5.2160853327604736E-4</v>
      </c>
      <c r="H563" s="12">
        <v>0.91657551729804621</v>
      </c>
      <c r="I563" t="s">
        <v>1241</v>
      </c>
      <c r="J563">
        <v>6</v>
      </c>
      <c r="K563" s="11">
        <f t="shared" si="48"/>
        <v>6.2155775398998981E-4</v>
      </c>
      <c r="L563" s="12">
        <f t="shared" si="53"/>
        <v>0.86788109189621521</v>
      </c>
      <c r="M563" t="str">
        <f t="shared" si="49"/>
        <v>B</v>
      </c>
      <c r="N563" t="str">
        <f t="shared" si="50"/>
        <v>CBB</v>
      </c>
      <c r="O563" s="11">
        <f>VLOOKUP(A563,XYZ!A562:G1365,2,FALSE)</f>
        <v>2.2360679774997894</v>
      </c>
      <c r="P563" t="str">
        <f t="shared" si="51"/>
        <v>Z</v>
      </c>
      <c r="Q563" t="str">
        <f t="shared" si="52"/>
        <v>CBBZ</v>
      </c>
    </row>
    <row r="564" spans="1:17" x14ac:dyDescent="0.15">
      <c r="A564" t="s">
        <v>1026</v>
      </c>
      <c r="B564" s="9">
        <v>1</v>
      </c>
      <c r="C564" s="13">
        <v>0</v>
      </c>
      <c r="D564" s="13">
        <v>0.93</v>
      </c>
      <c r="E564" s="9" t="s">
        <v>1241</v>
      </c>
      <c r="F564">
        <v>189</v>
      </c>
      <c r="G564" s="11">
        <v>5.134583999436091E-4</v>
      </c>
      <c r="H564" s="12">
        <v>0.91760515080904426</v>
      </c>
      <c r="I564" t="s">
        <v>1241</v>
      </c>
      <c r="J564">
        <v>6</v>
      </c>
      <c r="K564" s="11">
        <f t="shared" si="48"/>
        <v>6.2155775398998981E-4</v>
      </c>
      <c r="L564" s="12">
        <f t="shared" si="53"/>
        <v>0.86850264965020518</v>
      </c>
      <c r="M564" t="str">
        <f t="shared" si="49"/>
        <v>B</v>
      </c>
      <c r="N564" t="str">
        <f t="shared" si="50"/>
        <v>BBB</v>
      </c>
      <c r="O564" s="11">
        <f>VLOOKUP(A564,XYZ!A563:G1366,2,FALSE)</f>
        <v>2.2360679774997894</v>
      </c>
      <c r="P564" t="str">
        <f t="shared" si="51"/>
        <v>Z</v>
      </c>
      <c r="Q564" t="str">
        <f t="shared" si="52"/>
        <v>BBBZ</v>
      </c>
    </row>
    <row r="565" spans="1:17" x14ac:dyDescent="0.15">
      <c r="A565" t="s">
        <v>1216</v>
      </c>
      <c r="B565" s="9">
        <v>1</v>
      </c>
      <c r="C565" s="13">
        <v>0</v>
      </c>
      <c r="D565" s="13">
        <v>0.78</v>
      </c>
      <c r="E565" s="9" t="s">
        <v>1240</v>
      </c>
      <c r="F565">
        <v>188</v>
      </c>
      <c r="G565" s="11">
        <v>5.1074168883279635E-4</v>
      </c>
      <c r="H565" s="12">
        <v>0.91862663418670987</v>
      </c>
      <c r="I565" t="s">
        <v>1241</v>
      </c>
      <c r="J565">
        <v>6</v>
      </c>
      <c r="K565" s="11">
        <f t="shared" si="48"/>
        <v>6.2155775398998981E-4</v>
      </c>
      <c r="L565" s="12">
        <f t="shared" si="53"/>
        <v>0.86912420740419516</v>
      </c>
      <c r="M565" t="str">
        <f t="shared" si="49"/>
        <v>B</v>
      </c>
      <c r="N565" t="str">
        <f t="shared" si="50"/>
        <v>ABB</v>
      </c>
      <c r="O565" s="11">
        <f>VLOOKUP(A565,XYZ!A564:G1367,2,FALSE)</f>
        <v>2.2360679774997894</v>
      </c>
      <c r="P565" t="str">
        <f t="shared" si="51"/>
        <v>Z</v>
      </c>
      <c r="Q565" t="str">
        <f t="shared" si="52"/>
        <v>ABBZ</v>
      </c>
    </row>
    <row r="566" spans="1:17" x14ac:dyDescent="0.15">
      <c r="A566" t="s">
        <v>374</v>
      </c>
      <c r="B566" s="9">
        <v>1</v>
      </c>
      <c r="C566" s="13">
        <v>0</v>
      </c>
      <c r="D566" s="13">
        <v>0.74</v>
      </c>
      <c r="E566" s="9" t="s">
        <v>1240</v>
      </c>
      <c r="F566">
        <v>185</v>
      </c>
      <c r="G566" s="11">
        <v>5.025915555003581E-4</v>
      </c>
      <c r="H566" s="12">
        <v>0.92064243384098488</v>
      </c>
      <c r="I566" t="s">
        <v>1241</v>
      </c>
      <c r="J566">
        <v>6</v>
      </c>
      <c r="K566" s="11">
        <f t="shared" si="48"/>
        <v>6.2155775398998981E-4</v>
      </c>
      <c r="L566" s="12">
        <f t="shared" si="53"/>
        <v>0.86974576515818514</v>
      </c>
      <c r="M566" t="str">
        <f t="shared" si="49"/>
        <v>B</v>
      </c>
      <c r="N566" t="str">
        <f t="shared" si="50"/>
        <v>ABB</v>
      </c>
      <c r="O566" s="11">
        <f>VLOOKUP(A566,XYZ!A565:G1368,2,FALSE)</f>
        <v>2.2360679774997894</v>
      </c>
      <c r="P566" t="str">
        <f t="shared" si="51"/>
        <v>Z</v>
      </c>
      <c r="Q566" t="str">
        <f t="shared" si="52"/>
        <v>ABBZ</v>
      </c>
    </row>
    <row r="567" spans="1:17" x14ac:dyDescent="0.15">
      <c r="A567" t="s">
        <v>798</v>
      </c>
      <c r="B567" s="9">
        <v>1</v>
      </c>
      <c r="C567" s="13">
        <v>0</v>
      </c>
      <c r="D567" s="13">
        <v>0.93</v>
      </c>
      <c r="E567" s="9" t="s">
        <v>1241</v>
      </c>
      <c r="F567">
        <v>183</v>
      </c>
      <c r="G567" s="11">
        <v>4.971581332787326E-4</v>
      </c>
      <c r="H567" s="12">
        <v>0.92113959197426365</v>
      </c>
      <c r="I567" t="s">
        <v>1241</v>
      </c>
      <c r="J567">
        <v>6</v>
      </c>
      <c r="K567" s="11">
        <f t="shared" si="48"/>
        <v>6.2155775398998981E-4</v>
      </c>
      <c r="L567" s="12">
        <f t="shared" si="53"/>
        <v>0.87036732291217511</v>
      </c>
      <c r="M567" t="str">
        <f t="shared" si="49"/>
        <v>B</v>
      </c>
      <c r="N567" t="str">
        <f t="shared" si="50"/>
        <v>BBB</v>
      </c>
      <c r="O567" s="11">
        <f>VLOOKUP(A567,XYZ!A566:G1369,2,FALSE)</f>
        <v>2.2360679774997894</v>
      </c>
      <c r="P567" t="str">
        <f t="shared" si="51"/>
        <v>Z</v>
      </c>
      <c r="Q567" t="str">
        <f t="shared" si="52"/>
        <v>BBBZ</v>
      </c>
    </row>
    <row r="568" spans="1:17" x14ac:dyDescent="0.15">
      <c r="A568" t="s">
        <v>872</v>
      </c>
      <c r="B568" s="9">
        <v>1</v>
      </c>
      <c r="C568" s="13">
        <v>0</v>
      </c>
      <c r="D568" s="13">
        <v>0.77</v>
      </c>
      <c r="E568" s="9" t="s">
        <v>1240</v>
      </c>
      <c r="F568">
        <v>178</v>
      </c>
      <c r="G568" s="11">
        <v>4.835745777246689E-4</v>
      </c>
      <c r="H568" s="12">
        <v>0.92210674112971291</v>
      </c>
      <c r="I568" t="s">
        <v>1241</v>
      </c>
      <c r="J568">
        <v>6</v>
      </c>
      <c r="K568" s="11">
        <f t="shared" si="48"/>
        <v>6.2155775398998981E-4</v>
      </c>
      <c r="L568" s="12">
        <f t="shared" si="53"/>
        <v>0.87098888066616509</v>
      </c>
      <c r="M568" t="str">
        <f t="shared" si="49"/>
        <v>B</v>
      </c>
      <c r="N568" t="str">
        <f t="shared" si="50"/>
        <v>ABB</v>
      </c>
      <c r="O568" s="11">
        <f>VLOOKUP(A568,XYZ!A567:G1370,2,FALSE)</f>
        <v>2.2360679774997894</v>
      </c>
      <c r="P568" t="str">
        <f t="shared" si="51"/>
        <v>Z</v>
      </c>
      <c r="Q568" t="str">
        <f t="shared" si="52"/>
        <v>ABBZ</v>
      </c>
    </row>
    <row r="569" spans="1:17" x14ac:dyDescent="0.15">
      <c r="A569" t="s">
        <v>1212</v>
      </c>
      <c r="B569" s="9">
        <v>1</v>
      </c>
      <c r="C569" s="13">
        <v>0</v>
      </c>
      <c r="D569" s="13">
        <v>0.99</v>
      </c>
      <c r="E569" s="9" t="s">
        <v>1242</v>
      </c>
      <c r="F569">
        <v>177</v>
      </c>
      <c r="G569" s="11">
        <v>4.8085786661385615E-4</v>
      </c>
      <c r="H569" s="12">
        <v>0.9230684568629407</v>
      </c>
      <c r="I569" t="s">
        <v>1241</v>
      </c>
      <c r="J569">
        <v>6</v>
      </c>
      <c r="K569" s="11">
        <f t="shared" si="48"/>
        <v>6.2155775398998981E-4</v>
      </c>
      <c r="L569" s="12">
        <f t="shared" si="53"/>
        <v>0.87161043842015506</v>
      </c>
      <c r="M569" t="str">
        <f t="shared" si="49"/>
        <v>B</v>
      </c>
      <c r="N569" t="str">
        <f t="shared" si="50"/>
        <v>CBB</v>
      </c>
      <c r="O569" s="11">
        <f>VLOOKUP(A569,XYZ!A568:G1371,2,FALSE)</f>
        <v>2.2360679774997894</v>
      </c>
      <c r="P569" t="str">
        <f t="shared" si="51"/>
        <v>Z</v>
      </c>
      <c r="Q569" t="str">
        <f t="shared" si="52"/>
        <v>CBBZ</v>
      </c>
    </row>
    <row r="570" spans="1:17" x14ac:dyDescent="0.15">
      <c r="A570" t="s">
        <v>404</v>
      </c>
      <c r="B570" s="9">
        <v>1</v>
      </c>
      <c r="C570" s="13">
        <v>0</v>
      </c>
      <c r="D570" s="13">
        <v>0.79</v>
      </c>
      <c r="E570" s="9" t="s">
        <v>1240</v>
      </c>
      <c r="F570">
        <v>176</v>
      </c>
      <c r="G570" s="11">
        <v>4.781411555030434E-4</v>
      </c>
      <c r="H570" s="12">
        <v>0.92354659801844374</v>
      </c>
      <c r="I570" t="s">
        <v>1241</v>
      </c>
      <c r="J570">
        <v>6</v>
      </c>
      <c r="K570" s="11">
        <f t="shared" si="48"/>
        <v>6.2155775398998981E-4</v>
      </c>
      <c r="L570" s="12">
        <f t="shared" si="53"/>
        <v>0.87223199617414504</v>
      </c>
      <c r="M570" t="str">
        <f t="shared" si="49"/>
        <v>B</v>
      </c>
      <c r="N570" t="str">
        <f t="shared" si="50"/>
        <v>ABB</v>
      </c>
      <c r="O570" s="11">
        <f>VLOOKUP(A570,XYZ!A569:G1372,2,FALSE)</f>
        <v>2.2360679774997894</v>
      </c>
      <c r="P570" t="str">
        <f t="shared" si="51"/>
        <v>Z</v>
      </c>
      <c r="Q570" t="str">
        <f t="shared" si="52"/>
        <v>ABBZ</v>
      </c>
    </row>
    <row r="571" spans="1:17" x14ac:dyDescent="0.15">
      <c r="A571" t="s">
        <v>1006</v>
      </c>
      <c r="B571" s="9">
        <v>1</v>
      </c>
      <c r="C571" s="13">
        <v>0</v>
      </c>
      <c r="D571" s="13">
        <v>0.95</v>
      </c>
      <c r="E571" s="9" t="s">
        <v>1241</v>
      </c>
      <c r="F571">
        <v>175.5</v>
      </c>
      <c r="G571" s="11">
        <v>4.7678279994763702E-4</v>
      </c>
      <c r="H571" s="12">
        <v>0.92402338081839142</v>
      </c>
      <c r="I571" t="s">
        <v>1241</v>
      </c>
      <c r="J571">
        <v>6</v>
      </c>
      <c r="K571" s="11">
        <f t="shared" si="48"/>
        <v>6.2155775398998981E-4</v>
      </c>
      <c r="L571" s="12">
        <f t="shared" si="53"/>
        <v>0.87285355392813502</v>
      </c>
      <c r="M571" t="str">
        <f t="shared" si="49"/>
        <v>B</v>
      </c>
      <c r="N571" t="str">
        <f t="shared" si="50"/>
        <v>BBB</v>
      </c>
      <c r="O571" s="11">
        <f>VLOOKUP(A571,XYZ!A570:G1373,2,FALSE)</f>
        <v>2.2360679774997894</v>
      </c>
      <c r="P571" t="str">
        <f t="shared" si="51"/>
        <v>Z</v>
      </c>
      <c r="Q571" t="str">
        <f t="shared" si="52"/>
        <v>BBBZ</v>
      </c>
    </row>
    <row r="572" spans="1:17" x14ac:dyDescent="0.15">
      <c r="A572" t="s">
        <v>1191</v>
      </c>
      <c r="B572" s="9">
        <v>1</v>
      </c>
      <c r="C572" s="13">
        <v>0</v>
      </c>
      <c r="D572" s="13">
        <v>0.97</v>
      </c>
      <c r="E572" s="9" t="s">
        <v>1242</v>
      </c>
      <c r="F572">
        <v>175</v>
      </c>
      <c r="G572" s="11">
        <v>4.7542444439223065E-4</v>
      </c>
      <c r="H572" s="12">
        <v>0.9249742297071758</v>
      </c>
      <c r="I572" t="s">
        <v>1241</v>
      </c>
      <c r="J572">
        <v>6</v>
      </c>
      <c r="K572" s="11">
        <f t="shared" si="48"/>
        <v>6.2155775398998981E-4</v>
      </c>
      <c r="L572" s="12">
        <f t="shared" si="53"/>
        <v>0.87347511168212499</v>
      </c>
      <c r="M572" t="str">
        <f t="shared" si="49"/>
        <v>B</v>
      </c>
      <c r="N572" t="str">
        <f t="shared" si="50"/>
        <v>CBB</v>
      </c>
      <c r="O572" s="11">
        <f>VLOOKUP(A572,XYZ!A571:G1374,2,FALSE)</f>
        <v>2.2360679774997894</v>
      </c>
      <c r="P572" t="str">
        <f t="shared" si="51"/>
        <v>Z</v>
      </c>
      <c r="Q572" t="str">
        <f t="shared" si="52"/>
        <v>CBBZ</v>
      </c>
    </row>
    <row r="573" spans="1:17" x14ac:dyDescent="0.15">
      <c r="A573" t="s">
        <v>344</v>
      </c>
      <c r="B573" s="9">
        <v>1</v>
      </c>
      <c r="C573" s="13">
        <v>0</v>
      </c>
      <c r="D573" s="13">
        <v>0.93</v>
      </c>
      <c r="E573" s="9" t="s">
        <v>1241</v>
      </c>
      <c r="F573">
        <v>172</v>
      </c>
      <c r="G573" s="11">
        <v>4.6727431105979245E-4</v>
      </c>
      <c r="H573" s="12">
        <v>0.92685419379585821</v>
      </c>
      <c r="I573" t="s">
        <v>1241</v>
      </c>
      <c r="J573">
        <v>6</v>
      </c>
      <c r="K573" s="11">
        <f t="shared" si="48"/>
        <v>6.2155775398998981E-4</v>
      </c>
      <c r="L573" s="12">
        <f t="shared" si="53"/>
        <v>0.87409666943611497</v>
      </c>
      <c r="M573" t="str">
        <f t="shared" si="49"/>
        <v>B</v>
      </c>
      <c r="N573" t="str">
        <f t="shared" si="50"/>
        <v>BBB</v>
      </c>
      <c r="O573" s="11">
        <f>VLOOKUP(A573,XYZ!A572:G1375,2,FALSE)</f>
        <v>2.2360679774997894</v>
      </c>
      <c r="P573" t="str">
        <f t="shared" si="51"/>
        <v>Z</v>
      </c>
      <c r="Q573" t="str">
        <f t="shared" si="52"/>
        <v>BBBZ</v>
      </c>
    </row>
    <row r="574" spans="1:17" x14ac:dyDescent="0.15">
      <c r="A574" t="s">
        <v>938</v>
      </c>
      <c r="B574" s="9">
        <v>1</v>
      </c>
      <c r="C574" s="13">
        <v>0</v>
      </c>
      <c r="D574" s="13">
        <v>0.74</v>
      </c>
      <c r="E574" s="9" t="s">
        <v>1240</v>
      </c>
      <c r="F574">
        <v>170</v>
      </c>
      <c r="G574" s="11">
        <v>4.6184088883816695E-4</v>
      </c>
      <c r="H574" s="12">
        <v>0.92731603468469637</v>
      </c>
      <c r="I574" t="s">
        <v>1241</v>
      </c>
      <c r="J574">
        <v>6</v>
      </c>
      <c r="K574" s="11">
        <f t="shared" si="48"/>
        <v>6.2155775398998981E-4</v>
      </c>
      <c r="L574" s="12">
        <f t="shared" si="53"/>
        <v>0.87471822719010495</v>
      </c>
      <c r="M574" t="str">
        <f t="shared" si="49"/>
        <v>B</v>
      </c>
      <c r="N574" t="str">
        <f t="shared" si="50"/>
        <v>ABB</v>
      </c>
      <c r="O574" s="11">
        <f>VLOOKUP(A574,XYZ!A573:G1376,2,FALSE)</f>
        <v>2.2360679774997894</v>
      </c>
      <c r="P574" t="str">
        <f t="shared" si="51"/>
        <v>Z</v>
      </c>
      <c r="Q574" t="str">
        <f t="shared" si="52"/>
        <v>ABBZ</v>
      </c>
    </row>
    <row r="575" spans="1:17" x14ac:dyDescent="0.15">
      <c r="A575" t="s">
        <v>947</v>
      </c>
      <c r="B575" s="9">
        <v>1</v>
      </c>
      <c r="C575" s="13">
        <v>0</v>
      </c>
      <c r="D575" s="13">
        <v>0.78</v>
      </c>
      <c r="E575" s="9" t="s">
        <v>1240</v>
      </c>
      <c r="F575">
        <v>170</v>
      </c>
      <c r="G575" s="11">
        <v>4.6184088883816695E-4</v>
      </c>
      <c r="H575" s="12">
        <v>0.92777787557353453</v>
      </c>
      <c r="I575" t="s">
        <v>1241</v>
      </c>
      <c r="J575">
        <v>6</v>
      </c>
      <c r="K575" s="11">
        <f t="shared" si="48"/>
        <v>6.2155775398998981E-4</v>
      </c>
      <c r="L575" s="12">
        <f t="shared" si="53"/>
        <v>0.87533978494409492</v>
      </c>
      <c r="M575" t="str">
        <f t="shared" si="49"/>
        <v>B</v>
      </c>
      <c r="N575" t="str">
        <f t="shared" si="50"/>
        <v>ABB</v>
      </c>
      <c r="O575" s="11">
        <f>VLOOKUP(A575,XYZ!A574:G1377,2,FALSE)</f>
        <v>2.2360679774997894</v>
      </c>
      <c r="P575" t="str">
        <f t="shared" si="51"/>
        <v>Z</v>
      </c>
      <c r="Q575" t="str">
        <f t="shared" si="52"/>
        <v>ABBZ</v>
      </c>
    </row>
    <row r="576" spans="1:17" x14ac:dyDescent="0.15">
      <c r="A576" t="s">
        <v>444</v>
      </c>
      <c r="B576" s="9">
        <v>1</v>
      </c>
      <c r="C576" s="13">
        <v>0</v>
      </c>
      <c r="D576" s="13">
        <v>0.71</v>
      </c>
      <c r="E576" s="9" t="s">
        <v>1240</v>
      </c>
      <c r="F576">
        <v>169</v>
      </c>
      <c r="G576" s="11">
        <v>4.591241777273542E-4</v>
      </c>
      <c r="H576" s="12">
        <v>0.92823699975126184</v>
      </c>
      <c r="I576" t="s">
        <v>1241</v>
      </c>
      <c r="J576">
        <v>6</v>
      </c>
      <c r="K576" s="11">
        <f t="shared" si="48"/>
        <v>6.2155775398998981E-4</v>
      </c>
      <c r="L576" s="12">
        <f t="shared" si="53"/>
        <v>0.8759613426980849</v>
      </c>
      <c r="M576" t="str">
        <f t="shared" si="49"/>
        <v>B</v>
      </c>
      <c r="N576" t="str">
        <f t="shared" si="50"/>
        <v>ABB</v>
      </c>
      <c r="O576" s="11">
        <f>VLOOKUP(A576,XYZ!A575:G1378,2,FALSE)</f>
        <v>2.2360679774997894</v>
      </c>
      <c r="P576" t="str">
        <f t="shared" si="51"/>
        <v>Z</v>
      </c>
      <c r="Q576" t="str">
        <f t="shared" si="52"/>
        <v>ABBZ</v>
      </c>
    </row>
    <row r="577" spans="1:17" x14ac:dyDescent="0.15">
      <c r="A577" t="s">
        <v>1194</v>
      </c>
      <c r="B577" s="9">
        <v>1</v>
      </c>
      <c r="C577" s="13">
        <v>0</v>
      </c>
      <c r="D577" s="13">
        <v>0.88</v>
      </c>
      <c r="E577" s="9" t="s">
        <v>1241</v>
      </c>
      <c r="F577">
        <v>168</v>
      </c>
      <c r="G577" s="11">
        <v>4.5640746661654145E-4</v>
      </c>
      <c r="H577" s="12">
        <v>0.92914981468449498</v>
      </c>
      <c r="I577" t="s">
        <v>1241</v>
      </c>
      <c r="J577">
        <v>6</v>
      </c>
      <c r="K577" s="11">
        <f t="shared" si="48"/>
        <v>6.2155775398998981E-4</v>
      </c>
      <c r="L577" s="12">
        <f t="shared" si="53"/>
        <v>0.87658290045207488</v>
      </c>
      <c r="M577" t="str">
        <f t="shared" si="49"/>
        <v>B</v>
      </c>
      <c r="N577" t="str">
        <f t="shared" si="50"/>
        <v>BBB</v>
      </c>
      <c r="O577" s="11">
        <f>VLOOKUP(A577,XYZ!A576:G1379,2,FALSE)</f>
        <v>2.2360679774997894</v>
      </c>
      <c r="P577" t="str">
        <f t="shared" si="51"/>
        <v>Z</v>
      </c>
      <c r="Q577" t="str">
        <f t="shared" si="52"/>
        <v>BBBZ</v>
      </c>
    </row>
    <row r="578" spans="1:17" x14ac:dyDescent="0.15">
      <c r="A578" t="s">
        <v>548</v>
      </c>
      <c r="B578" s="9">
        <v>1</v>
      </c>
      <c r="C578" s="13">
        <v>0</v>
      </c>
      <c r="D578" s="13">
        <v>0.71</v>
      </c>
      <c r="E578" s="9" t="s">
        <v>1240</v>
      </c>
      <c r="F578">
        <v>167</v>
      </c>
      <c r="G578" s="11">
        <v>4.536907555057287E-4</v>
      </c>
      <c r="H578" s="12">
        <v>0.9296035054400007</v>
      </c>
      <c r="I578" t="s">
        <v>1241</v>
      </c>
      <c r="J578">
        <v>6</v>
      </c>
      <c r="K578" s="11">
        <f t="shared" si="48"/>
        <v>6.2155775398998981E-4</v>
      </c>
      <c r="L578" s="12">
        <f t="shared" si="53"/>
        <v>0.87720445820606485</v>
      </c>
      <c r="M578" t="str">
        <f t="shared" si="49"/>
        <v>B</v>
      </c>
      <c r="N578" t="str">
        <f t="shared" si="50"/>
        <v>ABB</v>
      </c>
      <c r="O578" s="11">
        <f>VLOOKUP(A578,XYZ!A577:G1380,2,FALSE)</f>
        <v>2.2360679774997894</v>
      </c>
      <c r="P578" t="str">
        <f t="shared" si="51"/>
        <v>Z</v>
      </c>
      <c r="Q578" t="str">
        <f t="shared" si="52"/>
        <v>ABBZ</v>
      </c>
    </row>
    <row r="579" spans="1:17" x14ac:dyDescent="0.15">
      <c r="A579" t="s">
        <v>367</v>
      </c>
      <c r="B579" s="9">
        <v>1</v>
      </c>
      <c r="C579" s="13">
        <v>0</v>
      </c>
      <c r="D579" s="13">
        <v>0.86</v>
      </c>
      <c r="E579" s="9" t="s">
        <v>1241</v>
      </c>
      <c r="F579">
        <v>164</v>
      </c>
      <c r="G579" s="11">
        <v>4.4554062217329045E-4</v>
      </c>
      <c r="H579" s="12">
        <v>0.93140262020602527</v>
      </c>
      <c r="I579" t="s">
        <v>1241</v>
      </c>
      <c r="J579">
        <v>6</v>
      </c>
      <c r="K579" s="11">
        <f t="shared" ref="K579:K642" si="54">J579/SUM(J:J)</f>
        <v>6.2155775398998981E-4</v>
      </c>
      <c r="L579" s="12">
        <f t="shared" si="53"/>
        <v>0.87782601596005483</v>
      </c>
      <c r="M579" t="str">
        <f t="shared" ref="M579:M642" si="55">IF(L579&lt;0.8,"A",IF(L579&lt;0.95,"B","C"))</f>
        <v>B</v>
      </c>
      <c r="N579" t="str">
        <f t="shared" ref="N579:N642" si="56">E579&amp;I579&amp;M579</f>
        <v>BBB</v>
      </c>
      <c r="O579" s="11">
        <f>VLOOKUP(A579,XYZ!A578:G1381,2,FALSE)</f>
        <v>2.2360679774997894</v>
      </c>
      <c r="P579" t="str">
        <f t="shared" ref="P579:P642" si="57">IF(O579&lt;0.1,"A",IF(O579&lt;0.25,"Y","Z"))</f>
        <v>Z</v>
      </c>
      <c r="Q579" t="str">
        <f t="shared" ref="Q579:Q642" si="58">N579&amp;P579</f>
        <v>BBBZ</v>
      </c>
    </row>
    <row r="580" spans="1:17" x14ac:dyDescent="0.15">
      <c r="A580" t="s">
        <v>1071</v>
      </c>
      <c r="B580" s="9">
        <v>1</v>
      </c>
      <c r="C580" s="13">
        <v>0</v>
      </c>
      <c r="D580" s="13">
        <v>0.85</v>
      </c>
      <c r="E580" s="9" t="s">
        <v>1241</v>
      </c>
      <c r="F580">
        <v>162</v>
      </c>
      <c r="G580" s="11">
        <v>4.4010719995166495E-4</v>
      </c>
      <c r="H580" s="12">
        <v>0.93184272740597696</v>
      </c>
      <c r="I580" t="s">
        <v>1241</v>
      </c>
      <c r="J580">
        <v>6</v>
      </c>
      <c r="K580" s="11">
        <f t="shared" si="54"/>
        <v>6.2155775398998981E-4</v>
      </c>
      <c r="L580" s="12">
        <f t="shared" ref="L580:L643" si="59">K580+L579</f>
        <v>0.8784475737140448</v>
      </c>
      <c r="M580" t="str">
        <f t="shared" si="55"/>
        <v>B</v>
      </c>
      <c r="N580" t="str">
        <f t="shared" si="56"/>
        <v>BBB</v>
      </c>
      <c r="O580" s="11">
        <f>VLOOKUP(A580,XYZ!A579:G1382,2,FALSE)</f>
        <v>2.2360679774997894</v>
      </c>
      <c r="P580" t="str">
        <f t="shared" si="57"/>
        <v>Z</v>
      </c>
      <c r="Q580" t="str">
        <f t="shared" si="58"/>
        <v>BBBZ</v>
      </c>
    </row>
    <row r="581" spans="1:17" x14ac:dyDescent="0.15">
      <c r="A581" t="s">
        <v>721</v>
      </c>
      <c r="B581" s="9">
        <v>1</v>
      </c>
      <c r="C581" s="13">
        <v>0</v>
      </c>
      <c r="D581" s="13">
        <v>0.98</v>
      </c>
      <c r="E581" s="9" t="s">
        <v>1242</v>
      </c>
      <c r="F581">
        <v>161</v>
      </c>
      <c r="G581" s="11">
        <v>4.373904888408522E-4</v>
      </c>
      <c r="H581" s="12">
        <v>0.93228011789481779</v>
      </c>
      <c r="I581" t="s">
        <v>1241</v>
      </c>
      <c r="J581">
        <v>6</v>
      </c>
      <c r="K581" s="11">
        <f t="shared" si="54"/>
        <v>6.2155775398998981E-4</v>
      </c>
      <c r="L581" s="12">
        <f t="shared" si="59"/>
        <v>0.87906913146803478</v>
      </c>
      <c r="M581" t="str">
        <f t="shared" si="55"/>
        <v>B</v>
      </c>
      <c r="N581" t="str">
        <f t="shared" si="56"/>
        <v>CBB</v>
      </c>
      <c r="O581" s="11">
        <f>VLOOKUP(A581,XYZ!A580:G1383,2,FALSE)</f>
        <v>2.2360679774997894</v>
      </c>
      <c r="P581" t="str">
        <f t="shared" si="57"/>
        <v>Z</v>
      </c>
      <c r="Q581" t="str">
        <f t="shared" si="58"/>
        <v>CBBZ</v>
      </c>
    </row>
    <row r="582" spans="1:17" x14ac:dyDescent="0.15">
      <c r="A582" t="s">
        <v>145</v>
      </c>
      <c r="B582" s="9">
        <v>1</v>
      </c>
      <c r="C582" s="13">
        <v>0</v>
      </c>
      <c r="D582" s="13">
        <v>0.72</v>
      </c>
      <c r="E582" s="9" t="s">
        <v>1240</v>
      </c>
      <c r="F582">
        <v>160</v>
      </c>
      <c r="G582" s="11">
        <v>4.346737777300395E-4</v>
      </c>
      <c r="H582" s="12">
        <v>0.93271479167254778</v>
      </c>
      <c r="I582" t="s">
        <v>1241</v>
      </c>
      <c r="J582">
        <v>6</v>
      </c>
      <c r="K582" s="11">
        <f t="shared" si="54"/>
        <v>6.2155775398998981E-4</v>
      </c>
      <c r="L582" s="12">
        <f t="shared" si="59"/>
        <v>0.87969068922202476</v>
      </c>
      <c r="M582" t="str">
        <f t="shared" si="55"/>
        <v>B</v>
      </c>
      <c r="N582" t="str">
        <f t="shared" si="56"/>
        <v>ABB</v>
      </c>
      <c r="O582" s="11">
        <f>VLOOKUP(A582,XYZ!A581:G1384,2,FALSE)</f>
        <v>2.2360679774997894</v>
      </c>
      <c r="P582" t="str">
        <f t="shared" si="57"/>
        <v>Z</v>
      </c>
      <c r="Q582" t="str">
        <f t="shared" si="58"/>
        <v>ABBZ</v>
      </c>
    </row>
    <row r="583" spans="1:17" x14ac:dyDescent="0.15">
      <c r="A583" t="s">
        <v>339</v>
      </c>
      <c r="B583" s="9">
        <v>1</v>
      </c>
      <c r="C583" s="13">
        <v>0</v>
      </c>
      <c r="D583" s="13">
        <v>0.95</v>
      </c>
      <c r="E583" s="9" t="s">
        <v>1241</v>
      </c>
      <c r="F583">
        <v>159</v>
      </c>
      <c r="G583" s="11">
        <v>4.3195706661922675E-4</v>
      </c>
      <c r="H583" s="12">
        <v>0.93314674873916703</v>
      </c>
      <c r="I583" t="s">
        <v>1241</v>
      </c>
      <c r="J583">
        <v>6</v>
      </c>
      <c r="K583" s="11">
        <f t="shared" si="54"/>
        <v>6.2155775398998981E-4</v>
      </c>
      <c r="L583" s="12">
        <f t="shared" si="59"/>
        <v>0.88031224697601473</v>
      </c>
      <c r="M583" t="str">
        <f t="shared" si="55"/>
        <v>B</v>
      </c>
      <c r="N583" t="str">
        <f t="shared" si="56"/>
        <v>BBB</v>
      </c>
      <c r="O583" s="11">
        <f>VLOOKUP(A583,XYZ!A582:G1385,2,FALSE)</f>
        <v>2.2360679774997894</v>
      </c>
      <c r="P583" t="str">
        <f t="shared" si="57"/>
        <v>Z</v>
      </c>
      <c r="Q583" t="str">
        <f t="shared" si="58"/>
        <v>BBBZ</v>
      </c>
    </row>
    <row r="584" spans="1:17" x14ac:dyDescent="0.15">
      <c r="A584" t="s">
        <v>442</v>
      </c>
      <c r="B584" s="9">
        <v>1</v>
      </c>
      <c r="C584" s="13">
        <v>0</v>
      </c>
      <c r="D584" s="13">
        <v>0.97</v>
      </c>
      <c r="E584" s="9" t="s">
        <v>1242</v>
      </c>
      <c r="F584">
        <v>157</v>
      </c>
      <c r="G584" s="11">
        <v>4.2652364439760125E-4</v>
      </c>
      <c r="H584" s="12">
        <v>0.93357327238356458</v>
      </c>
      <c r="I584" t="s">
        <v>1241</v>
      </c>
      <c r="J584">
        <v>6</v>
      </c>
      <c r="K584" s="11">
        <f t="shared" si="54"/>
        <v>6.2155775398998981E-4</v>
      </c>
      <c r="L584" s="12">
        <f t="shared" si="59"/>
        <v>0.88093380473000471</v>
      </c>
      <c r="M584" t="str">
        <f t="shared" si="55"/>
        <v>B</v>
      </c>
      <c r="N584" t="str">
        <f t="shared" si="56"/>
        <v>CBB</v>
      </c>
      <c r="O584" s="11">
        <f>VLOOKUP(A584,XYZ!A583:G1386,2,FALSE)</f>
        <v>2.2360679774997894</v>
      </c>
      <c r="P584" t="str">
        <f t="shared" si="57"/>
        <v>Z</v>
      </c>
      <c r="Q584" t="str">
        <f t="shared" si="58"/>
        <v>CBBZ</v>
      </c>
    </row>
    <row r="585" spans="1:17" x14ac:dyDescent="0.15">
      <c r="A585" t="s">
        <v>498</v>
      </c>
      <c r="B585" s="9">
        <v>1</v>
      </c>
      <c r="C585" s="13">
        <v>0</v>
      </c>
      <c r="D585" s="13">
        <v>0.69</v>
      </c>
      <c r="E585" s="9" t="s">
        <v>1240</v>
      </c>
      <c r="F585">
        <v>156</v>
      </c>
      <c r="G585" s="11">
        <v>4.238069332867885E-4</v>
      </c>
      <c r="H585" s="12">
        <v>0.93442088625013819</v>
      </c>
      <c r="I585" t="s">
        <v>1241</v>
      </c>
      <c r="J585">
        <v>6</v>
      </c>
      <c r="K585" s="11">
        <f t="shared" si="54"/>
        <v>6.2155775398998981E-4</v>
      </c>
      <c r="L585" s="12">
        <f t="shared" si="59"/>
        <v>0.88155536248399469</v>
      </c>
      <c r="M585" t="str">
        <f t="shared" si="55"/>
        <v>B</v>
      </c>
      <c r="N585" t="str">
        <f t="shared" si="56"/>
        <v>ABB</v>
      </c>
      <c r="O585" s="11">
        <f>VLOOKUP(A585,XYZ!A584:G1387,2,FALSE)</f>
        <v>2.2360679774997894</v>
      </c>
      <c r="P585" t="str">
        <f t="shared" si="57"/>
        <v>Z</v>
      </c>
      <c r="Q585" t="str">
        <f t="shared" si="58"/>
        <v>ABBZ</v>
      </c>
    </row>
    <row r="586" spans="1:17" x14ac:dyDescent="0.15">
      <c r="A586" t="s">
        <v>282</v>
      </c>
      <c r="B586" s="9">
        <v>1</v>
      </c>
      <c r="C586" s="13">
        <v>0</v>
      </c>
      <c r="D586" s="13">
        <v>0.98</v>
      </c>
      <c r="E586" s="9" t="s">
        <v>1242</v>
      </c>
      <c r="F586">
        <v>156</v>
      </c>
      <c r="G586" s="11">
        <v>4.238069332867885E-4</v>
      </c>
      <c r="H586" s="12">
        <v>0.934844693183425</v>
      </c>
      <c r="I586" t="s">
        <v>1241</v>
      </c>
      <c r="J586">
        <v>6</v>
      </c>
      <c r="K586" s="11">
        <f t="shared" si="54"/>
        <v>6.2155775398998981E-4</v>
      </c>
      <c r="L586" s="12">
        <f t="shared" si="59"/>
        <v>0.88217692023798466</v>
      </c>
      <c r="M586" t="str">
        <f t="shared" si="55"/>
        <v>B</v>
      </c>
      <c r="N586" t="str">
        <f t="shared" si="56"/>
        <v>CBB</v>
      </c>
      <c r="O586" s="11">
        <f>VLOOKUP(A586,XYZ!A585:G1388,2,FALSE)</f>
        <v>2.2360679774997894</v>
      </c>
      <c r="P586" t="str">
        <f t="shared" si="57"/>
        <v>Z</v>
      </c>
      <c r="Q586" t="str">
        <f t="shared" si="58"/>
        <v>CBBZ</v>
      </c>
    </row>
    <row r="587" spans="1:17" x14ac:dyDescent="0.15">
      <c r="A587" t="s">
        <v>219</v>
      </c>
      <c r="B587" s="9">
        <v>1</v>
      </c>
      <c r="C587" s="13">
        <v>0</v>
      </c>
      <c r="D587" s="13">
        <v>0.93</v>
      </c>
      <c r="E587" s="9" t="s">
        <v>1241</v>
      </c>
      <c r="F587">
        <v>155</v>
      </c>
      <c r="G587" s="11">
        <v>4.2109022217597575E-4</v>
      </c>
      <c r="H587" s="12">
        <v>0.93526578340560096</v>
      </c>
      <c r="I587" t="s">
        <v>1241</v>
      </c>
      <c r="J587">
        <v>6</v>
      </c>
      <c r="K587" s="11">
        <f t="shared" si="54"/>
        <v>6.2155775398998981E-4</v>
      </c>
      <c r="L587" s="12">
        <f t="shared" si="59"/>
        <v>0.88279847799197464</v>
      </c>
      <c r="M587" t="str">
        <f t="shared" si="55"/>
        <v>B</v>
      </c>
      <c r="N587" t="str">
        <f t="shared" si="56"/>
        <v>BBB</v>
      </c>
      <c r="O587" s="11">
        <f>VLOOKUP(A587,XYZ!A586:G1389,2,FALSE)</f>
        <v>2.2360679774997894</v>
      </c>
      <c r="P587" t="str">
        <f t="shared" si="57"/>
        <v>Z</v>
      </c>
      <c r="Q587" t="str">
        <f t="shared" si="58"/>
        <v>BBBZ</v>
      </c>
    </row>
    <row r="588" spans="1:17" x14ac:dyDescent="0.15">
      <c r="A588" t="s">
        <v>1140</v>
      </c>
      <c r="B588" s="9">
        <v>1</v>
      </c>
      <c r="C588" s="13">
        <v>0</v>
      </c>
      <c r="D588" s="13">
        <v>0.94</v>
      </c>
      <c r="E588" s="9" t="s">
        <v>1241</v>
      </c>
      <c r="F588">
        <v>155</v>
      </c>
      <c r="G588" s="11">
        <v>4.2109022217597575E-4</v>
      </c>
      <c r="H588" s="12">
        <v>0.93568687362777692</v>
      </c>
      <c r="I588" t="s">
        <v>1241</v>
      </c>
      <c r="J588">
        <v>6</v>
      </c>
      <c r="K588" s="11">
        <f t="shared" si="54"/>
        <v>6.2155775398998981E-4</v>
      </c>
      <c r="L588" s="12">
        <f t="shared" si="59"/>
        <v>0.88342003574596462</v>
      </c>
      <c r="M588" t="str">
        <f t="shared" si="55"/>
        <v>B</v>
      </c>
      <c r="N588" t="str">
        <f t="shared" si="56"/>
        <v>BBB</v>
      </c>
      <c r="O588" s="11">
        <f>VLOOKUP(A588,XYZ!A587:G1390,2,FALSE)</f>
        <v>2.2360679774997894</v>
      </c>
      <c r="P588" t="str">
        <f t="shared" si="57"/>
        <v>Z</v>
      </c>
      <c r="Q588" t="str">
        <f t="shared" si="58"/>
        <v>BBBZ</v>
      </c>
    </row>
    <row r="589" spans="1:17" x14ac:dyDescent="0.15">
      <c r="A589" t="s">
        <v>516</v>
      </c>
      <c r="B589" s="9">
        <v>1</v>
      </c>
      <c r="C589" s="13">
        <v>0</v>
      </c>
      <c r="D589" s="13">
        <v>0.71</v>
      </c>
      <c r="E589" s="9" t="s">
        <v>1240</v>
      </c>
      <c r="F589">
        <v>154</v>
      </c>
      <c r="G589" s="11">
        <v>4.18373511065163E-4</v>
      </c>
      <c r="H589" s="12">
        <v>0.93652362064990735</v>
      </c>
      <c r="I589" t="s">
        <v>1241</v>
      </c>
      <c r="J589">
        <v>6</v>
      </c>
      <c r="K589" s="11">
        <f t="shared" si="54"/>
        <v>6.2155775398998981E-4</v>
      </c>
      <c r="L589" s="12">
        <f t="shared" si="59"/>
        <v>0.88404159349995459</v>
      </c>
      <c r="M589" t="str">
        <f t="shared" si="55"/>
        <v>B</v>
      </c>
      <c r="N589" t="str">
        <f t="shared" si="56"/>
        <v>ABB</v>
      </c>
      <c r="O589" s="11">
        <f>VLOOKUP(A589,XYZ!A588:G1391,2,FALSE)</f>
        <v>2.2360679774997894</v>
      </c>
      <c r="P589" t="str">
        <f t="shared" si="57"/>
        <v>Z</v>
      </c>
      <c r="Q589" t="str">
        <f t="shared" si="58"/>
        <v>ABBZ</v>
      </c>
    </row>
    <row r="590" spans="1:17" x14ac:dyDescent="0.15">
      <c r="A590" t="s">
        <v>323</v>
      </c>
      <c r="B590" s="9">
        <v>1</v>
      </c>
      <c r="C590" s="13">
        <v>0</v>
      </c>
      <c r="D590" s="13">
        <v>0.83</v>
      </c>
      <c r="E590" s="9" t="s">
        <v>1241</v>
      </c>
      <c r="F590">
        <v>154</v>
      </c>
      <c r="G590" s="11">
        <v>4.18373511065163E-4</v>
      </c>
      <c r="H590" s="12">
        <v>0.93694199416097257</v>
      </c>
      <c r="I590" t="s">
        <v>1241</v>
      </c>
      <c r="J590">
        <v>6</v>
      </c>
      <c r="K590" s="11">
        <f t="shared" si="54"/>
        <v>6.2155775398998981E-4</v>
      </c>
      <c r="L590" s="12">
        <f t="shared" si="59"/>
        <v>0.88466315125394457</v>
      </c>
      <c r="M590" t="str">
        <f t="shared" si="55"/>
        <v>B</v>
      </c>
      <c r="N590" t="str">
        <f t="shared" si="56"/>
        <v>BBB</v>
      </c>
      <c r="O590" s="11">
        <f>VLOOKUP(A590,XYZ!A589:G1392,2,FALSE)</f>
        <v>2.2360679774997894</v>
      </c>
      <c r="P590" t="str">
        <f t="shared" si="57"/>
        <v>Z</v>
      </c>
      <c r="Q590" t="str">
        <f t="shared" si="58"/>
        <v>BBBZ</v>
      </c>
    </row>
    <row r="591" spans="1:17" x14ac:dyDescent="0.15">
      <c r="A591" t="s">
        <v>1159</v>
      </c>
      <c r="B591" s="9">
        <v>1</v>
      </c>
      <c r="C591" s="13">
        <v>0</v>
      </c>
      <c r="D591" s="13">
        <v>0.75</v>
      </c>
      <c r="E591" s="9" t="s">
        <v>1240</v>
      </c>
      <c r="F591">
        <v>153</v>
      </c>
      <c r="G591" s="11">
        <v>4.1565679995435024E-4</v>
      </c>
      <c r="H591" s="12">
        <v>0.93735765096092694</v>
      </c>
      <c r="I591" t="s">
        <v>1241</v>
      </c>
      <c r="J591">
        <v>6</v>
      </c>
      <c r="K591" s="11">
        <f t="shared" si="54"/>
        <v>6.2155775398998981E-4</v>
      </c>
      <c r="L591" s="12">
        <f t="shared" si="59"/>
        <v>0.88528470900793454</v>
      </c>
      <c r="M591" t="str">
        <f t="shared" si="55"/>
        <v>B</v>
      </c>
      <c r="N591" t="str">
        <f t="shared" si="56"/>
        <v>ABB</v>
      </c>
      <c r="O591" s="11">
        <f>VLOOKUP(A591,XYZ!A590:G1393,2,FALSE)</f>
        <v>2.2360679774997894</v>
      </c>
      <c r="P591" t="str">
        <f t="shared" si="57"/>
        <v>Z</v>
      </c>
      <c r="Q591" t="str">
        <f t="shared" si="58"/>
        <v>ABBZ</v>
      </c>
    </row>
    <row r="592" spans="1:17" x14ac:dyDescent="0.15">
      <c r="A592" t="s">
        <v>538</v>
      </c>
      <c r="B592" s="9">
        <v>1</v>
      </c>
      <c r="C592" s="13">
        <v>0</v>
      </c>
      <c r="D592" s="13">
        <v>0.88</v>
      </c>
      <c r="E592" s="9" t="s">
        <v>1241</v>
      </c>
      <c r="F592">
        <v>153</v>
      </c>
      <c r="G592" s="11">
        <v>4.1565679995435024E-4</v>
      </c>
      <c r="H592" s="12">
        <v>0.9377733077608813</v>
      </c>
      <c r="I592" t="s">
        <v>1241</v>
      </c>
      <c r="J592">
        <v>6</v>
      </c>
      <c r="K592" s="11">
        <f t="shared" si="54"/>
        <v>6.2155775398998981E-4</v>
      </c>
      <c r="L592" s="12">
        <f t="shared" si="59"/>
        <v>0.88590626676192452</v>
      </c>
      <c r="M592" t="str">
        <f t="shared" si="55"/>
        <v>B</v>
      </c>
      <c r="N592" t="str">
        <f t="shared" si="56"/>
        <v>BBB</v>
      </c>
      <c r="O592" s="11">
        <f>VLOOKUP(A592,XYZ!A591:G1394,2,FALSE)</f>
        <v>2.2360679774997894</v>
      </c>
      <c r="P592" t="str">
        <f t="shared" si="57"/>
        <v>Z</v>
      </c>
      <c r="Q592" t="str">
        <f t="shared" si="58"/>
        <v>BBBZ</v>
      </c>
    </row>
    <row r="593" spans="1:17" x14ac:dyDescent="0.15">
      <c r="A593" t="s">
        <v>109</v>
      </c>
      <c r="B593" s="9">
        <v>1</v>
      </c>
      <c r="C593" s="13">
        <v>0</v>
      </c>
      <c r="D593" s="13">
        <v>0.99</v>
      </c>
      <c r="E593" s="9" t="s">
        <v>1242</v>
      </c>
      <c r="F593">
        <v>153</v>
      </c>
      <c r="G593" s="11">
        <v>4.1565679995435024E-4</v>
      </c>
      <c r="H593" s="12">
        <v>0.93818896456083567</v>
      </c>
      <c r="I593" t="s">
        <v>1241</v>
      </c>
      <c r="J593">
        <v>6</v>
      </c>
      <c r="K593" s="11">
        <f t="shared" si="54"/>
        <v>6.2155775398998981E-4</v>
      </c>
      <c r="L593" s="12">
        <f t="shared" si="59"/>
        <v>0.8865278245159145</v>
      </c>
      <c r="M593" t="str">
        <f t="shared" si="55"/>
        <v>B</v>
      </c>
      <c r="N593" t="str">
        <f t="shared" si="56"/>
        <v>CBB</v>
      </c>
      <c r="O593" s="11">
        <f>VLOOKUP(A593,XYZ!A592:G1395,2,FALSE)</f>
        <v>2.2360679774997894</v>
      </c>
      <c r="P593" t="str">
        <f t="shared" si="57"/>
        <v>Z</v>
      </c>
      <c r="Q593" t="str">
        <f t="shared" si="58"/>
        <v>CBBZ</v>
      </c>
    </row>
    <row r="594" spans="1:17" x14ac:dyDescent="0.15">
      <c r="A594" t="s">
        <v>1073</v>
      </c>
      <c r="B594" s="9">
        <v>1</v>
      </c>
      <c r="C594" s="13">
        <v>0</v>
      </c>
      <c r="D594" s="13">
        <v>0.8</v>
      </c>
      <c r="E594" s="9" t="s">
        <v>1241</v>
      </c>
      <c r="F594">
        <v>152.96</v>
      </c>
      <c r="G594" s="11">
        <v>4.1554813150991777E-4</v>
      </c>
      <c r="H594" s="12">
        <v>0.93860451269234557</v>
      </c>
      <c r="I594" t="s">
        <v>1241</v>
      </c>
      <c r="J594">
        <v>6</v>
      </c>
      <c r="K594" s="11">
        <f t="shared" si="54"/>
        <v>6.2155775398998981E-4</v>
      </c>
      <c r="L594" s="12">
        <f t="shared" si="59"/>
        <v>0.88714938226990447</v>
      </c>
      <c r="M594" t="str">
        <f t="shared" si="55"/>
        <v>B</v>
      </c>
      <c r="N594" t="str">
        <f t="shared" si="56"/>
        <v>BBB</v>
      </c>
      <c r="O594" s="11">
        <f>VLOOKUP(A594,XYZ!A593:G1396,2,FALSE)</f>
        <v>2.2360679774997894</v>
      </c>
      <c r="P594" t="str">
        <f t="shared" si="57"/>
        <v>Z</v>
      </c>
      <c r="Q594" t="str">
        <f t="shared" si="58"/>
        <v>BBBZ</v>
      </c>
    </row>
    <row r="595" spans="1:17" x14ac:dyDescent="0.15">
      <c r="A595" t="s">
        <v>1044</v>
      </c>
      <c r="B595" s="9">
        <v>1</v>
      </c>
      <c r="C595" s="13">
        <v>0</v>
      </c>
      <c r="D595" s="13">
        <v>0.77</v>
      </c>
      <c r="E595" s="9" t="s">
        <v>1240</v>
      </c>
      <c r="F595">
        <v>150</v>
      </c>
      <c r="G595" s="11">
        <v>4.0750666662191199E-4</v>
      </c>
      <c r="H595" s="12">
        <v>0.93983789953665453</v>
      </c>
      <c r="I595" t="s">
        <v>1241</v>
      </c>
      <c r="J595">
        <v>6</v>
      </c>
      <c r="K595" s="11">
        <f t="shared" si="54"/>
        <v>6.2155775398998981E-4</v>
      </c>
      <c r="L595" s="12">
        <f t="shared" si="59"/>
        <v>0.88777094002389445</v>
      </c>
      <c r="M595" t="str">
        <f t="shared" si="55"/>
        <v>B</v>
      </c>
      <c r="N595" t="str">
        <f t="shared" si="56"/>
        <v>ABB</v>
      </c>
      <c r="O595" s="11">
        <f>VLOOKUP(A595,XYZ!A594:G1397,2,FALSE)</f>
        <v>2.2360679774997894</v>
      </c>
      <c r="P595" t="str">
        <f t="shared" si="57"/>
        <v>Z</v>
      </c>
      <c r="Q595" t="str">
        <f t="shared" si="58"/>
        <v>ABBZ</v>
      </c>
    </row>
    <row r="596" spans="1:17" x14ac:dyDescent="0.15">
      <c r="A596" t="s">
        <v>403</v>
      </c>
      <c r="B596" s="9">
        <v>1</v>
      </c>
      <c r="C596" s="13">
        <v>0</v>
      </c>
      <c r="D596" s="13">
        <v>0.92</v>
      </c>
      <c r="E596" s="9" t="s">
        <v>1241</v>
      </c>
      <c r="F596">
        <v>149</v>
      </c>
      <c r="G596" s="11">
        <v>4.0478995551109924E-4</v>
      </c>
      <c r="H596" s="12">
        <v>0.94024268949216561</v>
      </c>
      <c r="I596" t="s">
        <v>1241</v>
      </c>
      <c r="J596">
        <v>6</v>
      </c>
      <c r="K596" s="11">
        <f t="shared" si="54"/>
        <v>6.2155775398998981E-4</v>
      </c>
      <c r="L596" s="12">
        <f t="shared" si="59"/>
        <v>0.88839249777788443</v>
      </c>
      <c r="M596" t="str">
        <f t="shared" si="55"/>
        <v>B</v>
      </c>
      <c r="N596" t="str">
        <f t="shared" si="56"/>
        <v>BBB</v>
      </c>
      <c r="O596" s="11">
        <f>VLOOKUP(A596,XYZ!A595:G1398,2,FALSE)</f>
        <v>2.2360679774997894</v>
      </c>
      <c r="P596" t="str">
        <f t="shared" si="57"/>
        <v>Z</v>
      </c>
      <c r="Q596" t="str">
        <f t="shared" si="58"/>
        <v>BBBZ</v>
      </c>
    </row>
    <row r="597" spans="1:17" x14ac:dyDescent="0.15">
      <c r="A597" t="s">
        <v>524</v>
      </c>
      <c r="B597" s="9">
        <v>1</v>
      </c>
      <c r="C597" s="13">
        <v>0</v>
      </c>
      <c r="D597" s="13">
        <v>0.97</v>
      </c>
      <c r="E597" s="9" t="s">
        <v>1242</v>
      </c>
      <c r="F597">
        <v>149</v>
      </c>
      <c r="G597" s="11">
        <v>4.0478995551109924E-4</v>
      </c>
      <c r="H597" s="12">
        <v>0.94064747944767668</v>
      </c>
      <c r="I597" t="s">
        <v>1241</v>
      </c>
      <c r="J597">
        <v>6</v>
      </c>
      <c r="K597" s="11">
        <f t="shared" si="54"/>
        <v>6.2155775398998981E-4</v>
      </c>
      <c r="L597" s="12">
        <f t="shared" si="59"/>
        <v>0.8890140555318744</v>
      </c>
      <c r="M597" t="str">
        <f t="shared" si="55"/>
        <v>B</v>
      </c>
      <c r="N597" t="str">
        <f t="shared" si="56"/>
        <v>CBB</v>
      </c>
      <c r="O597" s="11">
        <f>VLOOKUP(A597,XYZ!A596:G1399,2,FALSE)</f>
        <v>2.2360679774997894</v>
      </c>
      <c r="P597" t="str">
        <f t="shared" si="57"/>
        <v>Z</v>
      </c>
      <c r="Q597" t="str">
        <f t="shared" si="58"/>
        <v>CBBZ</v>
      </c>
    </row>
    <row r="598" spans="1:17" x14ac:dyDescent="0.15">
      <c r="A598" t="s">
        <v>730</v>
      </c>
      <c r="B598" s="9">
        <v>1</v>
      </c>
      <c r="C598" s="13">
        <v>0</v>
      </c>
      <c r="D598" s="13">
        <v>0.71</v>
      </c>
      <c r="E598" s="9" t="s">
        <v>1240</v>
      </c>
      <c r="F598">
        <v>148</v>
      </c>
      <c r="G598" s="11">
        <v>4.0207324440028649E-4</v>
      </c>
      <c r="H598" s="12">
        <v>0.94104955269207702</v>
      </c>
      <c r="I598" t="s">
        <v>1241</v>
      </c>
      <c r="J598">
        <v>6</v>
      </c>
      <c r="K598" s="11">
        <f t="shared" si="54"/>
        <v>6.2155775398998981E-4</v>
      </c>
      <c r="L598" s="12">
        <f t="shared" si="59"/>
        <v>0.88963561328586438</v>
      </c>
      <c r="M598" t="str">
        <f t="shared" si="55"/>
        <v>B</v>
      </c>
      <c r="N598" t="str">
        <f t="shared" si="56"/>
        <v>ABB</v>
      </c>
      <c r="O598" s="11">
        <f>VLOOKUP(A598,XYZ!A597:G1400,2,FALSE)</f>
        <v>2.2360679774997894</v>
      </c>
      <c r="P598" t="str">
        <f t="shared" si="57"/>
        <v>Z</v>
      </c>
      <c r="Q598" t="str">
        <f t="shared" si="58"/>
        <v>ABBZ</v>
      </c>
    </row>
    <row r="599" spans="1:17" x14ac:dyDescent="0.15">
      <c r="A599" t="s">
        <v>987</v>
      </c>
      <c r="B599" s="9">
        <v>1</v>
      </c>
      <c r="C599" s="13">
        <v>0</v>
      </c>
      <c r="D599" s="13">
        <v>0.7</v>
      </c>
      <c r="E599" s="9" t="s">
        <v>1240</v>
      </c>
      <c r="F599">
        <v>146</v>
      </c>
      <c r="G599" s="11">
        <v>3.9663982217866104E-4</v>
      </c>
      <c r="H599" s="12">
        <v>0.94184554904754514</v>
      </c>
      <c r="I599" t="s">
        <v>1241</v>
      </c>
      <c r="J599">
        <v>6</v>
      </c>
      <c r="K599" s="11">
        <f t="shared" si="54"/>
        <v>6.2155775398998981E-4</v>
      </c>
      <c r="L599" s="12">
        <f t="shared" si="59"/>
        <v>0.89025717103985436</v>
      </c>
      <c r="M599" t="str">
        <f t="shared" si="55"/>
        <v>B</v>
      </c>
      <c r="N599" t="str">
        <f t="shared" si="56"/>
        <v>ABB</v>
      </c>
      <c r="O599" s="11">
        <f>VLOOKUP(A599,XYZ!A598:G1401,2,FALSE)</f>
        <v>2.2360679774997894</v>
      </c>
      <c r="P599" t="str">
        <f t="shared" si="57"/>
        <v>Z</v>
      </c>
      <c r="Q599" t="str">
        <f t="shared" si="58"/>
        <v>ABBZ</v>
      </c>
    </row>
    <row r="600" spans="1:17" x14ac:dyDescent="0.15">
      <c r="A600" t="s">
        <v>864</v>
      </c>
      <c r="B600" s="9">
        <v>1</v>
      </c>
      <c r="C600" s="13">
        <v>0</v>
      </c>
      <c r="D600" s="13">
        <v>0.7</v>
      </c>
      <c r="E600" s="9" t="s">
        <v>1240</v>
      </c>
      <c r="F600">
        <v>145</v>
      </c>
      <c r="G600" s="11">
        <v>3.9392311106784829E-4</v>
      </c>
      <c r="H600" s="12">
        <v>0.94223947215861303</v>
      </c>
      <c r="I600" t="s">
        <v>1241</v>
      </c>
      <c r="J600">
        <v>6</v>
      </c>
      <c r="K600" s="11">
        <f t="shared" si="54"/>
        <v>6.2155775398998981E-4</v>
      </c>
      <c r="L600" s="12">
        <f t="shared" si="59"/>
        <v>0.89087872879384433</v>
      </c>
      <c r="M600" t="str">
        <f t="shared" si="55"/>
        <v>B</v>
      </c>
      <c r="N600" t="str">
        <f t="shared" si="56"/>
        <v>ABB</v>
      </c>
      <c r="O600" s="11">
        <f>VLOOKUP(A600,XYZ!A599:G1402,2,FALSE)</f>
        <v>2.2360679774997894</v>
      </c>
      <c r="P600" t="str">
        <f t="shared" si="57"/>
        <v>Z</v>
      </c>
      <c r="Q600" t="str">
        <f t="shared" si="58"/>
        <v>ABBZ</v>
      </c>
    </row>
    <row r="601" spans="1:17" x14ac:dyDescent="0.15">
      <c r="A601" t="s">
        <v>1025</v>
      </c>
      <c r="B601" s="9">
        <v>1</v>
      </c>
      <c r="C601" s="13">
        <v>0</v>
      </c>
      <c r="D601" s="13">
        <v>0.8</v>
      </c>
      <c r="E601" s="9" t="s">
        <v>1241</v>
      </c>
      <c r="F601">
        <v>142</v>
      </c>
      <c r="G601" s="11">
        <v>3.8577297773541004E-4</v>
      </c>
      <c r="H601" s="12">
        <v>0.94340765793626258</v>
      </c>
      <c r="I601" t="s">
        <v>1241</v>
      </c>
      <c r="J601">
        <v>6</v>
      </c>
      <c r="K601" s="11">
        <f t="shared" si="54"/>
        <v>6.2155775398998981E-4</v>
      </c>
      <c r="L601" s="12">
        <f t="shared" si="59"/>
        <v>0.89150028654783431</v>
      </c>
      <c r="M601" t="str">
        <f t="shared" si="55"/>
        <v>B</v>
      </c>
      <c r="N601" t="str">
        <f t="shared" si="56"/>
        <v>BBB</v>
      </c>
      <c r="O601" s="11">
        <f>VLOOKUP(A601,XYZ!A600:G1403,2,FALSE)</f>
        <v>2.2360679774997894</v>
      </c>
      <c r="P601" t="str">
        <f t="shared" si="57"/>
        <v>Z</v>
      </c>
      <c r="Q601" t="str">
        <f t="shared" si="58"/>
        <v>BBBZ</v>
      </c>
    </row>
    <row r="602" spans="1:17" x14ac:dyDescent="0.15">
      <c r="A602" t="s">
        <v>1000</v>
      </c>
      <c r="B602" s="9">
        <v>1</v>
      </c>
      <c r="C602" s="13">
        <v>0</v>
      </c>
      <c r="D602" s="13">
        <v>0.9</v>
      </c>
      <c r="E602" s="9" t="s">
        <v>1241</v>
      </c>
      <c r="F602">
        <v>142</v>
      </c>
      <c r="G602" s="11">
        <v>3.8577297773541004E-4</v>
      </c>
      <c r="H602" s="12">
        <v>0.94379343091399803</v>
      </c>
      <c r="I602" t="s">
        <v>1241</v>
      </c>
      <c r="J602">
        <v>6</v>
      </c>
      <c r="K602" s="11">
        <f t="shared" si="54"/>
        <v>6.2155775398998981E-4</v>
      </c>
      <c r="L602" s="12">
        <f t="shared" si="59"/>
        <v>0.89212184430182428</v>
      </c>
      <c r="M602" t="str">
        <f t="shared" si="55"/>
        <v>B</v>
      </c>
      <c r="N602" t="str">
        <f t="shared" si="56"/>
        <v>BBB</v>
      </c>
      <c r="O602" s="11">
        <f>VLOOKUP(A602,XYZ!A601:G1404,2,FALSE)</f>
        <v>2.2360679774997894</v>
      </c>
      <c r="P602" t="str">
        <f t="shared" si="57"/>
        <v>Z</v>
      </c>
      <c r="Q602" t="str">
        <f t="shared" si="58"/>
        <v>BBBZ</v>
      </c>
    </row>
    <row r="603" spans="1:17" x14ac:dyDescent="0.15">
      <c r="A603" t="s">
        <v>1040</v>
      </c>
      <c r="B603" s="9">
        <v>1</v>
      </c>
      <c r="C603" s="13">
        <v>0</v>
      </c>
      <c r="D603" s="13">
        <v>0.96</v>
      </c>
      <c r="E603" s="9" t="s">
        <v>1242</v>
      </c>
      <c r="F603">
        <v>142</v>
      </c>
      <c r="G603" s="11">
        <v>3.8577297773541004E-4</v>
      </c>
      <c r="H603" s="12">
        <v>0.94417920389173349</v>
      </c>
      <c r="I603" t="s">
        <v>1241</v>
      </c>
      <c r="J603">
        <v>6</v>
      </c>
      <c r="K603" s="11">
        <f t="shared" si="54"/>
        <v>6.2155775398998981E-4</v>
      </c>
      <c r="L603" s="12">
        <f t="shared" si="59"/>
        <v>0.89274340205581426</v>
      </c>
      <c r="M603" t="str">
        <f t="shared" si="55"/>
        <v>B</v>
      </c>
      <c r="N603" t="str">
        <f t="shared" si="56"/>
        <v>CBB</v>
      </c>
      <c r="O603" s="11">
        <f>VLOOKUP(A603,XYZ!A602:G1405,2,FALSE)</f>
        <v>2.2360679774997894</v>
      </c>
      <c r="P603" t="str">
        <f t="shared" si="57"/>
        <v>Z</v>
      </c>
      <c r="Q603" t="str">
        <f t="shared" si="58"/>
        <v>CBBZ</v>
      </c>
    </row>
    <row r="604" spans="1:17" x14ac:dyDescent="0.15">
      <c r="A604" t="s">
        <v>658</v>
      </c>
      <c r="B604" s="9">
        <v>1</v>
      </c>
      <c r="C604" s="13">
        <v>0</v>
      </c>
      <c r="D604" s="13">
        <v>0.79</v>
      </c>
      <c r="E604" s="9" t="s">
        <v>1240</v>
      </c>
      <c r="F604">
        <v>141</v>
      </c>
      <c r="G604" s="11">
        <v>3.8305626662459729E-4</v>
      </c>
      <c r="H604" s="12">
        <v>0.94456226015835809</v>
      </c>
      <c r="I604" t="s">
        <v>1241</v>
      </c>
      <c r="J604">
        <v>6</v>
      </c>
      <c r="K604" s="11">
        <f t="shared" si="54"/>
        <v>6.2155775398998981E-4</v>
      </c>
      <c r="L604" s="12">
        <f t="shared" si="59"/>
        <v>0.89336495980980424</v>
      </c>
      <c r="M604" t="str">
        <f t="shared" si="55"/>
        <v>B</v>
      </c>
      <c r="N604" t="str">
        <f t="shared" si="56"/>
        <v>ABB</v>
      </c>
      <c r="O604" s="11">
        <f>VLOOKUP(A604,XYZ!A603:G1406,2,FALSE)</f>
        <v>2.2360679774997894</v>
      </c>
      <c r="P604" t="str">
        <f t="shared" si="57"/>
        <v>Z</v>
      </c>
      <c r="Q604" t="str">
        <f t="shared" si="58"/>
        <v>ABBZ</v>
      </c>
    </row>
    <row r="605" spans="1:17" x14ac:dyDescent="0.15">
      <c r="A605" t="s">
        <v>613</v>
      </c>
      <c r="B605" s="9">
        <v>1</v>
      </c>
      <c r="C605" s="13">
        <v>0</v>
      </c>
      <c r="D605" s="13">
        <v>0.79</v>
      </c>
      <c r="E605" s="9" t="s">
        <v>1240</v>
      </c>
      <c r="F605">
        <v>141</v>
      </c>
      <c r="G605" s="11">
        <v>3.8305626662459729E-4</v>
      </c>
      <c r="H605" s="12">
        <v>0.9449453164249827</v>
      </c>
      <c r="I605" t="s">
        <v>1241</v>
      </c>
      <c r="J605">
        <v>6</v>
      </c>
      <c r="K605" s="11">
        <f t="shared" si="54"/>
        <v>6.2155775398998981E-4</v>
      </c>
      <c r="L605" s="12">
        <f t="shared" si="59"/>
        <v>0.89398651756379421</v>
      </c>
      <c r="M605" t="str">
        <f t="shared" si="55"/>
        <v>B</v>
      </c>
      <c r="N605" t="str">
        <f t="shared" si="56"/>
        <v>ABB</v>
      </c>
      <c r="O605" s="11">
        <f>VLOOKUP(A605,XYZ!A604:G1407,2,FALSE)</f>
        <v>2.2360679774997894</v>
      </c>
      <c r="P605" t="str">
        <f t="shared" si="57"/>
        <v>Z</v>
      </c>
      <c r="Q605" t="str">
        <f t="shared" si="58"/>
        <v>ABBZ</v>
      </c>
    </row>
    <row r="606" spans="1:17" x14ac:dyDescent="0.15">
      <c r="A606" t="s">
        <v>671</v>
      </c>
      <c r="B606" s="9">
        <v>1</v>
      </c>
      <c r="C606" s="13">
        <v>0</v>
      </c>
      <c r="D606" s="13">
        <v>0.75</v>
      </c>
      <c r="E606" s="9" t="s">
        <v>1240</v>
      </c>
      <c r="F606">
        <v>139</v>
      </c>
      <c r="G606" s="11">
        <v>3.7762284440297179E-4</v>
      </c>
      <c r="H606" s="12">
        <v>0.94608361838041322</v>
      </c>
      <c r="I606" t="s">
        <v>1241</v>
      </c>
      <c r="J606">
        <v>6</v>
      </c>
      <c r="K606" s="11">
        <f t="shared" si="54"/>
        <v>6.2155775398998981E-4</v>
      </c>
      <c r="L606" s="12">
        <f t="shared" si="59"/>
        <v>0.89460807531778419</v>
      </c>
      <c r="M606" t="str">
        <f t="shared" si="55"/>
        <v>B</v>
      </c>
      <c r="N606" t="str">
        <f t="shared" si="56"/>
        <v>ABB</v>
      </c>
      <c r="O606" s="11">
        <f>VLOOKUP(A606,XYZ!A605:G1408,2,FALSE)</f>
        <v>2.2360679774997894</v>
      </c>
      <c r="P606" t="str">
        <f t="shared" si="57"/>
        <v>Z</v>
      </c>
      <c r="Q606" t="str">
        <f t="shared" si="58"/>
        <v>ABBZ</v>
      </c>
    </row>
    <row r="607" spans="1:17" x14ac:dyDescent="0.15">
      <c r="A607" t="s">
        <v>883</v>
      </c>
      <c r="B607" s="9">
        <v>1</v>
      </c>
      <c r="C607" s="13">
        <v>0</v>
      </c>
      <c r="D607" s="13">
        <v>0.74</v>
      </c>
      <c r="E607" s="9" t="s">
        <v>1240</v>
      </c>
      <c r="F607">
        <v>138</v>
      </c>
      <c r="G607" s="11">
        <v>3.7490613329215904E-4</v>
      </c>
      <c r="H607" s="12">
        <v>0.94645852451370538</v>
      </c>
      <c r="I607" t="s">
        <v>1241</v>
      </c>
      <c r="J607">
        <v>6</v>
      </c>
      <c r="K607" s="11">
        <f t="shared" si="54"/>
        <v>6.2155775398998981E-4</v>
      </c>
      <c r="L607" s="12">
        <f t="shared" si="59"/>
        <v>0.89522963307177417</v>
      </c>
      <c r="M607" t="str">
        <f t="shared" si="55"/>
        <v>B</v>
      </c>
      <c r="N607" t="str">
        <f t="shared" si="56"/>
        <v>ABB</v>
      </c>
      <c r="O607" s="11">
        <f>VLOOKUP(A607,XYZ!A606:G1409,2,FALSE)</f>
        <v>2.2360679774997894</v>
      </c>
      <c r="P607" t="str">
        <f t="shared" si="57"/>
        <v>Z</v>
      </c>
      <c r="Q607" t="str">
        <f t="shared" si="58"/>
        <v>ABBZ</v>
      </c>
    </row>
    <row r="608" spans="1:17" x14ac:dyDescent="0.15">
      <c r="A608" t="s">
        <v>965</v>
      </c>
      <c r="B608" s="9">
        <v>1</v>
      </c>
      <c r="C608" s="13">
        <v>0</v>
      </c>
      <c r="D608" s="13">
        <v>0.76</v>
      </c>
      <c r="E608" s="9" t="s">
        <v>1240</v>
      </c>
      <c r="F608">
        <v>137</v>
      </c>
      <c r="G608" s="11">
        <v>3.7218942218134629E-4</v>
      </c>
      <c r="H608" s="12">
        <v>0.94683071393588669</v>
      </c>
      <c r="I608" t="s">
        <v>1241</v>
      </c>
      <c r="J608">
        <v>6</v>
      </c>
      <c r="K608" s="11">
        <f t="shared" si="54"/>
        <v>6.2155775398998981E-4</v>
      </c>
      <c r="L608" s="12">
        <f t="shared" si="59"/>
        <v>0.89585119082576414</v>
      </c>
      <c r="M608" t="str">
        <f t="shared" si="55"/>
        <v>B</v>
      </c>
      <c r="N608" t="str">
        <f t="shared" si="56"/>
        <v>ABB</v>
      </c>
      <c r="O608" s="11">
        <f>VLOOKUP(A608,XYZ!A607:G1410,2,FALSE)</f>
        <v>2.2360679774997894</v>
      </c>
      <c r="P608" t="str">
        <f t="shared" si="57"/>
        <v>Z</v>
      </c>
      <c r="Q608" t="str">
        <f t="shared" si="58"/>
        <v>ABBZ</v>
      </c>
    </row>
    <row r="609" spans="1:17" x14ac:dyDescent="0.15">
      <c r="A609" t="s">
        <v>1193</v>
      </c>
      <c r="B609" s="9">
        <v>1</v>
      </c>
      <c r="C609" s="13">
        <v>0</v>
      </c>
      <c r="D609" s="13">
        <v>0.76</v>
      </c>
      <c r="E609" s="9" t="s">
        <v>1240</v>
      </c>
      <c r="F609">
        <v>137</v>
      </c>
      <c r="G609" s="11">
        <v>3.7218942218134629E-4</v>
      </c>
      <c r="H609" s="12">
        <v>0.947202903358068</v>
      </c>
      <c r="I609" t="s">
        <v>1241</v>
      </c>
      <c r="J609">
        <v>6</v>
      </c>
      <c r="K609" s="11">
        <f t="shared" si="54"/>
        <v>6.2155775398998981E-4</v>
      </c>
      <c r="L609" s="12">
        <f t="shared" si="59"/>
        <v>0.89647274857975412</v>
      </c>
      <c r="M609" t="str">
        <f t="shared" si="55"/>
        <v>B</v>
      </c>
      <c r="N609" t="str">
        <f t="shared" si="56"/>
        <v>ABB</v>
      </c>
      <c r="O609" s="11">
        <f>VLOOKUP(A609,XYZ!A608:G1411,2,FALSE)</f>
        <v>2.2360679774997894</v>
      </c>
      <c r="P609" t="str">
        <f t="shared" si="57"/>
        <v>Z</v>
      </c>
      <c r="Q609" t="str">
        <f t="shared" si="58"/>
        <v>ABBZ</v>
      </c>
    </row>
    <row r="610" spans="1:17" x14ac:dyDescent="0.15">
      <c r="A610" t="s">
        <v>439</v>
      </c>
      <c r="B610" s="9">
        <v>1</v>
      </c>
      <c r="C610" s="13">
        <v>0</v>
      </c>
      <c r="D610" s="13">
        <v>0.81</v>
      </c>
      <c r="E610" s="9" t="s">
        <v>1241</v>
      </c>
      <c r="F610">
        <v>137</v>
      </c>
      <c r="G610" s="11">
        <v>3.7218942218134629E-4</v>
      </c>
      <c r="H610" s="12">
        <v>0.94757509278024932</v>
      </c>
      <c r="I610" t="s">
        <v>1241</v>
      </c>
      <c r="J610">
        <v>6</v>
      </c>
      <c r="K610" s="11">
        <f t="shared" si="54"/>
        <v>6.2155775398998981E-4</v>
      </c>
      <c r="L610" s="12">
        <f t="shared" si="59"/>
        <v>0.8970943063337441</v>
      </c>
      <c r="M610" t="str">
        <f t="shared" si="55"/>
        <v>B</v>
      </c>
      <c r="N610" t="str">
        <f t="shared" si="56"/>
        <v>BBB</v>
      </c>
      <c r="O610" s="11">
        <f>VLOOKUP(A610,XYZ!A609:G1412,2,FALSE)</f>
        <v>2.2360679774997894</v>
      </c>
      <c r="P610" t="str">
        <f t="shared" si="57"/>
        <v>Z</v>
      </c>
      <c r="Q610" t="str">
        <f t="shared" si="58"/>
        <v>BBBZ</v>
      </c>
    </row>
    <row r="611" spans="1:17" x14ac:dyDescent="0.15">
      <c r="A611" t="s">
        <v>1146</v>
      </c>
      <c r="B611" s="9">
        <v>1</v>
      </c>
      <c r="C611" s="13">
        <v>0</v>
      </c>
      <c r="D611" s="13">
        <v>0.74</v>
      </c>
      <c r="E611" s="9" t="s">
        <v>1240</v>
      </c>
      <c r="F611">
        <v>136</v>
      </c>
      <c r="G611" s="11">
        <v>3.6947271107053354E-4</v>
      </c>
      <c r="H611" s="12">
        <v>0.94794456549131989</v>
      </c>
      <c r="I611" t="s">
        <v>1241</v>
      </c>
      <c r="J611">
        <v>6</v>
      </c>
      <c r="K611" s="11">
        <f t="shared" si="54"/>
        <v>6.2155775398998981E-4</v>
      </c>
      <c r="L611" s="12">
        <f t="shared" si="59"/>
        <v>0.89771586408773407</v>
      </c>
      <c r="M611" t="str">
        <f t="shared" si="55"/>
        <v>B</v>
      </c>
      <c r="N611" t="str">
        <f t="shared" si="56"/>
        <v>ABB</v>
      </c>
      <c r="O611" s="11">
        <f>VLOOKUP(A611,XYZ!A610:G1413,2,FALSE)</f>
        <v>2.2360679774997894</v>
      </c>
      <c r="P611" t="str">
        <f t="shared" si="57"/>
        <v>Z</v>
      </c>
      <c r="Q611" t="str">
        <f t="shared" si="58"/>
        <v>ABBZ</v>
      </c>
    </row>
    <row r="612" spans="1:17" x14ac:dyDescent="0.15">
      <c r="A612" t="s">
        <v>512</v>
      </c>
      <c r="B612" s="9">
        <v>1</v>
      </c>
      <c r="C612" s="13">
        <v>0</v>
      </c>
      <c r="D612" s="13">
        <v>0.87</v>
      </c>
      <c r="E612" s="9" t="s">
        <v>1241</v>
      </c>
      <c r="F612">
        <v>136</v>
      </c>
      <c r="G612" s="11">
        <v>3.6947271107053354E-4</v>
      </c>
      <c r="H612" s="12">
        <v>0.94831403820239046</v>
      </c>
      <c r="I612" t="s">
        <v>1241</v>
      </c>
      <c r="J612">
        <v>6</v>
      </c>
      <c r="K612" s="11">
        <f t="shared" si="54"/>
        <v>6.2155775398998981E-4</v>
      </c>
      <c r="L612" s="12">
        <f t="shared" si="59"/>
        <v>0.89833742184172405</v>
      </c>
      <c r="M612" t="str">
        <f t="shared" si="55"/>
        <v>B</v>
      </c>
      <c r="N612" t="str">
        <f t="shared" si="56"/>
        <v>BBB</v>
      </c>
      <c r="O612" s="11">
        <f>VLOOKUP(A612,XYZ!A611:G1414,2,FALSE)</f>
        <v>2.2360679774997894</v>
      </c>
      <c r="P612" t="str">
        <f t="shared" si="57"/>
        <v>Z</v>
      </c>
      <c r="Q612" t="str">
        <f t="shared" si="58"/>
        <v>BBBZ</v>
      </c>
    </row>
    <row r="613" spans="1:17" x14ac:dyDescent="0.15">
      <c r="A613" t="s">
        <v>962</v>
      </c>
      <c r="B613" s="9">
        <v>1</v>
      </c>
      <c r="C613" s="13">
        <v>0</v>
      </c>
      <c r="D613" s="13">
        <v>0.72</v>
      </c>
      <c r="E613" s="9" t="s">
        <v>1240</v>
      </c>
      <c r="F613">
        <v>135</v>
      </c>
      <c r="G613" s="11">
        <v>3.6675599995972079E-4</v>
      </c>
      <c r="H613" s="12">
        <v>0.94868079420235019</v>
      </c>
      <c r="I613" t="s">
        <v>1241</v>
      </c>
      <c r="J613">
        <v>6</v>
      </c>
      <c r="K613" s="11">
        <f t="shared" si="54"/>
        <v>6.2155775398998981E-4</v>
      </c>
      <c r="L613" s="12">
        <f t="shared" si="59"/>
        <v>0.89895897959571403</v>
      </c>
      <c r="M613" t="str">
        <f t="shared" si="55"/>
        <v>B</v>
      </c>
      <c r="N613" t="str">
        <f t="shared" si="56"/>
        <v>ABB</v>
      </c>
      <c r="O613" s="11">
        <f>VLOOKUP(A613,XYZ!A612:G1415,2,FALSE)</f>
        <v>2.2360679774997894</v>
      </c>
      <c r="P613" t="str">
        <f t="shared" si="57"/>
        <v>Z</v>
      </c>
      <c r="Q613" t="str">
        <f t="shared" si="58"/>
        <v>ABBZ</v>
      </c>
    </row>
    <row r="614" spans="1:17" x14ac:dyDescent="0.15">
      <c r="A614" t="s">
        <v>316</v>
      </c>
      <c r="B614" s="9">
        <v>1</v>
      </c>
      <c r="C614" s="13">
        <v>0</v>
      </c>
      <c r="D614" s="13">
        <v>0.79</v>
      </c>
      <c r="E614" s="9" t="s">
        <v>1240</v>
      </c>
      <c r="F614">
        <v>133</v>
      </c>
      <c r="G614" s="11">
        <v>3.6132257773809529E-4</v>
      </c>
      <c r="H614" s="12">
        <v>0.94940343935782645</v>
      </c>
      <c r="I614" t="s">
        <v>1241</v>
      </c>
      <c r="J614">
        <v>6</v>
      </c>
      <c r="K614" s="11">
        <f t="shared" si="54"/>
        <v>6.2155775398998981E-4</v>
      </c>
      <c r="L614" s="12">
        <f t="shared" si="59"/>
        <v>0.899580537349704</v>
      </c>
      <c r="M614" t="str">
        <f t="shared" si="55"/>
        <v>B</v>
      </c>
      <c r="N614" t="str">
        <f t="shared" si="56"/>
        <v>ABB</v>
      </c>
      <c r="O614" s="11">
        <f>VLOOKUP(A614,XYZ!A613:G1416,2,FALSE)</f>
        <v>2.2360679774997894</v>
      </c>
      <c r="P614" t="str">
        <f t="shared" si="57"/>
        <v>Z</v>
      </c>
      <c r="Q614" t="str">
        <f t="shared" si="58"/>
        <v>ABBZ</v>
      </c>
    </row>
    <row r="615" spans="1:17" x14ac:dyDescent="0.15">
      <c r="A615" t="s">
        <v>126</v>
      </c>
      <c r="B615" s="9">
        <v>1</v>
      </c>
      <c r="C615" s="13">
        <v>0</v>
      </c>
      <c r="D615" s="13">
        <v>0.9</v>
      </c>
      <c r="E615" s="9" t="s">
        <v>1241</v>
      </c>
      <c r="F615">
        <v>133</v>
      </c>
      <c r="G615" s="11">
        <v>3.6132257773809529E-4</v>
      </c>
      <c r="H615" s="12">
        <v>0.94976476193556458</v>
      </c>
      <c r="I615" t="s">
        <v>1241</v>
      </c>
      <c r="J615">
        <v>6</v>
      </c>
      <c r="K615" s="11">
        <f t="shared" si="54"/>
        <v>6.2155775398998981E-4</v>
      </c>
      <c r="L615" s="12">
        <f t="shared" si="59"/>
        <v>0.90020209510369398</v>
      </c>
      <c r="M615" t="str">
        <f t="shared" si="55"/>
        <v>B</v>
      </c>
      <c r="N615" t="str">
        <f t="shared" si="56"/>
        <v>BBB</v>
      </c>
      <c r="O615" s="11">
        <f>VLOOKUP(A615,XYZ!A614:G1417,2,FALSE)</f>
        <v>2.2360679774997894</v>
      </c>
      <c r="P615" t="str">
        <f t="shared" si="57"/>
        <v>Z</v>
      </c>
      <c r="Q615" t="str">
        <f t="shared" si="58"/>
        <v>BBBZ</v>
      </c>
    </row>
    <row r="616" spans="1:17" x14ac:dyDescent="0.15">
      <c r="A616" t="s">
        <v>827</v>
      </c>
      <c r="B616" s="9">
        <v>1</v>
      </c>
      <c r="C616" s="13">
        <v>0</v>
      </c>
      <c r="D616" s="13">
        <v>0.98</v>
      </c>
      <c r="E616" s="9" t="s">
        <v>1242</v>
      </c>
      <c r="F616">
        <v>133</v>
      </c>
      <c r="G616" s="11">
        <v>3.6132257773809529E-4</v>
      </c>
      <c r="H616" s="12">
        <v>0.95012608451330272</v>
      </c>
      <c r="I616" t="s">
        <v>1242</v>
      </c>
      <c r="J616">
        <v>6</v>
      </c>
      <c r="K616" s="11">
        <f t="shared" si="54"/>
        <v>6.2155775398998981E-4</v>
      </c>
      <c r="L616" s="12">
        <f t="shared" si="59"/>
        <v>0.90082365285768395</v>
      </c>
      <c r="M616" t="str">
        <f t="shared" si="55"/>
        <v>B</v>
      </c>
      <c r="N616" t="str">
        <f t="shared" si="56"/>
        <v>CCB</v>
      </c>
      <c r="O616" s="11">
        <f>VLOOKUP(A616,XYZ!A615:G1418,2,FALSE)</f>
        <v>2.2360679774997894</v>
      </c>
      <c r="P616" t="str">
        <f t="shared" si="57"/>
        <v>Z</v>
      </c>
      <c r="Q616" t="str">
        <f t="shared" si="58"/>
        <v>CCBZ</v>
      </c>
    </row>
    <row r="617" spans="1:17" x14ac:dyDescent="0.15">
      <c r="A617" t="s">
        <v>1103</v>
      </c>
      <c r="B617" s="9">
        <v>1</v>
      </c>
      <c r="C617" s="13">
        <v>0</v>
      </c>
      <c r="D617" s="13">
        <v>0.8</v>
      </c>
      <c r="E617" s="9" t="s">
        <v>1241</v>
      </c>
      <c r="F617">
        <v>129</v>
      </c>
      <c r="G617" s="11">
        <v>3.5045573329484434E-4</v>
      </c>
      <c r="H617" s="12">
        <v>0.95224783589084749</v>
      </c>
      <c r="I617" t="s">
        <v>1242</v>
      </c>
      <c r="J617">
        <v>6</v>
      </c>
      <c r="K617" s="11">
        <f t="shared" si="54"/>
        <v>6.2155775398998981E-4</v>
      </c>
      <c r="L617" s="12">
        <f t="shared" si="59"/>
        <v>0.90144521061167393</v>
      </c>
      <c r="M617" t="str">
        <f t="shared" si="55"/>
        <v>B</v>
      </c>
      <c r="N617" t="str">
        <f t="shared" si="56"/>
        <v>BCB</v>
      </c>
      <c r="O617" s="11">
        <f>VLOOKUP(A617,XYZ!A616:G1419,2,FALSE)</f>
        <v>2.2360679774997894</v>
      </c>
      <c r="P617" t="str">
        <f t="shared" si="57"/>
        <v>Z</v>
      </c>
      <c r="Q617" t="str">
        <f t="shared" si="58"/>
        <v>BCBZ</v>
      </c>
    </row>
    <row r="618" spans="1:17" x14ac:dyDescent="0.15">
      <c r="A618" t="s">
        <v>867</v>
      </c>
      <c r="B618" s="9">
        <v>1</v>
      </c>
      <c r="C618" s="13">
        <v>0</v>
      </c>
      <c r="D618" s="13">
        <v>0.69</v>
      </c>
      <c r="E618" s="9" t="s">
        <v>1240</v>
      </c>
      <c r="F618">
        <v>128</v>
      </c>
      <c r="G618" s="11">
        <v>3.4773902218403159E-4</v>
      </c>
      <c r="H618" s="12">
        <v>0.95294472662499319</v>
      </c>
      <c r="I618" t="s">
        <v>1242</v>
      </c>
      <c r="J618">
        <v>6</v>
      </c>
      <c r="K618" s="11">
        <f t="shared" si="54"/>
        <v>6.2155775398998981E-4</v>
      </c>
      <c r="L618" s="12">
        <f t="shared" si="59"/>
        <v>0.90206676836566391</v>
      </c>
      <c r="M618" t="str">
        <f t="shared" si="55"/>
        <v>B</v>
      </c>
      <c r="N618" t="str">
        <f t="shared" si="56"/>
        <v>ACB</v>
      </c>
      <c r="O618" s="11">
        <f>VLOOKUP(A618,XYZ!A617:G1420,2,FALSE)</f>
        <v>2.2360679774997894</v>
      </c>
      <c r="P618" t="str">
        <f t="shared" si="57"/>
        <v>Z</v>
      </c>
      <c r="Q618" t="str">
        <f t="shared" si="58"/>
        <v>ACBZ</v>
      </c>
    </row>
    <row r="619" spans="1:17" x14ac:dyDescent="0.15">
      <c r="A619" t="s">
        <v>945</v>
      </c>
      <c r="B619" s="9">
        <v>1</v>
      </c>
      <c r="C619" s="13">
        <v>0</v>
      </c>
      <c r="D619" s="13">
        <v>0.83</v>
      </c>
      <c r="E619" s="9" t="s">
        <v>1241</v>
      </c>
      <c r="F619">
        <v>127</v>
      </c>
      <c r="G619" s="11">
        <v>3.4502231107321884E-4</v>
      </c>
      <c r="H619" s="12">
        <v>0.95328974893606644</v>
      </c>
      <c r="I619" t="s">
        <v>1242</v>
      </c>
      <c r="J619">
        <v>6</v>
      </c>
      <c r="K619" s="11">
        <f t="shared" si="54"/>
        <v>6.2155775398998981E-4</v>
      </c>
      <c r="L619" s="12">
        <f t="shared" si="59"/>
        <v>0.90268832611965388</v>
      </c>
      <c r="M619" t="str">
        <f t="shared" si="55"/>
        <v>B</v>
      </c>
      <c r="N619" t="str">
        <f t="shared" si="56"/>
        <v>BCB</v>
      </c>
      <c r="O619" s="11">
        <f>VLOOKUP(A619,XYZ!A618:G1421,2,FALSE)</f>
        <v>2.2360679774997894</v>
      </c>
      <c r="P619" t="str">
        <f t="shared" si="57"/>
        <v>Z</v>
      </c>
      <c r="Q619" t="str">
        <f t="shared" si="58"/>
        <v>BCBZ</v>
      </c>
    </row>
    <row r="620" spans="1:17" x14ac:dyDescent="0.15">
      <c r="A620" t="s">
        <v>26</v>
      </c>
      <c r="B620" s="9">
        <v>1</v>
      </c>
      <c r="C620" s="13">
        <v>0</v>
      </c>
      <c r="D620" s="13">
        <v>0.95</v>
      </c>
      <c r="E620" s="9" t="s">
        <v>1241</v>
      </c>
      <c r="F620">
        <v>127</v>
      </c>
      <c r="G620" s="11">
        <v>3.4502231107321884E-4</v>
      </c>
      <c r="H620" s="12">
        <v>0.95363477124713969</v>
      </c>
      <c r="I620" t="s">
        <v>1242</v>
      </c>
      <c r="J620">
        <v>6</v>
      </c>
      <c r="K620" s="11">
        <f t="shared" si="54"/>
        <v>6.2155775398998981E-4</v>
      </c>
      <c r="L620" s="12">
        <f t="shared" si="59"/>
        <v>0.90330988387364386</v>
      </c>
      <c r="M620" t="str">
        <f t="shared" si="55"/>
        <v>B</v>
      </c>
      <c r="N620" t="str">
        <f t="shared" si="56"/>
        <v>BCB</v>
      </c>
      <c r="O620" s="11">
        <f>VLOOKUP(A620,XYZ!A619:G1422,2,FALSE)</f>
        <v>2.2360679774997894</v>
      </c>
      <c r="P620" t="str">
        <f t="shared" si="57"/>
        <v>Z</v>
      </c>
      <c r="Q620" t="str">
        <f t="shared" si="58"/>
        <v>BCBZ</v>
      </c>
    </row>
    <row r="621" spans="1:17" x14ac:dyDescent="0.15">
      <c r="A621" t="s">
        <v>116</v>
      </c>
      <c r="B621" s="9">
        <v>1</v>
      </c>
      <c r="C621" s="13">
        <v>0</v>
      </c>
      <c r="D621" s="13">
        <v>0.98</v>
      </c>
      <c r="E621" s="9" t="s">
        <v>1242</v>
      </c>
      <c r="F621">
        <v>127</v>
      </c>
      <c r="G621" s="11">
        <v>3.4502231107321884E-4</v>
      </c>
      <c r="H621" s="12">
        <v>0.95397979355821294</v>
      </c>
      <c r="I621" t="s">
        <v>1242</v>
      </c>
      <c r="J621">
        <v>6</v>
      </c>
      <c r="K621" s="11">
        <f t="shared" si="54"/>
        <v>6.2155775398998981E-4</v>
      </c>
      <c r="L621" s="12">
        <f t="shared" si="59"/>
        <v>0.90393144162763384</v>
      </c>
      <c r="M621" t="str">
        <f t="shared" si="55"/>
        <v>B</v>
      </c>
      <c r="N621" t="str">
        <f t="shared" si="56"/>
        <v>CCB</v>
      </c>
      <c r="O621" s="11">
        <f>VLOOKUP(A621,XYZ!A620:G1423,2,FALSE)</f>
        <v>2.2360679774997894</v>
      </c>
      <c r="P621" t="str">
        <f t="shared" si="57"/>
        <v>Z</v>
      </c>
      <c r="Q621" t="str">
        <f t="shared" si="58"/>
        <v>CCBZ</v>
      </c>
    </row>
    <row r="622" spans="1:17" x14ac:dyDescent="0.15">
      <c r="A622" t="s">
        <v>1063</v>
      </c>
      <c r="B622" s="9">
        <v>1</v>
      </c>
      <c r="C622" s="13">
        <v>0</v>
      </c>
      <c r="D622" s="13">
        <v>0.73</v>
      </c>
      <c r="E622" s="9" t="s">
        <v>1240</v>
      </c>
      <c r="F622">
        <v>126</v>
      </c>
      <c r="G622" s="11">
        <v>3.4230559996240609E-4</v>
      </c>
      <c r="H622" s="12">
        <v>0.95500671035810014</v>
      </c>
      <c r="I622" t="s">
        <v>1242</v>
      </c>
      <c r="J622">
        <v>6</v>
      </c>
      <c r="K622" s="11">
        <f t="shared" si="54"/>
        <v>6.2155775398998981E-4</v>
      </c>
      <c r="L622" s="12">
        <f t="shared" si="59"/>
        <v>0.90455299938162381</v>
      </c>
      <c r="M622" t="str">
        <f t="shared" si="55"/>
        <v>B</v>
      </c>
      <c r="N622" t="str">
        <f t="shared" si="56"/>
        <v>ACB</v>
      </c>
      <c r="O622" s="11">
        <f>VLOOKUP(A622,XYZ!A621:G1424,2,FALSE)</f>
        <v>2.2360679774997894</v>
      </c>
      <c r="P622" t="str">
        <f t="shared" si="57"/>
        <v>Z</v>
      </c>
      <c r="Q622" t="str">
        <f t="shared" si="58"/>
        <v>ACBZ</v>
      </c>
    </row>
    <row r="623" spans="1:17" x14ac:dyDescent="0.15">
      <c r="A623" t="s">
        <v>53</v>
      </c>
      <c r="B623" s="9">
        <v>1</v>
      </c>
      <c r="C623" s="13">
        <v>0</v>
      </c>
      <c r="D623" s="13">
        <v>0.81</v>
      </c>
      <c r="E623" s="9" t="s">
        <v>1241</v>
      </c>
      <c r="F623">
        <v>123</v>
      </c>
      <c r="G623" s="11">
        <v>3.3415546662996784E-4</v>
      </c>
      <c r="H623" s="12">
        <v>0.95635691578017401</v>
      </c>
      <c r="I623" t="s">
        <v>1242</v>
      </c>
      <c r="J623">
        <v>6</v>
      </c>
      <c r="K623" s="11">
        <f t="shared" si="54"/>
        <v>6.2155775398998981E-4</v>
      </c>
      <c r="L623" s="12">
        <f t="shared" si="59"/>
        <v>0.90517455713561379</v>
      </c>
      <c r="M623" t="str">
        <f t="shared" si="55"/>
        <v>B</v>
      </c>
      <c r="N623" t="str">
        <f t="shared" si="56"/>
        <v>BCB</v>
      </c>
      <c r="O623" s="11">
        <f>VLOOKUP(A623,XYZ!A622:G1425,2,FALSE)</f>
        <v>2.2360679774997894</v>
      </c>
      <c r="P623" t="str">
        <f t="shared" si="57"/>
        <v>Z</v>
      </c>
      <c r="Q623" t="str">
        <f t="shared" si="58"/>
        <v>BCBZ</v>
      </c>
    </row>
    <row r="624" spans="1:17" x14ac:dyDescent="0.15">
      <c r="A624" t="s">
        <v>870</v>
      </c>
      <c r="B624" s="9">
        <v>1</v>
      </c>
      <c r="C624" s="13">
        <v>0</v>
      </c>
      <c r="D624" s="13">
        <v>0.69</v>
      </c>
      <c r="E624" s="9" t="s">
        <v>1240</v>
      </c>
      <c r="F624">
        <v>122</v>
      </c>
      <c r="G624" s="11">
        <v>3.3143875551915508E-4</v>
      </c>
      <c r="H624" s="12">
        <v>0.95668835453569312</v>
      </c>
      <c r="I624" t="s">
        <v>1242</v>
      </c>
      <c r="J624">
        <v>6</v>
      </c>
      <c r="K624" s="11">
        <f t="shared" si="54"/>
        <v>6.2155775398998981E-4</v>
      </c>
      <c r="L624" s="12">
        <f t="shared" si="59"/>
        <v>0.90579611488960377</v>
      </c>
      <c r="M624" t="str">
        <f t="shared" si="55"/>
        <v>B</v>
      </c>
      <c r="N624" t="str">
        <f t="shared" si="56"/>
        <v>ACB</v>
      </c>
      <c r="O624" s="11">
        <f>VLOOKUP(A624,XYZ!A623:G1426,2,FALSE)</f>
        <v>2.2360679774997894</v>
      </c>
      <c r="P624" t="str">
        <f t="shared" si="57"/>
        <v>Z</v>
      </c>
      <c r="Q624" t="str">
        <f t="shared" si="58"/>
        <v>ACBZ</v>
      </c>
    </row>
    <row r="625" spans="1:17" x14ac:dyDescent="0.15">
      <c r="A625" t="s">
        <v>1108</v>
      </c>
      <c r="B625" s="9">
        <v>1</v>
      </c>
      <c r="C625" s="13">
        <v>0</v>
      </c>
      <c r="D625" s="13">
        <v>0.72</v>
      </c>
      <c r="E625" s="9" t="s">
        <v>1240</v>
      </c>
      <c r="F625">
        <v>122</v>
      </c>
      <c r="G625" s="11">
        <v>3.3143875551915508E-4</v>
      </c>
      <c r="H625" s="12">
        <v>0.95701979329121223</v>
      </c>
      <c r="I625" t="s">
        <v>1242</v>
      </c>
      <c r="J625">
        <v>6</v>
      </c>
      <c r="K625" s="11">
        <f t="shared" si="54"/>
        <v>6.2155775398998981E-4</v>
      </c>
      <c r="L625" s="12">
        <f t="shared" si="59"/>
        <v>0.90641767264359374</v>
      </c>
      <c r="M625" t="str">
        <f t="shared" si="55"/>
        <v>B</v>
      </c>
      <c r="N625" t="str">
        <f t="shared" si="56"/>
        <v>ACB</v>
      </c>
      <c r="O625" s="11">
        <f>VLOOKUP(A625,XYZ!A624:G1427,2,FALSE)</f>
        <v>2.2360679774997894</v>
      </c>
      <c r="P625" t="str">
        <f t="shared" si="57"/>
        <v>Z</v>
      </c>
      <c r="Q625" t="str">
        <f t="shared" si="58"/>
        <v>ACBZ</v>
      </c>
    </row>
    <row r="626" spans="1:17" x14ac:dyDescent="0.15">
      <c r="A626" t="s">
        <v>669</v>
      </c>
      <c r="B626" s="9">
        <v>1</v>
      </c>
      <c r="C626" s="13">
        <v>0</v>
      </c>
      <c r="D626" s="13">
        <v>0.8</v>
      </c>
      <c r="E626" s="9" t="s">
        <v>1241</v>
      </c>
      <c r="F626">
        <v>122</v>
      </c>
      <c r="G626" s="11">
        <v>3.3143875551915508E-4</v>
      </c>
      <c r="H626" s="12">
        <v>0.95735123204673134</v>
      </c>
      <c r="I626" t="s">
        <v>1242</v>
      </c>
      <c r="J626">
        <v>6</v>
      </c>
      <c r="K626" s="11">
        <f t="shared" si="54"/>
        <v>6.2155775398998981E-4</v>
      </c>
      <c r="L626" s="12">
        <f t="shared" si="59"/>
        <v>0.90703923039758372</v>
      </c>
      <c r="M626" t="str">
        <f t="shared" si="55"/>
        <v>B</v>
      </c>
      <c r="N626" t="str">
        <f t="shared" si="56"/>
        <v>BCB</v>
      </c>
      <c r="O626" s="11">
        <f>VLOOKUP(A626,XYZ!A625:G1428,2,FALSE)</f>
        <v>2.2360679774997894</v>
      </c>
      <c r="P626" t="str">
        <f t="shared" si="57"/>
        <v>Z</v>
      </c>
      <c r="Q626" t="str">
        <f t="shared" si="58"/>
        <v>BCBZ</v>
      </c>
    </row>
    <row r="627" spans="1:17" x14ac:dyDescent="0.15">
      <c r="A627" t="s">
        <v>105</v>
      </c>
      <c r="B627" s="9">
        <v>1</v>
      </c>
      <c r="C627" s="13">
        <v>0</v>
      </c>
      <c r="D627" s="13">
        <v>0.93</v>
      </c>
      <c r="E627" s="9" t="s">
        <v>1241</v>
      </c>
      <c r="F627">
        <v>122</v>
      </c>
      <c r="G627" s="11">
        <v>3.3143875551915508E-4</v>
      </c>
      <c r="H627" s="12">
        <v>0.95768267080225045</v>
      </c>
      <c r="I627" t="s">
        <v>1242</v>
      </c>
      <c r="J627">
        <v>6</v>
      </c>
      <c r="K627" s="11">
        <f t="shared" si="54"/>
        <v>6.2155775398998981E-4</v>
      </c>
      <c r="L627" s="12">
        <f t="shared" si="59"/>
        <v>0.90766078815157369</v>
      </c>
      <c r="M627" t="str">
        <f t="shared" si="55"/>
        <v>B</v>
      </c>
      <c r="N627" t="str">
        <f t="shared" si="56"/>
        <v>BCB</v>
      </c>
      <c r="O627" s="11">
        <f>VLOOKUP(A627,XYZ!A626:G1429,2,FALSE)</f>
        <v>2.2360679774997894</v>
      </c>
      <c r="P627" t="str">
        <f t="shared" si="57"/>
        <v>Z</v>
      </c>
      <c r="Q627" t="str">
        <f t="shared" si="58"/>
        <v>BCBZ</v>
      </c>
    </row>
    <row r="628" spans="1:17" x14ac:dyDescent="0.15">
      <c r="A628" t="s">
        <v>542</v>
      </c>
      <c r="B628" s="9">
        <v>1</v>
      </c>
      <c r="C628" s="13">
        <v>0</v>
      </c>
      <c r="D628" s="13">
        <v>0.95</v>
      </c>
      <c r="E628" s="9" t="s">
        <v>1242</v>
      </c>
      <c r="F628">
        <v>122</v>
      </c>
      <c r="G628" s="11">
        <v>3.3143875551915508E-4</v>
      </c>
      <c r="H628" s="12">
        <v>0.95801410955776956</v>
      </c>
      <c r="I628" t="s">
        <v>1242</v>
      </c>
      <c r="J628">
        <v>6</v>
      </c>
      <c r="K628" s="11">
        <f t="shared" si="54"/>
        <v>6.2155775398998981E-4</v>
      </c>
      <c r="L628" s="12">
        <f t="shared" si="59"/>
        <v>0.90828234590556367</v>
      </c>
      <c r="M628" t="str">
        <f t="shared" si="55"/>
        <v>B</v>
      </c>
      <c r="N628" t="str">
        <f t="shared" si="56"/>
        <v>CCB</v>
      </c>
      <c r="O628" s="11">
        <f>VLOOKUP(A628,XYZ!A627:G1430,2,FALSE)</f>
        <v>2.2360679774997894</v>
      </c>
      <c r="P628" t="str">
        <f t="shared" si="57"/>
        <v>Z</v>
      </c>
      <c r="Q628" t="str">
        <f t="shared" si="58"/>
        <v>CCBZ</v>
      </c>
    </row>
    <row r="629" spans="1:17" x14ac:dyDescent="0.15">
      <c r="A629" t="s">
        <v>916</v>
      </c>
      <c r="B629" s="9">
        <v>1</v>
      </c>
      <c r="C629" s="13">
        <v>0</v>
      </c>
      <c r="D629" s="13">
        <v>0.98</v>
      </c>
      <c r="E629" s="9" t="s">
        <v>1242</v>
      </c>
      <c r="F629">
        <v>122</v>
      </c>
      <c r="G629" s="11">
        <v>3.3143875551915508E-4</v>
      </c>
      <c r="H629" s="12">
        <v>0.95834554831328866</v>
      </c>
      <c r="I629" t="s">
        <v>1242</v>
      </c>
      <c r="J629">
        <v>6</v>
      </c>
      <c r="K629" s="11">
        <f t="shared" si="54"/>
        <v>6.2155775398998981E-4</v>
      </c>
      <c r="L629" s="12">
        <f t="shared" si="59"/>
        <v>0.90890390365955365</v>
      </c>
      <c r="M629" t="str">
        <f t="shared" si="55"/>
        <v>B</v>
      </c>
      <c r="N629" t="str">
        <f t="shared" si="56"/>
        <v>CCB</v>
      </c>
      <c r="O629" s="11">
        <f>VLOOKUP(A629,XYZ!A628:G1431,2,FALSE)</f>
        <v>2.2360679774997894</v>
      </c>
      <c r="P629" t="str">
        <f t="shared" si="57"/>
        <v>Z</v>
      </c>
      <c r="Q629" t="str">
        <f t="shared" si="58"/>
        <v>CCBZ</v>
      </c>
    </row>
    <row r="630" spans="1:17" x14ac:dyDescent="0.15">
      <c r="A630" t="s">
        <v>443</v>
      </c>
      <c r="B630" s="9">
        <v>1</v>
      </c>
      <c r="C630" s="13">
        <v>0</v>
      </c>
      <c r="D630" s="13">
        <v>0.97</v>
      </c>
      <c r="E630" s="9" t="s">
        <v>1242</v>
      </c>
      <c r="F630">
        <v>121</v>
      </c>
      <c r="G630" s="11">
        <v>3.2872204440834233E-4</v>
      </c>
      <c r="H630" s="12">
        <v>0.95867427035769703</v>
      </c>
      <c r="I630" t="s">
        <v>1242</v>
      </c>
      <c r="J630">
        <v>6</v>
      </c>
      <c r="K630" s="11">
        <f t="shared" si="54"/>
        <v>6.2155775398998981E-4</v>
      </c>
      <c r="L630" s="12">
        <f t="shared" si="59"/>
        <v>0.90952546141354362</v>
      </c>
      <c r="M630" t="str">
        <f t="shared" si="55"/>
        <v>B</v>
      </c>
      <c r="N630" t="str">
        <f t="shared" si="56"/>
        <v>CCB</v>
      </c>
      <c r="O630" s="11">
        <f>VLOOKUP(A630,XYZ!A629:G1432,2,FALSE)</f>
        <v>2.2360679774997894</v>
      </c>
      <c r="P630" t="str">
        <f t="shared" si="57"/>
        <v>Z</v>
      </c>
      <c r="Q630" t="str">
        <f t="shared" si="58"/>
        <v>CCBZ</v>
      </c>
    </row>
    <row r="631" spans="1:17" x14ac:dyDescent="0.15">
      <c r="A631" t="s">
        <v>154</v>
      </c>
      <c r="B631" s="9">
        <v>1</v>
      </c>
      <c r="C631" s="13">
        <v>0</v>
      </c>
      <c r="D631" s="13">
        <v>0.69</v>
      </c>
      <c r="E631" s="9" t="s">
        <v>1240</v>
      </c>
      <c r="F631">
        <v>120</v>
      </c>
      <c r="G631" s="11">
        <v>3.2600533329752958E-4</v>
      </c>
      <c r="H631" s="12">
        <v>0.95932628102429207</v>
      </c>
      <c r="I631" t="s">
        <v>1242</v>
      </c>
      <c r="J631">
        <v>6</v>
      </c>
      <c r="K631" s="11">
        <f t="shared" si="54"/>
        <v>6.2155775398998981E-4</v>
      </c>
      <c r="L631" s="12">
        <f t="shared" si="59"/>
        <v>0.9101470191675336</v>
      </c>
      <c r="M631" t="str">
        <f t="shared" si="55"/>
        <v>B</v>
      </c>
      <c r="N631" t="str">
        <f t="shared" si="56"/>
        <v>ACB</v>
      </c>
      <c r="O631" s="11">
        <f>VLOOKUP(A631,XYZ!A630:G1433,2,FALSE)</f>
        <v>2.2360679774997894</v>
      </c>
      <c r="P631" t="str">
        <f t="shared" si="57"/>
        <v>Z</v>
      </c>
      <c r="Q631" t="str">
        <f t="shared" si="58"/>
        <v>ACBZ</v>
      </c>
    </row>
    <row r="632" spans="1:17" x14ac:dyDescent="0.15">
      <c r="A632" t="s">
        <v>780</v>
      </c>
      <c r="B632" s="9">
        <v>1</v>
      </c>
      <c r="C632" s="13">
        <v>0</v>
      </c>
      <c r="D632" s="13">
        <v>0.8</v>
      </c>
      <c r="E632" s="9" t="s">
        <v>1240</v>
      </c>
      <c r="F632">
        <v>120</v>
      </c>
      <c r="G632" s="11">
        <v>3.2600533329752958E-4</v>
      </c>
      <c r="H632" s="12">
        <v>0.95965228635758959</v>
      </c>
      <c r="I632" t="s">
        <v>1242</v>
      </c>
      <c r="J632">
        <v>6</v>
      </c>
      <c r="K632" s="11">
        <f t="shared" si="54"/>
        <v>6.2155775398998981E-4</v>
      </c>
      <c r="L632" s="12">
        <f t="shared" si="59"/>
        <v>0.91076857692152358</v>
      </c>
      <c r="M632" t="str">
        <f t="shared" si="55"/>
        <v>B</v>
      </c>
      <c r="N632" t="str">
        <f t="shared" si="56"/>
        <v>ACB</v>
      </c>
      <c r="O632" s="11">
        <f>VLOOKUP(A632,XYZ!A631:G1434,2,FALSE)</f>
        <v>2.2360679774997894</v>
      </c>
      <c r="P632" t="str">
        <f t="shared" si="57"/>
        <v>Z</v>
      </c>
      <c r="Q632" t="str">
        <f t="shared" si="58"/>
        <v>ACBZ</v>
      </c>
    </row>
    <row r="633" spans="1:17" x14ac:dyDescent="0.15">
      <c r="A633" t="s">
        <v>503</v>
      </c>
      <c r="B633" s="9">
        <v>1</v>
      </c>
      <c r="C633" s="13">
        <v>0</v>
      </c>
      <c r="D633" s="13">
        <v>0.92</v>
      </c>
      <c r="E633" s="9" t="s">
        <v>1241</v>
      </c>
      <c r="F633">
        <v>120</v>
      </c>
      <c r="G633" s="11">
        <v>3.2600533329752958E-4</v>
      </c>
      <c r="H633" s="12">
        <v>0.95997829169088711</v>
      </c>
      <c r="I633" t="s">
        <v>1242</v>
      </c>
      <c r="J633">
        <v>6</v>
      </c>
      <c r="K633" s="11">
        <f t="shared" si="54"/>
        <v>6.2155775398998981E-4</v>
      </c>
      <c r="L633" s="12">
        <f t="shared" si="59"/>
        <v>0.91139013467551355</v>
      </c>
      <c r="M633" t="str">
        <f t="shared" si="55"/>
        <v>B</v>
      </c>
      <c r="N633" t="str">
        <f t="shared" si="56"/>
        <v>BCB</v>
      </c>
      <c r="O633" s="11">
        <f>VLOOKUP(A633,XYZ!A632:G1435,2,FALSE)</f>
        <v>2.2360679774997894</v>
      </c>
      <c r="P633" t="str">
        <f t="shared" si="57"/>
        <v>Z</v>
      </c>
      <c r="Q633" t="str">
        <f t="shared" si="58"/>
        <v>BCBZ</v>
      </c>
    </row>
    <row r="634" spans="1:17" x14ac:dyDescent="0.15">
      <c r="A634" t="s">
        <v>1170</v>
      </c>
      <c r="B634" s="9">
        <v>1</v>
      </c>
      <c r="C634" s="13">
        <v>0</v>
      </c>
      <c r="D634" s="13">
        <v>0.71</v>
      </c>
      <c r="E634" s="9" t="s">
        <v>1240</v>
      </c>
      <c r="F634">
        <v>119</v>
      </c>
      <c r="G634" s="11">
        <v>3.2328862218671683E-4</v>
      </c>
      <c r="H634" s="12">
        <v>0.96062701513703808</v>
      </c>
      <c r="I634" t="s">
        <v>1242</v>
      </c>
      <c r="J634">
        <v>6</v>
      </c>
      <c r="K634" s="11">
        <f t="shared" si="54"/>
        <v>6.2155775398998981E-4</v>
      </c>
      <c r="L634" s="12">
        <f t="shared" si="59"/>
        <v>0.91201169242950353</v>
      </c>
      <c r="M634" t="str">
        <f t="shared" si="55"/>
        <v>B</v>
      </c>
      <c r="N634" t="str">
        <f t="shared" si="56"/>
        <v>ACB</v>
      </c>
      <c r="O634" s="11">
        <f>VLOOKUP(A634,XYZ!A633:G1436,2,FALSE)</f>
        <v>2.2360679774997894</v>
      </c>
      <c r="P634" t="str">
        <f t="shared" si="57"/>
        <v>Z</v>
      </c>
      <c r="Q634" t="str">
        <f t="shared" si="58"/>
        <v>ACBZ</v>
      </c>
    </row>
    <row r="635" spans="1:17" x14ac:dyDescent="0.15">
      <c r="A635" t="s">
        <v>835</v>
      </c>
      <c r="B635" s="9">
        <v>1</v>
      </c>
      <c r="C635" s="13">
        <v>0</v>
      </c>
      <c r="D635" s="13">
        <v>0.71</v>
      </c>
      <c r="E635" s="9" t="s">
        <v>1240</v>
      </c>
      <c r="F635">
        <v>118</v>
      </c>
      <c r="G635" s="11">
        <v>3.2057191107590414E-4</v>
      </c>
      <c r="H635" s="12">
        <v>0.960947587048114</v>
      </c>
      <c r="I635" t="s">
        <v>1242</v>
      </c>
      <c r="J635">
        <v>6</v>
      </c>
      <c r="K635" s="11">
        <f t="shared" si="54"/>
        <v>6.2155775398998981E-4</v>
      </c>
      <c r="L635" s="12">
        <f t="shared" si="59"/>
        <v>0.91263325018349351</v>
      </c>
      <c r="M635" t="str">
        <f t="shared" si="55"/>
        <v>B</v>
      </c>
      <c r="N635" t="str">
        <f t="shared" si="56"/>
        <v>ACB</v>
      </c>
      <c r="O635" s="11">
        <f>VLOOKUP(A635,XYZ!A634:G1437,2,FALSE)</f>
        <v>2.2360679774997894</v>
      </c>
      <c r="P635" t="str">
        <f t="shared" si="57"/>
        <v>Z</v>
      </c>
      <c r="Q635" t="str">
        <f t="shared" si="58"/>
        <v>ACBZ</v>
      </c>
    </row>
    <row r="636" spans="1:17" x14ac:dyDescent="0.15">
      <c r="A636" t="s">
        <v>1084</v>
      </c>
      <c r="B636" s="9">
        <v>1</v>
      </c>
      <c r="C636" s="13">
        <v>0</v>
      </c>
      <c r="D636" s="13">
        <v>0.8</v>
      </c>
      <c r="E636" s="9" t="s">
        <v>1240</v>
      </c>
      <c r="F636">
        <v>117</v>
      </c>
      <c r="G636" s="11">
        <v>3.1785519996509139E-4</v>
      </c>
      <c r="H636" s="12">
        <v>0.96190278267467577</v>
      </c>
      <c r="I636" t="s">
        <v>1242</v>
      </c>
      <c r="J636">
        <v>6</v>
      </c>
      <c r="K636" s="11">
        <f t="shared" si="54"/>
        <v>6.2155775398998981E-4</v>
      </c>
      <c r="L636" s="12">
        <f t="shared" si="59"/>
        <v>0.91325480793748348</v>
      </c>
      <c r="M636" t="str">
        <f t="shared" si="55"/>
        <v>B</v>
      </c>
      <c r="N636" t="str">
        <f t="shared" si="56"/>
        <v>ACB</v>
      </c>
      <c r="O636" s="11">
        <f>VLOOKUP(A636,XYZ!A635:G1438,2,FALSE)</f>
        <v>2.2360679774997894</v>
      </c>
      <c r="P636" t="str">
        <f t="shared" si="57"/>
        <v>Z</v>
      </c>
      <c r="Q636" t="str">
        <f t="shared" si="58"/>
        <v>ACBZ</v>
      </c>
    </row>
    <row r="637" spans="1:17" x14ac:dyDescent="0.15">
      <c r="A637" t="s">
        <v>258</v>
      </c>
      <c r="B637" s="9">
        <v>1</v>
      </c>
      <c r="C637" s="13">
        <v>0</v>
      </c>
      <c r="D637" s="13">
        <v>0.79</v>
      </c>
      <c r="E637" s="9" t="s">
        <v>1240</v>
      </c>
      <c r="F637">
        <v>115</v>
      </c>
      <c r="G637" s="11">
        <v>3.1242177774346588E-4</v>
      </c>
      <c r="H637" s="12">
        <v>0.96221520445241926</v>
      </c>
      <c r="I637" t="s">
        <v>1242</v>
      </c>
      <c r="J637">
        <v>6</v>
      </c>
      <c r="K637" s="11">
        <f t="shared" si="54"/>
        <v>6.2155775398998981E-4</v>
      </c>
      <c r="L637" s="12">
        <f t="shared" si="59"/>
        <v>0.91387636569147346</v>
      </c>
      <c r="M637" t="str">
        <f t="shared" si="55"/>
        <v>B</v>
      </c>
      <c r="N637" t="str">
        <f t="shared" si="56"/>
        <v>ACB</v>
      </c>
      <c r="O637" s="11">
        <f>VLOOKUP(A637,XYZ!A636:G1439,2,FALSE)</f>
        <v>2.2360679774997894</v>
      </c>
      <c r="P637" t="str">
        <f t="shared" si="57"/>
        <v>Z</v>
      </c>
      <c r="Q637" t="str">
        <f t="shared" si="58"/>
        <v>ACBZ</v>
      </c>
    </row>
    <row r="638" spans="1:17" x14ac:dyDescent="0.15">
      <c r="A638" t="s">
        <v>187</v>
      </c>
      <c r="B638" s="9">
        <v>1</v>
      </c>
      <c r="C638" s="13">
        <v>0</v>
      </c>
      <c r="D638" s="13">
        <v>0.81</v>
      </c>
      <c r="E638" s="9" t="s">
        <v>1241</v>
      </c>
      <c r="F638">
        <v>115</v>
      </c>
      <c r="G638" s="11">
        <v>3.1242177774346588E-4</v>
      </c>
      <c r="H638" s="12">
        <v>0.96252762623016275</v>
      </c>
      <c r="I638" t="s">
        <v>1242</v>
      </c>
      <c r="J638">
        <v>6</v>
      </c>
      <c r="K638" s="11">
        <f t="shared" si="54"/>
        <v>6.2155775398998981E-4</v>
      </c>
      <c r="L638" s="12">
        <f t="shared" si="59"/>
        <v>0.91449792344546343</v>
      </c>
      <c r="M638" t="str">
        <f t="shared" si="55"/>
        <v>B</v>
      </c>
      <c r="N638" t="str">
        <f t="shared" si="56"/>
        <v>BCB</v>
      </c>
      <c r="O638" s="11">
        <f>VLOOKUP(A638,XYZ!A637:G1440,2,FALSE)</f>
        <v>2.2360679774997894</v>
      </c>
      <c r="P638" t="str">
        <f t="shared" si="57"/>
        <v>Z</v>
      </c>
      <c r="Q638" t="str">
        <f t="shared" si="58"/>
        <v>BCBZ</v>
      </c>
    </row>
    <row r="639" spans="1:17" x14ac:dyDescent="0.15">
      <c r="A639" t="s">
        <v>191</v>
      </c>
      <c r="B639" s="9">
        <v>1</v>
      </c>
      <c r="C639" s="13">
        <v>0</v>
      </c>
      <c r="D639" s="13">
        <v>0.88</v>
      </c>
      <c r="E639" s="9" t="s">
        <v>1241</v>
      </c>
      <c r="F639">
        <v>111</v>
      </c>
      <c r="G639" s="11">
        <v>3.0155493330021488E-4</v>
      </c>
      <c r="H639" s="12">
        <v>0.96344044116339578</v>
      </c>
      <c r="I639" t="s">
        <v>1242</v>
      </c>
      <c r="J639">
        <v>6</v>
      </c>
      <c r="K639" s="11">
        <f t="shared" si="54"/>
        <v>6.2155775398998981E-4</v>
      </c>
      <c r="L639" s="12">
        <f t="shared" si="59"/>
        <v>0.91511948119945341</v>
      </c>
      <c r="M639" t="str">
        <f t="shared" si="55"/>
        <v>B</v>
      </c>
      <c r="N639" t="str">
        <f t="shared" si="56"/>
        <v>BCB</v>
      </c>
      <c r="O639" s="11">
        <f>VLOOKUP(A639,XYZ!A638:G1441,2,FALSE)</f>
        <v>2.2360679774997894</v>
      </c>
      <c r="P639" t="str">
        <f t="shared" si="57"/>
        <v>Z</v>
      </c>
      <c r="Q639" t="str">
        <f t="shared" si="58"/>
        <v>BCBZ</v>
      </c>
    </row>
    <row r="640" spans="1:17" x14ac:dyDescent="0.15">
      <c r="A640" t="s">
        <v>952</v>
      </c>
      <c r="B640" s="9">
        <v>1</v>
      </c>
      <c r="C640" s="13">
        <v>0</v>
      </c>
      <c r="D640" s="13">
        <v>0.83</v>
      </c>
      <c r="E640" s="9" t="s">
        <v>1241</v>
      </c>
      <c r="F640">
        <v>110</v>
      </c>
      <c r="G640" s="11">
        <v>2.9883822218940213E-4</v>
      </c>
      <c r="H640" s="12">
        <v>0.96373927938558523</v>
      </c>
      <c r="I640" t="s">
        <v>1242</v>
      </c>
      <c r="J640">
        <v>6</v>
      </c>
      <c r="K640" s="11">
        <f t="shared" si="54"/>
        <v>6.2155775398998981E-4</v>
      </c>
      <c r="L640" s="12">
        <f t="shared" si="59"/>
        <v>0.91574103895344339</v>
      </c>
      <c r="M640" t="str">
        <f t="shared" si="55"/>
        <v>B</v>
      </c>
      <c r="N640" t="str">
        <f t="shared" si="56"/>
        <v>BCB</v>
      </c>
      <c r="O640" s="11">
        <f>VLOOKUP(A640,XYZ!A639:G1442,2,FALSE)</f>
        <v>2.2360679774997894</v>
      </c>
      <c r="P640" t="str">
        <f t="shared" si="57"/>
        <v>Z</v>
      </c>
      <c r="Q640" t="str">
        <f t="shared" si="58"/>
        <v>BCBZ</v>
      </c>
    </row>
    <row r="641" spans="1:17" x14ac:dyDescent="0.15">
      <c r="A641" t="s">
        <v>422</v>
      </c>
      <c r="B641" s="9">
        <v>1</v>
      </c>
      <c r="C641" s="13">
        <v>0</v>
      </c>
      <c r="D641" s="13">
        <v>0.71</v>
      </c>
      <c r="E641" s="9" t="s">
        <v>1240</v>
      </c>
      <c r="F641">
        <v>109</v>
      </c>
      <c r="G641" s="11">
        <v>2.9612151107858938E-4</v>
      </c>
      <c r="H641" s="12">
        <v>0.96403540089666384</v>
      </c>
      <c r="I641" t="s">
        <v>1242</v>
      </c>
      <c r="J641">
        <v>6</v>
      </c>
      <c r="K641" s="11">
        <f t="shared" si="54"/>
        <v>6.2155775398998981E-4</v>
      </c>
      <c r="L641" s="12">
        <f t="shared" si="59"/>
        <v>0.91636259670743336</v>
      </c>
      <c r="M641" t="str">
        <f t="shared" si="55"/>
        <v>B</v>
      </c>
      <c r="N641" t="str">
        <f t="shared" si="56"/>
        <v>ACB</v>
      </c>
      <c r="O641" s="11">
        <f>VLOOKUP(A641,XYZ!A640:G1443,2,FALSE)</f>
        <v>2.2360679774997894</v>
      </c>
      <c r="P641" t="str">
        <f t="shared" si="57"/>
        <v>Z</v>
      </c>
      <c r="Q641" t="str">
        <f t="shared" si="58"/>
        <v>ACBZ</v>
      </c>
    </row>
    <row r="642" spans="1:17" x14ac:dyDescent="0.15">
      <c r="A642" t="s">
        <v>877</v>
      </c>
      <c r="B642" s="9">
        <v>1</v>
      </c>
      <c r="C642" s="13">
        <v>0</v>
      </c>
      <c r="D642" s="13">
        <v>0.8</v>
      </c>
      <c r="E642" s="9" t="s">
        <v>1240</v>
      </c>
      <c r="F642">
        <v>109</v>
      </c>
      <c r="G642" s="11">
        <v>2.9612151107858938E-4</v>
      </c>
      <c r="H642" s="12">
        <v>0.96433152240774245</v>
      </c>
      <c r="I642" t="s">
        <v>1242</v>
      </c>
      <c r="J642">
        <v>6</v>
      </c>
      <c r="K642" s="11">
        <f t="shared" si="54"/>
        <v>6.2155775398998981E-4</v>
      </c>
      <c r="L642" s="12">
        <f t="shared" si="59"/>
        <v>0.91698415446142334</v>
      </c>
      <c r="M642" t="str">
        <f t="shared" si="55"/>
        <v>B</v>
      </c>
      <c r="N642" t="str">
        <f t="shared" si="56"/>
        <v>ACB</v>
      </c>
      <c r="O642" s="11">
        <f>VLOOKUP(A642,XYZ!A641:G1444,2,FALSE)</f>
        <v>2.2360679774997894</v>
      </c>
      <c r="P642" t="str">
        <f t="shared" si="57"/>
        <v>Z</v>
      </c>
      <c r="Q642" t="str">
        <f t="shared" si="58"/>
        <v>ACBZ</v>
      </c>
    </row>
    <row r="643" spans="1:17" x14ac:dyDescent="0.15">
      <c r="A643" t="s">
        <v>329</v>
      </c>
      <c r="B643" s="9">
        <v>1</v>
      </c>
      <c r="C643" s="13">
        <v>0</v>
      </c>
      <c r="D643" s="13">
        <v>0.74</v>
      </c>
      <c r="E643" s="9" t="s">
        <v>1240</v>
      </c>
      <c r="F643">
        <v>108</v>
      </c>
      <c r="G643" s="11">
        <v>2.9340479996777663E-4</v>
      </c>
      <c r="H643" s="12">
        <v>0.96521570320586747</v>
      </c>
      <c r="I643" t="s">
        <v>1242</v>
      </c>
      <c r="J643">
        <v>6</v>
      </c>
      <c r="K643" s="11">
        <f t="shared" ref="K643:K706" si="60">J643/SUM(J:J)</f>
        <v>6.2155775398998981E-4</v>
      </c>
      <c r="L643" s="12">
        <f t="shared" si="59"/>
        <v>0.91760571221541332</v>
      </c>
      <c r="M643" t="str">
        <f t="shared" ref="M643:M706" si="61">IF(L643&lt;0.8,"A",IF(L643&lt;0.95,"B","C"))</f>
        <v>B</v>
      </c>
      <c r="N643" t="str">
        <f t="shared" ref="N643:N706" si="62">E643&amp;I643&amp;M643</f>
        <v>ACB</v>
      </c>
      <c r="O643" s="11">
        <f>VLOOKUP(A643,XYZ!A642:G1445,2,FALSE)</f>
        <v>2.2360679774997894</v>
      </c>
      <c r="P643" t="str">
        <f t="shared" ref="P643:P706" si="63">IF(O643&lt;0.1,"A",IF(O643&lt;0.25,"Y","Z"))</f>
        <v>Z</v>
      </c>
      <c r="Q643" t="str">
        <f t="shared" ref="Q643:Q706" si="64">N643&amp;P643</f>
        <v>ACBZ</v>
      </c>
    </row>
    <row r="644" spans="1:17" x14ac:dyDescent="0.15">
      <c r="A644" t="s">
        <v>1115</v>
      </c>
      <c r="B644" s="9">
        <v>1</v>
      </c>
      <c r="C644" s="13">
        <v>0</v>
      </c>
      <c r="D644" s="13">
        <v>0.83</v>
      </c>
      <c r="E644" s="9" t="s">
        <v>1241</v>
      </c>
      <c r="F644">
        <v>107</v>
      </c>
      <c r="G644" s="11">
        <v>2.9068808885696388E-4</v>
      </c>
      <c r="H644" s="12">
        <v>0.96579925275247014</v>
      </c>
      <c r="I644" t="s">
        <v>1242</v>
      </c>
      <c r="J644">
        <v>6</v>
      </c>
      <c r="K644" s="11">
        <f t="shared" si="60"/>
        <v>6.2155775398998981E-4</v>
      </c>
      <c r="L644" s="12">
        <f t="shared" ref="L644:L707" si="65">K644+L643</f>
        <v>0.91822726996940329</v>
      </c>
      <c r="M644" t="str">
        <f t="shared" si="61"/>
        <v>B</v>
      </c>
      <c r="N644" t="str">
        <f t="shared" si="62"/>
        <v>BCB</v>
      </c>
      <c r="O644" s="11">
        <f>VLOOKUP(A644,XYZ!A643:G1446,2,FALSE)</f>
        <v>2.2360679774997894</v>
      </c>
      <c r="P644" t="str">
        <f t="shared" si="63"/>
        <v>Z</v>
      </c>
      <c r="Q644" t="str">
        <f t="shared" si="64"/>
        <v>BCBZ</v>
      </c>
    </row>
    <row r="645" spans="1:17" x14ac:dyDescent="0.15">
      <c r="A645" t="s">
        <v>386</v>
      </c>
      <c r="B645" s="9">
        <v>1</v>
      </c>
      <c r="C645" s="13">
        <v>0</v>
      </c>
      <c r="D645" s="13">
        <v>0.96</v>
      </c>
      <c r="E645" s="9" t="s">
        <v>1242</v>
      </c>
      <c r="F645">
        <v>107</v>
      </c>
      <c r="G645" s="11">
        <v>2.9068808885696388E-4</v>
      </c>
      <c r="H645" s="12">
        <v>0.96608994084132715</v>
      </c>
      <c r="I645" t="s">
        <v>1242</v>
      </c>
      <c r="J645">
        <v>6</v>
      </c>
      <c r="K645" s="11">
        <f t="shared" si="60"/>
        <v>6.2155775398998981E-4</v>
      </c>
      <c r="L645" s="12">
        <f t="shared" si="65"/>
        <v>0.91884882772339327</v>
      </c>
      <c r="M645" t="str">
        <f t="shared" si="61"/>
        <v>B</v>
      </c>
      <c r="N645" t="str">
        <f t="shared" si="62"/>
        <v>CCB</v>
      </c>
      <c r="O645" s="11">
        <f>VLOOKUP(A645,XYZ!A644:G1447,2,FALSE)</f>
        <v>2.2360679774997894</v>
      </c>
      <c r="P645" t="str">
        <f t="shared" si="63"/>
        <v>Z</v>
      </c>
      <c r="Q645" t="str">
        <f t="shared" si="64"/>
        <v>CCBZ</v>
      </c>
    </row>
    <row r="646" spans="1:17" x14ac:dyDescent="0.15">
      <c r="A646" t="s">
        <v>564</v>
      </c>
      <c r="B646" s="9">
        <v>1</v>
      </c>
      <c r="C646" s="13">
        <v>0</v>
      </c>
      <c r="D646" s="13">
        <v>0.94</v>
      </c>
      <c r="E646" s="9" t="s">
        <v>1241</v>
      </c>
      <c r="F646">
        <v>106</v>
      </c>
      <c r="G646" s="11">
        <v>2.8797137774615113E-4</v>
      </c>
      <c r="H646" s="12">
        <v>0.96695385497456565</v>
      </c>
      <c r="I646" t="s">
        <v>1242</v>
      </c>
      <c r="J646">
        <v>6</v>
      </c>
      <c r="K646" s="11">
        <f t="shared" si="60"/>
        <v>6.2155775398998981E-4</v>
      </c>
      <c r="L646" s="12">
        <f t="shared" si="65"/>
        <v>0.91947038547738325</v>
      </c>
      <c r="M646" t="str">
        <f t="shared" si="61"/>
        <v>B</v>
      </c>
      <c r="N646" t="str">
        <f t="shared" si="62"/>
        <v>BCB</v>
      </c>
      <c r="O646" s="11">
        <f>VLOOKUP(A646,XYZ!A645:G1448,2,FALSE)</f>
        <v>2.2360679774997894</v>
      </c>
      <c r="P646" t="str">
        <f t="shared" si="63"/>
        <v>Z</v>
      </c>
      <c r="Q646" t="str">
        <f t="shared" si="64"/>
        <v>BCBZ</v>
      </c>
    </row>
    <row r="647" spans="1:17" x14ac:dyDescent="0.15">
      <c r="A647" t="s">
        <v>518</v>
      </c>
      <c r="B647" s="9">
        <v>1</v>
      </c>
      <c r="C647" s="13">
        <v>0</v>
      </c>
      <c r="D647" s="13">
        <v>0.69</v>
      </c>
      <c r="E647" s="9" t="s">
        <v>1240</v>
      </c>
      <c r="F647">
        <v>105</v>
      </c>
      <c r="G647" s="11">
        <v>2.8525466663533838E-4</v>
      </c>
      <c r="H647" s="12">
        <v>0.96723910964120097</v>
      </c>
      <c r="I647" t="s">
        <v>1242</v>
      </c>
      <c r="J647">
        <v>6</v>
      </c>
      <c r="K647" s="11">
        <f t="shared" si="60"/>
        <v>6.2155775398998981E-4</v>
      </c>
      <c r="L647" s="12">
        <f t="shared" si="65"/>
        <v>0.92009194323137322</v>
      </c>
      <c r="M647" t="str">
        <f t="shared" si="61"/>
        <v>B</v>
      </c>
      <c r="N647" t="str">
        <f t="shared" si="62"/>
        <v>ACB</v>
      </c>
      <c r="O647" s="11">
        <f>VLOOKUP(A647,XYZ!A646:G1449,2,FALSE)</f>
        <v>2.2360679774997894</v>
      </c>
      <c r="P647" t="str">
        <f t="shared" si="63"/>
        <v>Z</v>
      </c>
      <c r="Q647" t="str">
        <f t="shared" si="64"/>
        <v>ACBZ</v>
      </c>
    </row>
    <row r="648" spans="1:17" x14ac:dyDescent="0.15">
      <c r="A648" t="s">
        <v>650</v>
      </c>
      <c r="B648" s="9">
        <v>1</v>
      </c>
      <c r="C648" s="13">
        <v>0</v>
      </c>
      <c r="D648" s="13">
        <v>0.83</v>
      </c>
      <c r="E648" s="9" t="s">
        <v>1241</v>
      </c>
      <c r="F648">
        <v>104</v>
      </c>
      <c r="G648" s="11">
        <v>2.8253795552452568E-4</v>
      </c>
      <c r="H648" s="12">
        <v>0.96780418555225012</v>
      </c>
      <c r="I648" t="s">
        <v>1242</v>
      </c>
      <c r="J648">
        <v>6</v>
      </c>
      <c r="K648" s="11">
        <f t="shared" si="60"/>
        <v>6.2155775398998981E-4</v>
      </c>
      <c r="L648" s="12">
        <f t="shared" si="65"/>
        <v>0.9207135009853632</v>
      </c>
      <c r="M648" t="str">
        <f t="shared" si="61"/>
        <v>B</v>
      </c>
      <c r="N648" t="str">
        <f t="shared" si="62"/>
        <v>BCB</v>
      </c>
      <c r="O648" s="11">
        <f>VLOOKUP(A648,XYZ!A647:G1450,2,FALSE)</f>
        <v>2.2360679774997894</v>
      </c>
      <c r="P648" t="str">
        <f t="shared" si="63"/>
        <v>Z</v>
      </c>
      <c r="Q648" t="str">
        <f t="shared" si="64"/>
        <v>BCBZ</v>
      </c>
    </row>
    <row r="649" spans="1:17" x14ac:dyDescent="0.15">
      <c r="A649" t="s">
        <v>814</v>
      </c>
      <c r="B649" s="9">
        <v>1</v>
      </c>
      <c r="C649" s="13">
        <v>0</v>
      </c>
      <c r="D649" s="13">
        <v>0.86</v>
      </c>
      <c r="E649" s="9" t="s">
        <v>1241</v>
      </c>
      <c r="F649">
        <v>104</v>
      </c>
      <c r="G649" s="11">
        <v>2.8253795552452568E-4</v>
      </c>
      <c r="H649" s="12">
        <v>0.96808672350777469</v>
      </c>
      <c r="I649" t="s">
        <v>1242</v>
      </c>
      <c r="J649">
        <v>6</v>
      </c>
      <c r="K649" s="11">
        <f t="shared" si="60"/>
        <v>6.2155775398998981E-4</v>
      </c>
      <c r="L649" s="12">
        <f t="shared" si="65"/>
        <v>0.92133505873935317</v>
      </c>
      <c r="M649" t="str">
        <f t="shared" si="61"/>
        <v>B</v>
      </c>
      <c r="N649" t="str">
        <f t="shared" si="62"/>
        <v>BCB</v>
      </c>
      <c r="O649" s="11">
        <f>VLOOKUP(A649,XYZ!A648:G1451,2,FALSE)</f>
        <v>2.2360679774997894</v>
      </c>
      <c r="P649" t="str">
        <f t="shared" si="63"/>
        <v>Z</v>
      </c>
      <c r="Q649" t="str">
        <f t="shared" si="64"/>
        <v>BCBZ</v>
      </c>
    </row>
    <row r="650" spans="1:17" x14ac:dyDescent="0.15">
      <c r="A650" t="s">
        <v>1047</v>
      </c>
      <c r="B650" s="9">
        <v>1</v>
      </c>
      <c r="C650" s="13">
        <v>0</v>
      </c>
      <c r="D650" s="13">
        <v>0.84</v>
      </c>
      <c r="E650" s="9" t="s">
        <v>1241</v>
      </c>
      <c r="F650">
        <v>103</v>
      </c>
      <c r="G650" s="11">
        <v>2.7982124441371293E-4</v>
      </c>
      <c r="H650" s="12">
        <v>0.96836654475218842</v>
      </c>
      <c r="I650" t="s">
        <v>1242</v>
      </c>
      <c r="J650">
        <v>6</v>
      </c>
      <c r="K650" s="11">
        <f t="shared" si="60"/>
        <v>6.2155775398998981E-4</v>
      </c>
      <c r="L650" s="12">
        <f t="shared" si="65"/>
        <v>0.92195661649334315</v>
      </c>
      <c r="M650" t="str">
        <f t="shared" si="61"/>
        <v>B</v>
      </c>
      <c r="N650" t="str">
        <f t="shared" si="62"/>
        <v>BCB</v>
      </c>
      <c r="O650" s="11">
        <f>VLOOKUP(A650,XYZ!A649:G1452,2,FALSE)</f>
        <v>2.2360679774997894</v>
      </c>
      <c r="P650" t="str">
        <f t="shared" si="63"/>
        <v>Z</v>
      </c>
      <c r="Q650" t="str">
        <f t="shared" si="64"/>
        <v>BCBZ</v>
      </c>
    </row>
    <row r="651" spans="1:17" x14ac:dyDescent="0.15">
      <c r="A651" t="s">
        <v>1142</v>
      </c>
      <c r="B651" s="9">
        <v>1</v>
      </c>
      <c r="C651" s="13">
        <v>0</v>
      </c>
      <c r="D651" s="13">
        <v>0.98</v>
      </c>
      <c r="E651" s="9" t="s">
        <v>1242</v>
      </c>
      <c r="F651">
        <v>103</v>
      </c>
      <c r="G651" s="11">
        <v>2.7982124441371293E-4</v>
      </c>
      <c r="H651" s="12">
        <v>0.96864636599660214</v>
      </c>
      <c r="I651" t="s">
        <v>1242</v>
      </c>
      <c r="J651">
        <v>6</v>
      </c>
      <c r="K651" s="11">
        <f t="shared" si="60"/>
        <v>6.2155775398998981E-4</v>
      </c>
      <c r="L651" s="12">
        <f t="shared" si="65"/>
        <v>0.92257817424733313</v>
      </c>
      <c r="M651" t="str">
        <f t="shared" si="61"/>
        <v>B</v>
      </c>
      <c r="N651" t="str">
        <f t="shared" si="62"/>
        <v>CCB</v>
      </c>
      <c r="O651" s="11">
        <f>VLOOKUP(A651,XYZ!A650:G1453,2,FALSE)</f>
        <v>2.2360679774997894</v>
      </c>
      <c r="P651" t="str">
        <f t="shared" si="63"/>
        <v>Z</v>
      </c>
      <c r="Q651" t="str">
        <f t="shared" si="64"/>
        <v>CCBZ</v>
      </c>
    </row>
    <row r="652" spans="1:17" x14ac:dyDescent="0.15">
      <c r="A652" t="s">
        <v>677</v>
      </c>
      <c r="B652" s="9">
        <v>1</v>
      </c>
      <c r="C652" s="13">
        <v>0</v>
      </c>
      <c r="D652" s="13">
        <v>0.71</v>
      </c>
      <c r="E652" s="9" t="s">
        <v>1240</v>
      </c>
      <c r="F652">
        <v>102</v>
      </c>
      <c r="G652" s="11">
        <v>2.7710453330290018E-4</v>
      </c>
      <c r="H652" s="12">
        <v>0.96947767959651077</v>
      </c>
      <c r="I652" t="s">
        <v>1242</v>
      </c>
      <c r="J652">
        <v>6</v>
      </c>
      <c r="K652" s="11">
        <f t="shared" si="60"/>
        <v>6.2155775398998981E-4</v>
      </c>
      <c r="L652" s="12">
        <f t="shared" si="65"/>
        <v>0.9231997320013231</v>
      </c>
      <c r="M652" t="str">
        <f t="shared" si="61"/>
        <v>B</v>
      </c>
      <c r="N652" t="str">
        <f t="shared" si="62"/>
        <v>ACB</v>
      </c>
      <c r="O652" s="11">
        <f>VLOOKUP(A652,XYZ!A651:G1454,2,FALSE)</f>
        <v>2.2360679774997894</v>
      </c>
      <c r="P652" t="str">
        <f t="shared" si="63"/>
        <v>Z</v>
      </c>
      <c r="Q652" t="str">
        <f t="shared" si="64"/>
        <v>ACBZ</v>
      </c>
    </row>
    <row r="653" spans="1:17" x14ac:dyDescent="0.15">
      <c r="A653" t="s">
        <v>578</v>
      </c>
      <c r="B653" s="9">
        <v>1</v>
      </c>
      <c r="C653" s="13">
        <v>0</v>
      </c>
      <c r="D653" s="13">
        <v>0.75</v>
      </c>
      <c r="E653" s="9" t="s">
        <v>1240</v>
      </c>
      <c r="F653">
        <v>102</v>
      </c>
      <c r="G653" s="11">
        <v>2.7710453330290018E-4</v>
      </c>
      <c r="H653" s="12">
        <v>0.96975478412981364</v>
      </c>
      <c r="I653" t="s">
        <v>1242</v>
      </c>
      <c r="J653">
        <v>6</v>
      </c>
      <c r="K653" s="11">
        <f t="shared" si="60"/>
        <v>6.2155775398998981E-4</v>
      </c>
      <c r="L653" s="12">
        <f t="shared" si="65"/>
        <v>0.92382128975531308</v>
      </c>
      <c r="M653" t="str">
        <f t="shared" si="61"/>
        <v>B</v>
      </c>
      <c r="N653" t="str">
        <f t="shared" si="62"/>
        <v>ACB</v>
      </c>
      <c r="O653" s="11">
        <f>VLOOKUP(A653,XYZ!A652:G1455,2,FALSE)</f>
        <v>2.2360679774997894</v>
      </c>
      <c r="P653" t="str">
        <f t="shared" si="63"/>
        <v>Z</v>
      </c>
      <c r="Q653" t="str">
        <f t="shared" si="64"/>
        <v>ACBZ</v>
      </c>
    </row>
    <row r="654" spans="1:17" x14ac:dyDescent="0.15">
      <c r="A654" t="s">
        <v>103</v>
      </c>
      <c r="B654" s="9">
        <v>1</v>
      </c>
      <c r="C654" s="13">
        <v>0</v>
      </c>
      <c r="D654" s="13">
        <v>0.77</v>
      </c>
      <c r="E654" s="9" t="s">
        <v>1240</v>
      </c>
      <c r="F654">
        <v>102</v>
      </c>
      <c r="G654" s="11">
        <v>2.7710453330290018E-4</v>
      </c>
      <c r="H654" s="12">
        <v>0.97003188866311651</v>
      </c>
      <c r="I654" t="s">
        <v>1242</v>
      </c>
      <c r="J654">
        <v>6</v>
      </c>
      <c r="K654" s="11">
        <f t="shared" si="60"/>
        <v>6.2155775398998981E-4</v>
      </c>
      <c r="L654" s="12">
        <f t="shared" si="65"/>
        <v>0.92444284750930306</v>
      </c>
      <c r="M654" t="str">
        <f t="shared" si="61"/>
        <v>B</v>
      </c>
      <c r="N654" t="str">
        <f t="shared" si="62"/>
        <v>ACB</v>
      </c>
      <c r="O654" s="11">
        <f>VLOOKUP(A654,XYZ!A653:G1456,2,FALSE)</f>
        <v>2.2360679774997894</v>
      </c>
      <c r="P654" t="str">
        <f t="shared" si="63"/>
        <v>Z</v>
      </c>
      <c r="Q654" t="str">
        <f t="shared" si="64"/>
        <v>ACBZ</v>
      </c>
    </row>
    <row r="655" spans="1:17" x14ac:dyDescent="0.15">
      <c r="A655" t="s">
        <v>1181</v>
      </c>
      <c r="B655" s="9">
        <v>1</v>
      </c>
      <c r="C655" s="13">
        <v>0</v>
      </c>
      <c r="D655" s="13">
        <v>0.98</v>
      </c>
      <c r="E655" s="9" t="s">
        <v>1242</v>
      </c>
      <c r="F655">
        <v>102</v>
      </c>
      <c r="G655" s="11">
        <v>2.7710453330290018E-4</v>
      </c>
      <c r="H655" s="12">
        <v>0.97030899319641939</v>
      </c>
      <c r="I655" t="s">
        <v>1242</v>
      </c>
      <c r="J655">
        <v>6</v>
      </c>
      <c r="K655" s="11">
        <f t="shared" si="60"/>
        <v>6.2155775398998981E-4</v>
      </c>
      <c r="L655" s="12">
        <f t="shared" si="65"/>
        <v>0.92506440526329303</v>
      </c>
      <c r="M655" t="str">
        <f t="shared" si="61"/>
        <v>B</v>
      </c>
      <c r="N655" t="str">
        <f t="shared" si="62"/>
        <v>CCB</v>
      </c>
      <c r="O655" s="11">
        <f>VLOOKUP(A655,XYZ!A654:G1457,2,FALSE)</f>
        <v>2.2360679774997894</v>
      </c>
      <c r="P655" t="str">
        <f t="shared" si="63"/>
        <v>Z</v>
      </c>
      <c r="Q655" t="str">
        <f t="shared" si="64"/>
        <v>CCBZ</v>
      </c>
    </row>
    <row r="656" spans="1:17" x14ac:dyDescent="0.15">
      <c r="A656" t="s">
        <v>1150</v>
      </c>
      <c r="B656" s="9">
        <v>1</v>
      </c>
      <c r="C656" s="13">
        <v>0</v>
      </c>
      <c r="D656" s="13">
        <v>0.72</v>
      </c>
      <c r="E656" s="9" t="s">
        <v>1240</v>
      </c>
      <c r="F656">
        <v>101</v>
      </c>
      <c r="G656" s="11">
        <v>2.7438782219208743E-4</v>
      </c>
      <c r="H656" s="12">
        <v>0.97058338101861152</v>
      </c>
      <c r="I656" t="s">
        <v>1242</v>
      </c>
      <c r="J656">
        <v>6</v>
      </c>
      <c r="K656" s="11">
        <f t="shared" si="60"/>
        <v>6.2155775398998981E-4</v>
      </c>
      <c r="L656" s="12">
        <f t="shared" si="65"/>
        <v>0.92568596301728301</v>
      </c>
      <c r="M656" t="str">
        <f t="shared" si="61"/>
        <v>B</v>
      </c>
      <c r="N656" t="str">
        <f t="shared" si="62"/>
        <v>ACB</v>
      </c>
      <c r="O656" s="11">
        <f>VLOOKUP(A656,XYZ!A655:G1458,2,FALSE)</f>
        <v>2.2360679774997894</v>
      </c>
      <c r="P656" t="str">
        <f t="shared" si="63"/>
        <v>Z</v>
      </c>
      <c r="Q656" t="str">
        <f t="shared" si="64"/>
        <v>ACBZ</v>
      </c>
    </row>
    <row r="657" spans="1:17" x14ac:dyDescent="0.15">
      <c r="A657" t="s">
        <v>976</v>
      </c>
      <c r="B657" s="9">
        <v>1</v>
      </c>
      <c r="C657" s="13">
        <v>0</v>
      </c>
      <c r="D657" s="13">
        <v>0.82</v>
      </c>
      <c r="E657" s="9" t="s">
        <v>1241</v>
      </c>
      <c r="F657">
        <v>101</v>
      </c>
      <c r="G657" s="11">
        <v>2.7438782219208743E-4</v>
      </c>
      <c r="H657" s="12">
        <v>0.97085776884080366</v>
      </c>
      <c r="I657" t="s">
        <v>1242</v>
      </c>
      <c r="J657">
        <v>6</v>
      </c>
      <c r="K657" s="11">
        <f t="shared" si="60"/>
        <v>6.2155775398998981E-4</v>
      </c>
      <c r="L657" s="12">
        <f t="shared" si="65"/>
        <v>0.92630752077127299</v>
      </c>
      <c r="M657" t="str">
        <f t="shared" si="61"/>
        <v>B</v>
      </c>
      <c r="N657" t="str">
        <f t="shared" si="62"/>
        <v>BCB</v>
      </c>
      <c r="O657" s="11">
        <f>VLOOKUP(A657,XYZ!A656:G1459,2,FALSE)</f>
        <v>2.2360679774997894</v>
      </c>
      <c r="P657" t="str">
        <f t="shared" si="63"/>
        <v>Z</v>
      </c>
      <c r="Q657" t="str">
        <f t="shared" si="64"/>
        <v>BCBZ</v>
      </c>
    </row>
    <row r="658" spans="1:17" x14ac:dyDescent="0.15">
      <c r="A658" t="s">
        <v>1094</v>
      </c>
      <c r="B658" s="9">
        <v>1</v>
      </c>
      <c r="C658" s="13">
        <v>0</v>
      </c>
      <c r="D658" s="13">
        <v>0.91</v>
      </c>
      <c r="E658" s="9" t="s">
        <v>1241</v>
      </c>
      <c r="F658">
        <v>101</v>
      </c>
      <c r="G658" s="11">
        <v>2.7438782219208743E-4</v>
      </c>
      <c r="H658" s="12">
        <v>0.97113215666299579</v>
      </c>
      <c r="I658" t="s">
        <v>1242</v>
      </c>
      <c r="J658">
        <v>6</v>
      </c>
      <c r="K658" s="11">
        <f t="shared" si="60"/>
        <v>6.2155775398998981E-4</v>
      </c>
      <c r="L658" s="12">
        <f t="shared" si="65"/>
        <v>0.92692907852526296</v>
      </c>
      <c r="M658" t="str">
        <f t="shared" si="61"/>
        <v>B</v>
      </c>
      <c r="N658" t="str">
        <f t="shared" si="62"/>
        <v>BCB</v>
      </c>
      <c r="O658" s="11">
        <f>VLOOKUP(A658,XYZ!A657:G1460,2,FALSE)</f>
        <v>2.2360679774997894</v>
      </c>
      <c r="P658" t="str">
        <f t="shared" si="63"/>
        <v>Z</v>
      </c>
      <c r="Q658" t="str">
        <f t="shared" si="64"/>
        <v>BCBZ</v>
      </c>
    </row>
    <row r="659" spans="1:17" x14ac:dyDescent="0.15">
      <c r="A659" t="s">
        <v>878</v>
      </c>
      <c r="B659" s="9">
        <v>1</v>
      </c>
      <c r="C659" s="13">
        <v>0</v>
      </c>
      <c r="D659" s="13">
        <v>0.91</v>
      </c>
      <c r="E659" s="9" t="s">
        <v>1241</v>
      </c>
      <c r="F659">
        <v>101</v>
      </c>
      <c r="G659" s="11">
        <v>2.7438782219208743E-4</v>
      </c>
      <c r="H659" s="12">
        <v>0.97140654448518793</v>
      </c>
      <c r="I659" t="s">
        <v>1242</v>
      </c>
      <c r="J659">
        <v>6</v>
      </c>
      <c r="K659" s="11">
        <f t="shared" si="60"/>
        <v>6.2155775398998981E-4</v>
      </c>
      <c r="L659" s="12">
        <f t="shared" si="65"/>
        <v>0.92755063627925294</v>
      </c>
      <c r="M659" t="str">
        <f t="shared" si="61"/>
        <v>B</v>
      </c>
      <c r="N659" t="str">
        <f t="shared" si="62"/>
        <v>BCB</v>
      </c>
      <c r="O659" s="11">
        <f>VLOOKUP(A659,XYZ!A658:G1461,2,FALSE)</f>
        <v>2.2360679774997894</v>
      </c>
      <c r="P659" t="str">
        <f t="shared" si="63"/>
        <v>Z</v>
      </c>
      <c r="Q659" t="str">
        <f t="shared" si="64"/>
        <v>BCBZ</v>
      </c>
    </row>
    <row r="660" spans="1:17" x14ac:dyDescent="0.15">
      <c r="A660" t="s">
        <v>560</v>
      </c>
      <c r="B660" s="9">
        <v>1</v>
      </c>
      <c r="C660" s="13">
        <v>0</v>
      </c>
      <c r="D660" s="13">
        <v>0.83</v>
      </c>
      <c r="E660" s="9" t="s">
        <v>1241</v>
      </c>
      <c r="F660">
        <v>100</v>
      </c>
      <c r="G660" s="11">
        <v>2.7167111108127468E-4</v>
      </c>
      <c r="H660" s="12">
        <v>0.97249322892951306</v>
      </c>
      <c r="I660" t="s">
        <v>1242</v>
      </c>
      <c r="J660">
        <v>6</v>
      </c>
      <c r="K660" s="11">
        <f t="shared" si="60"/>
        <v>6.2155775398998981E-4</v>
      </c>
      <c r="L660" s="12">
        <f t="shared" si="65"/>
        <v>0.92817219403324291</v>
      </c>
      <c r="M660" t="str">
        <f t="shared" si="61"/>
        <v>B</v>
      </c>
      <c r="N660" t="str">
        <f t="shared" si="62"/>
        <v>BCB</v>
      </c>
      <c r="O660" s="11">
        <f>VLOOKUP(A660,XYZ!A659:G1462,2,FALSE)</f>
        <v>2.2360679774997894</v>
      </c>
      <c r="P660" t="str">
        <f t="shared" si="63"/>
        <v>Z</v>
      </c>
      <c r="Q660" t="str">
        <f t="shared" si="64"/>
        <v>BCBZ</v>
      </c>
    </row>
    <row r="661" spans="1:17" x14ac:dyDescent="0.15">
      <c r="A661" t="s">
        <v>635</v>
      </c>
      <c r="B661" s="9">
        <v>1</v>
      </c>
      <c r="C661" s="13">
        <v>0</v>
      </c>
      <c r="D661" s="13">
        <v>0.86</v>
      </c>
      <c r="E661" s="9" t="s">
        <v>1241</v>
      </c>
      <c r="F661">
        <v>100</v>
      </c>
      <c r="G661" s="11">
        <v>2.7167111108127468E-4</v>
      </c>
      <c r="H661" s="12">
        <v>0.97276490004059435</v>
      </c>
      <c r="I661" t="s">
        <v>1242</v>
      </c>
      <c r="J661">
        <v>6</v>
      </c>
      <c r="K661" s="11">
        <f t="shared" si="60"/>
        <v>6.2155775398998981E-4</v>
      </c>
      <c r="L661" s="12">
        <f t="shared" si="65"/>
        <v>0.92879375178723289</v>
      </c>
      <c r="M661" t="str">
        <f t="shared" si="61"/>
        <v>B</v>
      </c>
      <c r="N661" t="str">
        <f t="shared" si="62"/>
        <v>BCB</v>
      </c>
      <c r="O661" s="11">
        <f>VLOOKUP(A661,XYZ!A660:G1463,2,FALSE)</f>
        <v>2.2360679774997894</v>
      </c>
      <c r="P661" t="str">
        <f t="shared" si="63"/>
        <v>Z</v>
      </c>
      <c r="Q661" t="str">
        <f t="shared" si="64"/>
        <v>BCBZ</v>
      </c>
    </row>
    <row r="662" spans="1:17" x14ac:dyDescent="0.15">
      <c r="A662" t="s">
        <v>77</v>
      </c>
      <c r="B662" s="9">
        <v>1</v>
      </c>
      <c r="C662" s="13">
        <v>0</v>
      </c>
      <c r="D662" s="13">
        <v>0.95</v>
      </c>
      <c r="E662" s="9" t="s">
        <v>1241</v>
      </c>
      <c r="F662">
        <v>100</v>
      </c>
      <c r="G662" s="11">
        <v>2.7167111108127468E-4</v>
      </c>
      <c r="H662" s="12">
        <v>0.97303657115167563</v>
      </c>
      <c r="I662" t="s">
        <v>1242</v>
      </c>
      <c r="J662">
        <v>6</v>
      </c>
      <c r="K662" s="11">
        <f t="shared" si="60"/>
        <v>6.2155775398998981E-4</v>
      </c>
      <c r="L662" s="12">
        <f t="shared" si="65"/>
        <v>0.92941530954122287</v>
      </c>
      <c r="M662" t="str">
        <f t="shared" si="61"/>
        <v>B</v>
      </c>
      <c r="N662" t="str">
        <f t="shared" si="62"/>
        <v>BCB</v>
      </c>
      <c r="O662" s="11">
        <f>VLOOKUP(A662,XYZ!A661:G1464,2,FALSE)</f>
        <v>2.2360679774997894</v>
      </c>
      <c r="P662" t="str">
        <f t="shared" si="63"/>
        <v>Z</v>
      </c>
      <c r="Q662" t="str">
        <f t="shared" si="64"/>
        <v>BCBZ</v>
      </c>
    </row>
    <row r="663" spans="1:17" x14ac:dyDescent="0.15">
      <c r="A663" t="s">
        <v>576</v>
      </c>
      <c r="B663" s="9">
        <v>1</v>
      </c>
      <c r="C663" s="13">
        <v>0</v>
      </c>
      <c r="D663" s="13">
        <v>0.95</v>
      </c>
      <c r="E663" s="9" t="s">
        <v>1241</v>
      </c>
      <c r="F663">
        <v>99</v>
      </c>
      <c r="G663" s="11">
        <v>2.6895439997046193E-4</v>
      </c>
      <c r="H663" s="12">
        <v>0.97330552555164607</v>
      </c>
      <c r="I663" t="s">
        <v>1242</v>
      </c>
      <c r="J663">
        <v>6</v>
      </c>
      <c r="K663" s="11">
        <f t="shared" si="60"/>
        <v>6.2155775398998981E-4</v>
      </c>
      <c r="L663" s="12">
        <f t="shared" si="65"/>
        <v>0.93003686729521284</v>
      </c>
      <c r="M663" t="str">
        <f t="shared" si="61"/>
        <v>B</v>
      </c>
      <c r="N663" t="str">
        <f t="shared" si="62"/>
        <v>BCB</v>
      </c>
      <c r="O663" s="11">
        <f>VLOOKUP(A663,XYZ!A662:G1465,2,FALSE)</f>
        <v>2.2360679774997894</v>
      </c>
      <c r="P663" t="str">
        <f t="shared" si="63"/>
        <v>Z</v>
      </c>
      <c r="Q663" t="str">
        <f t="shared" si="64"/>
        <v>BCBZ</v>
      </c>
    </row>
    <row r="664" spans="1:17" x14ac:dyDescent="0.15">
      <c r="A664" t="s">
        <v>913</v>
      </c>
      <c r="B664" s="9">
        <v>1</v>
      </c>
      <c r="C664" s="13">
        <v>0</v>
      </c>
      <c r="D664" s="13">
        <v>0.7</v>
      </c>
      <c r="E664" s="9" t="s">
        <v>1240</v>
      </c>
      <c r="F664">
        <v>98</v>
      </c>
      <c r="G664" s="11">
        <v>2.6623768885964918E-4</v>
      </c>
      <c r="H664" s="12">
        <v>0.97357176324050576</v>
      </c>
      <c r="I664" t="s">
        <v>1242</v>
      </c>
      <c r="J664">
        <v>6</v>
      </c>
      <c r="K664" s="11">
        <f t="shared" si="60"/>
        <v>6.2155775398998981E-4</v>
      </c>
      <c r="L664" s="12">
        <f t="shared" si="65"/>
        <v>0.93065842504920282</v>
      </c>
      <c r="M664" t="str">
        <f t="shared" si="61"/>
        <v>B</v>
      </c>
      <c r="N664" t="str">
        <f t="shared" si="62"/>
        <v>ACB</v>
      </c>
      <c r="O664" s="11">
        <f>VLOOKUP(A664,XYZ!A663:G1466,2,FALSE)</f>
        <v>2.2360679774997894</v>
      </c>
      <c r="P664" t="str">
        <f t="shared" si="63"/>
        <v>Z</v>
      </c>
      <c r="Q664" t="str">
        <f t="shared" si="64"/>
        <v>ACBZ</v>
      </c>
    </row>
    <row r="665" spans="1:17" x14ac:dyDescent="0.15">
      <c r="A665" t="s">
        <v>699</v>
      </c>
      <c r="B665" s="9">
        <v>1</v>
      </c>
      <c r="C665" s="13">
        <v>0</v>
      </c>
      <c r="D665" s="13">
        <v>0.74</v>
      </c>
      <c r="E665" s="9" t="s">
        <v>1240</v>
      </c>
      <c r="F665">
        <v>98</v>
      </c>
      <c r="G665" s="11">
        <v>2.6623768885964918E-4</v>
      </c>
      <c r="H665" s="12">
        <v>0.97383800092936545</v>
      </c>
      <c r="I665" t="s">
        <v>1242</v>
      </c>
      <c r="J665">
        <v>6</v>
      </c>
      <c r="K665" s="11">
        <f t="shared" si="60"/>
        <v>6.2155775398998981E-4</v>
      </c>
      <c r="L665" s="12">
        <f t="shared" si="65"/>
        <v>0.9312799828031928</v>
      </c>
      <c r="M665" t="str">
        <f t="shared" si="61"/>
        <v>B</v>
      </c>
      <c r="N665" t="str">
        <f t="shared" si="62"/>
        <v>ACB</v>
      </c>
      <c r="O665" s="11">
        <f>VLOOKUP(A665,XYZ!A664:G1467,2,FALSE)</f>
        <v>2.2360679774997894</v>
      </c>
      <c r="P665" t="str">
        <f t="shared" si="63"/>
        <v>Z</v>
      </c>
      <c r="Q665" t="str">
        <f t="shared" si="64"/>
        <v>ACBZ</v>
      </c>
    </row>
    <row r="666" spans="1:17" x14ac:dyDescent="0.15">
      <c r="A666" t="s">
        <v>815</v>
      </c>
      <c r="B666" s="9">
        <v>1</v>
      </c>
      <c r="C666" s="13">
        <v>0</v>
      </c>
      <c r="D666" s="13">
        <v>0.86</v>
      </c>
      <c r="E666" s="9" t="s">
        <v>1241</v>
      </c>
      <c r="F666">
        <v>98</v>
      </c>
      <c r="G666" s="11">
        <v>2.6623768885964918E-4</v>
      </c>
      <c r="H666" s="12">
        <v>0.97410423861822515</v>
      </c>
      <c r="I666" t="s">
        <v>1242</v>
      </c>
      <c r="J666">
        <v>6</v>
      </c>
      <c r="K666" s="11">
        <f t="shared" si="60"/>
        <v>6.2155775398998981E-4</v>
      </c>
      <c r="L666" s="12">
        <f t="shared" si="65"/>
        <v>0.93190154055718277</v>
      </c>
      <c r="M666" t="str">
        <f t="shared" si="61"/>
        <v>B</v>
      </c>
      <c r="N666" t="str">
        <f t="shared" si="62"/>
        <v>BCB</v>
      </c>
      <c r="O666" s="11">
        <f>VLOOKUP(A666,XYZ!A665:G1468,2,FALSE)</f>
        <v>2.2360679774997894</v>
      </c>
      <c r="P666" t="str">
        <f t="shared" si="63"/>
        <v>Z</v>
      </c>
      <c r="Q666" t="str">
        <f t="shared" si="64"/>
        <v>BCBZ</v>
      </c>
    </row>
    <row r="667" spans="1:17" x14ac:dyDescent="0.15">
      <c r="A667" t="s">
        <v>1105</v>
      </c>
      <c r="B667" s="9">
        <v>1</v>
      </c>
      <c r="C667" s="13">
        <v>0</v>
      </c>
      <c r="D667" s="13">
        <v>0.98</v>
      </c>
      <c r="E667" s="9" t="s">
        <v>1242</v>
      </c>
      <c r="F667">
        <v>98</v>
      </c>
      <c r="G667" s="11">
        <v>2.6623768885964918E-4</v>
      </c>
      <c r="H667" s="12">
        <v>0.97437047630708484</v>
      </c>
      <c r="I667" t="s">
        <v>1242</v>
      </c>
      <c r="J667">
        <v>6</v>
      </c>
      <c r="K667" s="11">
        <f t="shared" si="60"/>
        <v>6.2155775398998981E-4</v>
      </c>
      <c r="L667" s="12">
        <f t="shared" si="65"/>
        <v>0.93252309831117275</v>
      </c>
      <c r="M667" t="str">
        <f t="shared" si="61"/>
        <v>B</v>
      </c>
      <c r="N667" t="str">
        <f t="shared" si="62"/>
        <v>CCB</v>
      </c>
      <c r="O667" s="11">
        <f>VLOOKUP(A667,XYZ!A666:G1469,2,FALSE)</f>
        <v>2.2360679774997894</v>
      </c>
      <c r="P667" t="str">
        <f t="shared" si="63"/>
        <v>Z</v>
      </c>
      <c r="Q667" t="str">
        <f t="shared" si="64"/>
        <v>CCBZ</v>
      </c>
    </row>
    <row r="668" spans="1:17" x14ac:dyDescent="0.15">
      <c r="A668" t="s">
        <v>463</v>
      </c>
      <c r="B668" s="9">
        <v>1</v>
      </c>
      <c r="C668" s="13">
        <v>0</v>
      </c>
      <c r="D668" s="13">
        <v>0.79</v>
      </c>
      <c r="E668" s="9" t="s">
        <v>1240</v>
      </c>
      <c r="F668">
        <v>97</v>
      </c>
      <c r="G668" s="11">
        <v>2.6352097774883643E-4</v>
      </c>
      <c r="H668" s="12">
        <v>0.97463399728483369</v>
      </c>
      <c r="I668" t="s">
        <v>1242</v>
      </c>
      <c r="J668">
        <v>6</v>
      </c>
      <c r="K668" s="11">
        <f t="shared" si="60"/>
        <v>6.2155775398998981E-4</v>
      </c>
      <c r="L668" s="12">
        <f t="shared" si="65"/>
        <v>0.93314465606516273</v>
      </c>
      <c r="M668" t="str">
        <f t="shared" si="61"/>
        <v>B</v>
      </c>
      <c r="N668" t="str">
        <f t="shared" si="62"/>
        <v>ACB</v>
      </c>
      <c r="O668" s="11">
        <f>VLOOKUP(A668,XYZ!A667:G1470,2,FALSE)</f>
        <v>2.2360679774997894</v>
      </c>
      <c r="P668" t="str">
        <f t="shared" si="63"/>
        <v>Z</v>
      </c>
      <c r="Q668" t="str">
        <f t="shared" si="64"/>
        <v>ACBZ</v>
      </c>
    </row>
    <row r="669" spans="1:17" x14ac:dyDescent="0.15">
      <c r="A669" t="s">
        <v>732</v>
      </c>
      <c r="B669" s="9">
        <v>1</v>
      </c>
      <c r="C669" s="13">
        <v>0</v>
      </c>
      <c r="D669" s="13">
        <v>0.96</v>
      </c>
      <c r="E669" s="9" t="s">
        <v>1242</v>
      </c>
      <c r="F669">
        <v>97</v>
      </c>
      <c r="G669" s="11">
        <v>2.6352097774883643E-4</v>
      </c>
      <c r="H669" s="12">
        <v>0.97489751826258253</v>
      </c>
      <c r="I669" t="s">
        <v>1242</v>
      </c>
      <c r="J669">
        <v>6</v>
      </c>
      <c r="K669" s="11">
        <f t="shared" si="60"/>
        <v>6.2155775398998981E-4</v>
      </c>
      <c r="L669" s="12">
        <f t="shared" si="65"/>
        <v>0.9337662138191527</v>
      </c>
      <c r="M669" t="str">
        <f t="shared" si="61"/>
        <v>B</v>
      </c>
      <c r="N669" t="str">
        <f t="shared" si="62"/>
        <v>CCB</v>
      </c>
      <c r="O669" s="11">
        <f>VLOOKUP(A669,XYZ!A668:G1471,2,FALSE)</f>
        <v>2.2360679774997894</v>
      </c>
      <c r="P669" t="str">
        <f t="shared" si="63"/>
        <v>Z</v>
      </c>
      <c r="Q669" t="str">
        <f t="shared" si="64"/>
        <v>CCBZ</v>
      </c>
    </row>
    <row r="670" spans="1:17" x14ac:dyDescent="0.15">
      <c r="A670" t="s">
        <v>863</v>
      </c>
      <c r="B670" s="9">
        <v>1</v>
      </c>
      <c r="C670" s="13">
        <v>0</v>
      </c>
      <c r="D670" s="13">
        <v>0.73</v>
      </c>
      <c r="E670" s="9" t="s">
        <v>1240</v>
      </c>
      <c r="F670">
        <v>96</v>
      </c>
      <c r="G670" s="11">
        <v>2.6080426663802368E-4</v>
      </c>
      <c r="H670" s="12">
        <v>0.9759407353291345</v>
      </c>
      <c r="I670" t="s">
        <v>1242</v>
      </c>
      <c r="J670">
        <v>6</v>
      </c>
      <c r="K670" s="11">
        <f t="shared" si="60"/>
        <v>6.2155775398998981E-4</v>
      </c>
      <c r="L670" s="12">
        <f t="shared" si="65"/>
        <v>0.93438777157314268</v>
      </c>
      <c r="M670" t="str">
        <f t="shared" si="61"/>
        <v>B</v>
      </c>
      <c r="N670" t="str">
        <f t="shared" si="62"/>
        <v>ACB</v>
      </c>
      <c r="O670" s="11">
        <f>VLOOKUP(A670,XYZ!A669:G1472,2,FALSE)</f>
        <v>2.2360679774997894</v>
      </c>
      <c r="P670" t="str">
        <f t="shared" si="63"/>
        <v>Z</v>
      </c>
      <c r="Q670" t="str">
        <f t="shared" si="64"/>
        <v>ACBZ</v>
      </c>
    </row>
    <row r="671" spans="1:17" x14ac:dyDescent="0.15">
      <c r="A671" t="s">
        <v>502</v>
      </c>
      <c r="B671" s="9">
        <v>1</v>
      </c>
      <c r="C671" s="13">
        <v>0</v>
      </c>
      <c r="D671" s="13">
        <v>0.84</v>
      </c>
      <c r="E671" s="9" t="s">
        <v>1241</v>
      </c>
      <c r="F671">
        <v>95</v>
      </c>
      <c r="G671" s="11">
        <v>2.5808755552721093E-4</v>
      </c>
      <c r="H671" s="12">
        <v>0.97619882288466175</v>
      </c>
      <c r="I671" t="s">
        <v>1242</v>
      </c>
      <c r="J671">
        <v>6</v>
      </c>
      <c r="K671" s="11">
        <f t="shared" si="60"/>
        <v>6.2155775398998981E-4</v>
      </c>
      <c r="L671" s="12">
        <f t="shared" si="65"/>
        <v>0.93500932932713265</v>
      </c>
      <c r="M671" t="str">
        <f t="shared" si="61"/>
        <v>B</v>
      </c>
      <c r="N671" t="str">
        <f t="shared" si="62"/>
        <v>BCB</v>
      </c>
      <c r="O671" s="11">
        <f>VLOOKUP(A671,XYZ!A670:G1473,2,FALSE)</f>
        <v>2.2360679774997894</v>
      </c>
      <c r="P671" t="str">
        <f t="shared" si="63"/>
        <v>Z</v>
      </c>
      <c r="Q671" t="str">
        <f t="shared" si="64"/>
        <v>BCBZ</v>
      </c>
    </row>
    <row r="672" spans="1:17" x14ac:dyDescent="0.15">
      <c r="A672" t="s">
        <v>896</v>
      </c>
      <c r="B672" s="9">
        <v>1</v>
      </c>
      <c r="C672" s="13">
        <v>0</v>
      </c>
      <c r="D672" s="13">
        <v>0.85</v>
      </c>
      <c r="E672" s="9" t="s">
        <v>1241</v>
      </c>
      <c r="F672">
        <v>93</v>
      </c>
      <c r="G672" s="11">
        <v>2.5265413330558543E-4</v>
      </c>
      <c r="H672" s="12">
        <v>0.9769597464996892</v>
      </c>
      <c r="I672" t="s">
        <v>1242</v>
      </c>
      <c r="J672">
        <v>6</v>
      </c>
      <c r="K672" s="11">
        <f t="shared" si="60"/>
        <v>6.2155775398998981E-4</v>
      </c>
      <c r="L672" s="12">
        <f t="shared" si="65"/>
        <v>0.93563088708112263</v>
      </c>
      <c r="M672" t="str">
        <f t="shared" si="61"/>
        <v>B</v>
      </c>
      <c r="N672" t="str">
        <f t="shared" si="62"/>
        <v>BCB</v>
      </c>
      <c r="O672" s="11">
        <f>VLOOKUP(A672,XYZ!A671:G1474,2,FALSE)</f>
        <v>2.2360679774997894</v>
      </c>
      <c r="P672" t="str">
        <f t="shared" si="63"/>
        <v>Z</v>
      </c>
      <c r="Q672" t="str">
        <f t="shared" si="64"/>
        <v>BCBZ</v>
      </c>
    </row>
    <row r="673" spans="1:17" x14ac:dyDescent="0.15">
      <c r="A673" t="s">
        <v>193</v>
      </c>
      <c r="B673" s="9">
        <v>1</v>
      </c>
      <c r="C673" s="13">
        <v>0</v>
      </c>
      <c r="D673" s="13">
        <v>0.84</v>
      </c>
      <c r="E673" s="9" t="s">
        <v>1241</v>
      </c>
      <c r="F673">
        <v>92</v>
      </c>
      <c r="G673" s="11">
        <v>2.4993742219477268E-4</v>
      </c>
      <c r="H673" s="12">
        <v>0.97745962134407882</v>
      </c>
      <c r="I673" t="s">
        <v>1242</v>
      </c>
      <c r="J673">
        <v>6</v>
      </c>
      <c r="K673" s="11">
        <f t="shared" si="60"/>
        <v>6.2155775398998981E-4</v>
      </c>
      <c r="L673" s="12">
        <f t="shared" si="65"/>
        <v>0.93625244483511261</v>
      </c>
      <c r="M673" t="str">
        <f t="shared" si="61"/>
        <v>B</v>
      </c>
      <c r="N673" t="str">
        <f t="shared" si="62"/>
        <v>BCB</v>
      </c>
      <c r="O673" s="11">
        <f>VLOOKUP(A673,XYZ!A672:G1475,2,FALSE)</f>
        <v>2.2360679774997894</v>
      </c>
      <c r="P673" t="str">
        <f t="shared" si="63"/>
        <v>Z</v>
      </c>
      <c r="Q673" t="str">
        <f t="shared" si="64"/>
        <v>BCBZ</v>
      </c>
    </row>
    <row r="674" spans="1:17" x14ac:dyDescent="0.15">
      <c r="A674" t="s">
        <v>1077</v>
      </c>
      <c r="B674" s="9">
        <v>1</v>
      </c>
      <c r="C674" s="13">
        <v>0</v>
      </c>
      <c r="D674" s="13">
        <v>0.87</v>
      </c>
      <c r="E674" s="9" t="s">
        <v>1241</v>
      </c>
      <c r="F674">
        <v>91</v>
      </c>
      <c r="G674" s="11">
        <v>2.4722071108395992E-4</v>
      </c>
      <c r="H674" s="12">
        <v>0.97770684205516278</v>
      </c>
      <c r="I674" t="s">
        <v>1242</v>
      </c>
      <c r="J674">
        <v>6</v>
      </c>
      <c r="K674" s="11">
        <f t="shared" si="60"/>
        <v>6.2155775398998981E-4</v>
      </c>
      <c r="L674" s="12">
        <f t="shared" si="65"/>
        <v>0.93687400258910258</v>
      </c>
      <c r="M674" t="str">
        <f t="shared" si="61"/>
        <v>B</v>
      </c>
      <c r="N674" t="str">
        <f t="shared" si="62"/>
        <v>BCB</v>
      </c>
      <c r="O674" s="11">
        <f>VLOOKUP(A674,XYZ!A673:G1476,2,FALSE)</f>
        <v>2.2360679774997894</v>
      </c>
      <c r="P674" t="str">
        <f t="shared" si="63"/>
        <v>Z</v>
      </c>
      <c r="Q674" t="str">
        <f t="shared" si="64"/>
        <v>BCBZ</v>
      </c>
    </row>
    <row r="675" spans="1:17" x14ac:dyDescent="0.15">
      <c r="A675" t="s">
        <v>482</v>
      </c>
      <c r="B675" s="9">
        <v>1</v>
      </c>
      <c r="C675" s="13">
        <v>0</v>
      </c>
      <c r="D675" s="13">
        <v>0.96</v>
      </c>
      <c r="E675" s="9" t="s">
        <v>1242</v>
      </c>
      <c r="F675">
        <v>91</v>
      </c>
      <c r="G675" s="11">
        <v>2.4722071108395992E-4</v>
      </c>
      <c r="H675" s="12">
        <v>0.97795406276624675</v>
      </c>
      <c r="I675" t="s">
        <v>1242</v>
      </c>
      <c r="J675">
        <v>6</v>
      </c>
      <c r="K675" s="11">
        <f t="shared" si="60"/>
        <v>6.2155775398998981E-4</v>
      </c>
      <c r="L675" s="12">
        <f t="shared" si="65"/>
        <v>0.93749556034309256</v>
      </c>
      <c r="M675" t="str">
        <f t="shared" si="61"/>
        <v>B</v>
      </c>
      <c r="N675" t="str">
        <f t="shared" si="62"/>
        <v>CCB</v>
      </c>
      <c r="O675" s="11">
        <f>VLOOKUP(A675,XYZ!A674:G1477,2,FALSE)</f>
        <v>2.2360679774997894</v>
      </c>
      <c r="P675" t="str">
        <f t="shared" si="63"/>
        <v>Z</v>
      </c>
      <c r="Q675" t="str">
        <f t="shared" si="64"/>
        <v>CCBZ</v>
      </c>
    </row>
    <row r="676" spans="1:17" x14ac:dyDescent="0.15">
      <c r="A676" t="s">
        <v>1127</v>
      </c>
      <c r="B676" s="9">
        <v>1</v>
      </c>
      <c r="C676" s="13">
        <v>0</v>
      </c>
      <c r="D676" s="13">
        <v>0.69</v>
      </c>
      <c r="E676" s="9" t="s">
        <v>1240</v>
      </c>
      <c r="F676">
        <v>89</v>
      </c>
      <c r="G676" s="11">
        <v>2.4178728886233445E-4</v>
      </c>
      <c r="H676" s="12">
        <v>0.97819585005510912</v>
      </c>
      <c r="I676" t="s">
        <v>1242</v>
      </c>
      <c r="J676">
        <v>6</v>
      </c>
      <c r="K676" s="11">
        <f t="shared" si="60"/>
        <v>6.2155775398998981E-4</v>
      </c>
      <c r="L676" s="12">
        <f t="shared" si="65"/>
        <v>0.93811711809708254</v>
      </c>
      <c r="M676" t="str">
        <f t="shared" si="61"/>
        <v>B</v>
      </c>
      <c r="N676" t="str">
        <f t="shared" si="62"/>
        <v>ACB</v>
      </c>
      <c r="O676" s="11">
        <f>VLOOKUP(A676,XYZ!A675:G1478,2,FALSE)</f>
        <v>2.2360679774997894</v>
      </c>
      <c r="P676" t="str">
        <f t="shared" si="63"/>
        <v>Z</v>
      </c>
      <c r="Q676" t="str">
        <f t="shared" si="64"/>
        <v>ACBZ</v>
      </c>
    </row>
    <row r="677" spans="1:17" x14ac:dyDescent="0.15">
      <c r="A677" t="s">
        <v>221</v>
      </c>
      <c r="B677" s="9">
        <v>1</v>
      </c>
      <c r="C677" s="13">
        <v>0</v>
      </c>
      <c r="D677" s="13">
        <v>0.99</v>
      </c>
      <c r="E677" s="9" t="s">
        <v>1242</v>
      </c>
      <c r="F677">
        <v>88</v>
      </c>
      <c r="G677" s="11">
        <v>2.390705777515217E-4</v>
      </c>
      <c r="H677" s="12">
        <v>0.97939419132608863</v>
      </c>
      <c r="I677" t="s">
        <v>1242</v>
      </c>
      <c r="J677">
        <v>6</v>
      </c>
      <c r="K677" s="11">
        <f t="shared" si="60"/>
        <v>6.2155775398998981E-4</v>
      </c>
      <c r="L677" s="12">
        <f t="shared" si="65"/>
        <v>0.93873867585107251</v>
      </c>
      <c r="M677" t="str">
        <f t="shared" si="61"/>
        <v>B</v>
      </c>
      <c r="N677" t="str">
        <f t="shared" si="62"/>
        <v>CCB</v>
      </c>
      <c r="O677" s="11">
        <f>VLOOKUP(A677,XYZ!A676:G1479,2,FALSE)</f>
        <v>2.2360679774997894</v>
      </c>
      <c r="P677" t="str">
        <f t="shared" si="63"/>
        <v>Z</v>
      </c>
      <c r="Q677" t="str">
        <f t="shared" si="64"/>
        <v>CCBZ</v>
      </c>
    </row>
    <row r="678" spans="1:17" x14ac:dyDescent="0.15">
      <c r="A678" t="s">
        <v>643</v>
      </c>
      <c r="B678" s="9">
        <v>1</v>
      </c>
      <c r="C678" s="13">
        <v>0</v>
      </c>
      <c r="D678" s="13">
        <v>0.85</v>
      </c>
      <c r="E678" s="9" t="s">
        <v>1241</v>
      </c>
      <c r="F678">
        <v>87</v>
      </c>
      <c r="G678" s="11">
        <v>2.3635386664070898E-4</v>
      </c>
      <c r="H678" s="12">
        <v>0.97986689905936997</v>
      </c>
      <c r="I678" t="s">
        <v>1242</v>
      </c>
      <c r="J678">
        <v>6</v>
      </c>
      <c r="K678" s="11">
        <f t="shared" si="60"/>
        <v>6.2155775398998981E-4</v>
      </c>
      <c r="L678" s="12">
        <f t="shared" si="65"/>
        <v>0.93936023360506249</v>
      </c>
      <c r="M678" t="str">
        <f t="shared" si="61"/>
        <v>B</v>
      </c>
      <c r="N678" t="str">
        <f t="shared" si="62"/>
        <v>BCB</v>
      </c>
      <c r="O678" s="11">
        <f>VLOOKUP(A678,XYZ!A677:G1480,2,FALSE)</f>
        <v>2.2360679774997894</v>
      </c>
      <c r="P678" t="str">
        <f t="shared" si="63"/>
        <v>Z</v>
      </c>
      <c r="Q678" t="str">
        <f t="shared" si="64"/>
        <v>BCBZ</v>
      </c>
    </row>
    <row r="679" spans="1:17" x14ac:dyDescent="0.15">
      <c r="A679" t="s">
        <v>1070</v>
      </c>
      <c r="B679" s="9">
        <v>1</v>
      </c>
      <c r="C679" s="13">
        <v>0</v>
      </c>
      <c r="D679" s="13">
        <v>0.89</v>
      </c>
      <c r="E679" s="9" t="s">
        <v>1241</v>
      </c>
      <c r="F679">
        <v>87</v>
      </c>
      <c r="G679" s="11">
        <v>2.3635386664070898E-4</v>
      </c>
      <c r="H679" s="12">
        <v>0.98010325292601064</v>
      </c>
      <c r="I679" t="s">
        <v>1242</v>
      </c>
      <c r="J679">
        <v>6</v>
      </c>
      <c r="K679" s="11">
        <f t="shared" si="60"/>
        <v>6.2155775398998981E-4</v>
      </c>
      <c r="L679" s="12">
        <f t="shared" si="65"/>
        <v>0.93998179135905247</v>
      </c>
      <c r="M679" t="str">
        <f t="shared" si="61"/>
        <v>B</v>
      </c>
      <c r="N679" t="str">
        <f t="shared" si="62"/>
        <v>BCB</v>
      </c>
      <c r="O679" s="11">
        <f>VLOOKUP(A679,XYZ!A678:G1481,2,FALSE)</f>
        <v>2.2360679774997894</v>
      </c>
      <c r="P679" t="str">
        <f t="shared" si="63"/>
        <v>Z</v>
      </c>
      <c r="Q679" t="str">
        <f t="shared" si="64"/>
        <v>BCBZ</v>
      </c>
    </row>
    <row r="680" spans="1:17" x14ac:dyDescent="0.15">
      <c r="A680" t="s">
        <v>347</v>
      </c>
      <c r="B680" s="9">
        <v>1</v>
      </c>
      <c r="C680" s="13">
        <v>0</v>
      </c>
      <c r="D680" s="13">
        <v>0.94</v>
      </c>
      <c r="E680" s="9" t="s">
        <v>1241</v>
      </c>
      <c r="F680">
        <v>87</v>
      </c>
      <c r="G680" s="11">
        <v>2.3635386664070898E-4</v>
      </c>
      <c r="H680" s="12">
        <v>0.98033960679265131</v>
      </c>
      <c r="I680" t="s">
        <v>1242</v>
      </c>
      <c r="J680">
        <v>6</v>
      </c>
      <c r="K680" s="11">
        <f t="shared" si="60"/>
        <v>6.2155775398998981E-4</v>
      </c>
      <c r="L680" s="12">
        <f t="shared" si="65"/>
        <v>0.94060334911304244</v>
      </c>
      <c r="M680" t="str">
        <f t="shared" si="61"/>
        <v>B</v>
      </c>
      <c r="N680" t="str">
        <f t="shared" si="62"/>
        <v>BCB</v>
      </c>
      <c r="O680" s="11">
        <f>VLOOKUP(A680,XYZ!A679:G1482,2,FALSE)</f>
        <v>2.2360679774997894</v>
      </c>
      <c r="P680" t="str">
        <f t="shared" si="63"/>
        <v>Z</v>
      </c>
      <c r="Q680" t="str">
        <f t="shared" si="64"/>
        <v>BCBZ</v>
      </c>
    </row>
    <row r="681" spans="1:17" x14ac:dyDescent="0.15">
      <c r="A681" t="s">
        <v>846</v>
      </c>
      <c r="B681" s="9">
        <v>1</v>
      </c>
      <c r="C681" s="13">
        <v>0</v>
      </c>
      <c r="D681" s="13">
        <v>0.96</v>
      </c>
      <c r="E681" s="9" t="s">
        <v>1242</v>
      </c>
      <c r="F681">
        <v>84</v>
      </c>
      <c r="G681" s="11">
        <v>2.2820373330827072E-4</v>
      </c>
      <c r="H681" s="12">
        <v>0.98080144768148947</v>
      </c>
      <c r="I681" t="s">
        <v>1242</v>
      </c>
      <c r="J681">
        <v>6</v>
      </c>
      <c r="K681" s="11">
        <f t="shared" si="60"/>
        <v>6.2155775398998981E-4</v>
      </c>
      <c r="L681" s="12">
        <f t="shared" si="65"/>
        <v>0.94122490686703242</v>
      </c>
      <c r="M681" t="str">
        <f t="shared" si="61"/>
        <v>B</v>
      </c>
      <c r="N681" t="str">
        <f t="shared" si="62"/>
        <v>CCB</v>
      </c>
      <c r="O681" s="11">
        <f>VLOOKUP(A681,XYZ!A680:G1483,2,FALSE)</f>
        <v>2.2360679774997894</v>
      </c>
      <c r="P681" t="str">
        <f t="shared" si="63"/>
        <v>Z</v>
      </c>
      <c r="Q681" t="str">
        <f t="shared" si="64"/>
        <v>CCBZ</v>
      </c>
    </row>
    <row r="682" spans="1:17" x14ac:dyDescent="0.15">
      <c r="A682" t="s">
        <v>774</v>
      </c>
      <c r="B682" s="9">
        <v>1</v>
      </c>
      <c r="C682" s="13">
        <v>0</v>
      </c>
      <c r="D682" s="13">
        <v>0.77</v>
      </c>
      <c r="E682" s="9" t="s">
        <v>1240</v>
      </c>
      <c r="F682">
        <v>83</v>
      </c>
      <c r="G682" s="11">
        <v>2.2548702219745797E-4</v>
      </c>
      <c r="H682" s="12">
        <v>0.98125242172588445</v>
      </c>
      <c r="I682" t="s">
        <v>1242</v>
      </c>
      <c r="J682">
        <v>6</v>
      </c>
      <c r="K682" s="11">
        <f t="shared" si="60"/>
        <v>6.2155775398998981E-4</v>
      </c>
      <c r="L682" s="12">
        <f t="shared" si="65"/>
        <v>0.94184646462102239</v>
      </c>
      <c r="M682" t="str">
        <f t="shared" si="61"/>
        <v>B</v>
      </c>
      <c r="N682" t="str">
        <f t="shared" si="62"/>
        <v>ACB</v>
      </c>
      <c r="O682" s="11">
        <f>VLOOKUP(A682,XYZ!A681:G1484,2,FALSE)</f>
        <v>2.2360679774997894</v>
      </c>
      <c r="P682" t="str">
        <f t="shared" si="63"/>
        <v>Z</v>
      </c>
      <c r="Q682" t="str">
        <f t="shared" si="64"/>
        <v>ACBZ</v>
      </c>
    </row>
    <row r="683" spans="1:17" x14ac:dyDescent="0.15">
      <c r="A683" t="s">
        <v>910</v>
      </c>
      <c r="B683" s="9">
        <v>1</v>
      </c>
      <c r="C683" s="13">
        <v>0</v>
      </c>
      <c r="D683" s="13">
        <v>0.87</v>
      </c>
      <c r="E683" s="9" t="s">
        <v>1241</v>
      </c>
      <c r="F683">
        <v>83</v>
      </c>
      <c r="G683" s="11">
        <v>2.2548702219745797E-4</v>
      </c>
      <c r="H683" s="12">
        <v>0.98147790874808194</v>
      </c>
      <c r="I683" t="s">
        <v>1242</v>
      </c>
      <c r="J683">
        <v>6</v>
      </c>
      <c r="K683" s="11">
        <f t="shared" si="60"/>
        <v>6.2155775398998981E-4</v>
      </c>
      <c r="L683" s="12">
        <f t="shared" si="65"/>
        <v>0.94246802237501237</v>
      </c>
      <c r="M683" t="str">
        <f t="shared" si="61"/>
        <v>B</v>
      </c>
      <c r="N683" t="str">
        <f t="shared" si="62"/>
        <v>BCB</v>
      </c>
      <c r="O683" s="11">
        <f>VLOOKUP(A683,XYZ!A682:G1485,2,FALSE)</f>
        <v>2.2360679774997894</v>
      </c>
      <c r="P683" t="str">
        <f t="shared" si="63"/>
        <v>Z</v>
      </c>
      <c r="Q683" t="str">
        <f t="shared" si="64"/>
        <v>BCBZ</v>
      </c>
    </row>
    <row r="684" spans="1:17" x14ac:dyDescent="0.15">
      <c r="A684" t="s">
        <v>624</v>
      </c>
      <c r="B684" s="9">
        <v>1</v>
      </c>
      <c r="C684" s="13">
        <v>0</v>
      </c>
      <c r="D684" s="13">
        <v>0.99</v>
      </c>
      <c r="E684" s="9" t="s">
        <v>1242</v>
      </c>
      <c r="F684">
        <v>83</v>
      </c>
      <c r="G684" s="11">
        <v>2.2548702219745797E-4</v>
      </c>
      <c r="H684" s="12">
        <v>0.98170339577027943</v>
      </c>
      <c r="I684" t="s">
        <v>1242</v>
      </c>
      <c r="J684">
        <v>6</v>
      </c>
      <c r="K684" s="11">
        <f t="shared" si="60"/>
        <v>6.2155775398998981E-4</v>
      </c>
      <c r="L684" s="12">
        <f t="shared" si="65"/>
        <v>0.94308958012900235</v>
      </c>
      <c r="M684" t="str">
        <f t="shared" si="61"/>
        <v>B</v>
      </c>
      <c r="N684" t="str">
        <f t="shared" si="62"/>
        <v>CCB</v>
      </c>
      <c r="O684" s="11">
        <f>VLOOKUP(A684,XYZ!A683:G1486,2,FALSE)</f>
        <v>2.2360679774997894</v>
      </c>
      <c r="P684" t="str">
        <f t="shared" si="63"/>
        <v>Z</v>
      </c>
      <c r="Q684" t="str">
        <f t="shared" si="64"/>
        <v>CCBZ</v>
      </c>
    </row>
    <row r="685" spans="1:17" x14ac:dyDescent="0.15">
      <c r="A685" t="s">
        <v>977</v>
      </c>
      <c r="B685" s="9">
        <v>1</v>
      </c>
      <c r="C685" s="13">
        <v>0</v>
      </c>
      <c r="D685" s="13">
        <v>0.84</v>
      </c>
      <c r="E685" s="9" t="s">
        <v>1241</v>
      </c>
      <c r="F685">
        <v>82</v>
      </c>
      <c r="G685" s="11">
        <v>2.2277031108664522E-4</v>
      </c>
      <c r="H685" s="12">
        <v>0.98259447701462599</v>
      </c>
      <c r="I685" t="s">
        <v>1242</v>
      </c>
      <c r="J685">
        <v>6</v>
      </c>
      <c r="K685" s="11">
        <f t="shared" si="60"/>
        <v>6.2155775398998981E-4</v>
      </c>
      <c r="L685" s="12">
        <f t="shared" si="65"/>
        <v>0.94371113788299232</v>
      </c>
      <c r="M685" t="str">
        <f t="shared" si="61"/>
        <v>B</v>
      </c>
      <c r="N685" t="str">
        <f t="shared" si="62"/>
        <v>BCB</v>
      </c>
      <c r="O685" s="11">
        <f>VLOOKUP(A685,XYZ!A684:G1487,2,FALSE)</f>
        <v>2.2360679774997894</v>
      </c>
      <c r="P685" t="str">
        <f t="shared" si="63"/>
        <v>Z</v>
      </c>
      <c r="Q685" t="str">
        <f t="shared" si="64"/>
        <v>BCBZ</v>
      </c>
    </row>
    <row r="686" spans="1:17" x14ac:dyDescent="0.15">
      <c r="A686" t="s">
        <v>736</v>
      </c>
      <c r="B686" s="9">
        <v>1</v>
      </c>
      <c r="C686" s="13">
        <v>0</v>
      </c>
      <c r="D686" s="13">
        <v>0.83</v>
      </c>
      <c r="E686" s="9" t="s">
        <v>1241</v>
      </c>
      <c r="F686">
        <v>81</v>
      </c>
      <c r="G686" s="11">
        <v>2.2005359997583247E-4</v>
      </c>
      <c r="H686" s="12">
        <v>0.98281453061460178</v>
      </c>
      <c r="I686" t="s">
        <v>1242</v>
      </c>
      <c r="J686">
        <v>6</v>
      </c>
      <c r="K686" s="11">
        <f t="shared" si="60"/>
        <v>6.2155775398998981E-4</v>
      </c>
      <c r="L686" s="12">
        <f t="shared" si="65"/>
        <v>0.9443326956369823</v>
      </c>
      <c r="M686" t="str">
        <f t="shared" si="61"/>
        <v>B</v>
      </c>
      <c r="N686" t="str">
        <f t="shared" si="62"/>
        <v>BCB</v>
      </c>
      <c r="O686" s="11">
        <f>VLOOKUP(A686,XYZ!A685:G1488,2,FALSE)</f>
        <v>2.2360679774997894</v>
      </c>
      <c r="P686" t="str">
        <f t="shared" si="63"/>
        <v>Z</v>
      </c>
      <c r="Q686" t="str">
        <f t="shared" si="64"/>
        <v>BCBZ</v>
      </c>
    </row>
    <row r="687" spans="1:17" x14ac:dyDescent="0.15">
      <c r="A687" t="s">
        <v>205</v>
      </c>
      <c r="B687" s="9">
        <v>1</v>
      </c>
      <c r="C687" s="13">
        <v>0</v>
      </c>
      <c r="D687" s="13">
        <v>0.88</v>
      </c>
      <c r="E687" s="9" t="s">
        <v>1241</v>
      </c>
      <c r="F687">
        <v>81</v>
      </c>
      <c r="G687" s="11">
        <v>2.2005359997583247E-4</v>
      </c>
      <c r="H687" s="12">
        <v>0.98303458421457757</v>
      </c>
      <c r="I687" t="s">
        <v>1242</v>
      </c>
      <c r="J687">
        <v>6</v>
      </c>
      <c r="K687" s="11">
        <f t="shared" si="60"/>
        <v>6.2155775398998981E-4</v>
      </c>
      <c r="L687" s="12">
        <f t="shared" si="65"/>
        <v>0.94495425339097228</v>
      </c>
      <c r="M687" t="str">
        <f t="shared" si="61"/>
        <v>B</v>
      </c>
      <c r="N687" t="str">
        <f t="shared" si="62"/>
        <v>BCB</v>
      </c>
      <c r="O687" s="11">
        <f>VLOOKUP(A687,XYZ!A686:G1489,2,FALSE)</f>
        <v>2.2360679774997894</v>
      </c>
      <c r="P687" t="str">
        <f t="shared" si="63"/>
        <v>Z</v>
      </c>
      <c r="Q687" t="str">
        <f t="shared" si="64"/>
        <v>BCBZ</v>
      </c>
    </row>
    <row r="688" spans="1:17" x14ac:dyDescent="0.15">
      <c r="A688" t="s">
        <v>1010</v>
      </c>
      <c r="B688" s="9">
        <v>1</v>
      </c>
      <c r="C688" s="13">
        <v>0</v>
      </c>
      <c r="D688" s="13">
        <v>0.92</v>
      </c>
      <c r="E688" s="9" t="s">
        <v>1241</v>
      </c>
      <c r="F688">
        <v>81</v>
      </c>
      <c r="G688" s="11">
        <v>2.2005359997583247E-4</v>
      </c>
      <c r="H688" s="12">
        <v>0.98325463781455336</v>
      </c>
      <c r="I688" t="s">
        <v>1242</v>
      </c>
      <c r="J688">
        <v>6</v>
      </c>
      <c r="K688" s="11">
        <f t="shared" si="60"/>
        <v>6.2155775398998981E-4</v>
      </c>
      <c r="L688" s="12">
        <f t="shared" si="65"/>
        <v>0.94557581114496225</v>
      </c>
      <c r="M688" t="str">
        <f t="shared" si="61"/>
        <v>B</v>
      </c>
      <c r="N688" t="str">
        <f t="shared" si="62"/>
        <v>BCB</v>
      </c>
      <c r="O688" s="11">
        <f>VLOOKUP(A688,XYZ!A687:G1490,2,FALSE)</f>
        <v>2.2360679774997894</v>
      </c>
      <c r="P688" t="str">
        <f t="shared" si="63"/>
        <v>Z</v>
      </c>
      <c r="Q688" t="str">
        <f t="shared" si="64"/>
        <v>BCBZ</v>
      </c>
    </row>
    <row r="689" spans="1:17" x14ac:dyDescent="0.15">
      <c r="A689" t="s">
        <v>227</v>
      </c>
      <c r="B689" s="9">
        <v>1</v>
      </c>
      <c r="C689" s="13">
        <v>0</v>
      </c>
      <c r="D689" s="13">
        <v>0.76</v>
      </c>
      <c r="E689" s="9" t="s">
        <v>1240</v>
      </c>
      <c r="F689">
        <v>80</v>
      </c>
      <c r="G689" s="11">
        <v>2.1733688886501975E-4</v>
      </c>
      <c r="H689" s="12">
        <v>0.9839066484811485</v>
      </c>
      <c r="I689" t="s">
        <v>1242</v>
      </c>
      <c r="J689">
        <v>6</v>
      </c>
      <c r="K689" s="11">
        <f t="shared" si="60"/>
        <v>6.2155775398998981E-4</v>
      </c>
      <c r="L689" s="12">
        <f t="shared" si="65"/>
        <v>0.94619736889895223</v>
      </c>
      <c r="M689" t="str">
        <f t="shared" si="61"/>
        <v>B</v>
      </c>
      <c r="N689" t="str">
        <f t="shared" si="62"/>
        <v>ACB</v>
      </c>
      <c r="O689" s="11">
        <f>VLOOKUP(A689,XYZ!A688:G1491,2,FALSE)</f>
        <v>2.2360679774997894</v>
      </c>
      <c r="P689" t="str">
        <f t="shared" si="63"/>
        <v>Z</v>
      </c>
      <c r="Q689" t="str">
        <f t="shared" si="64"/>
        <v>ACBZ</v>
      </c>
    </row>
    <row r="690" spans="1:17" x14ac:dyDescent="0.15">
      <c r="A690" t="s">
        <v>300</v>
      </c>
      <c r="B690" s="9">
        <v>1</v>
      </c>
      <c r="C690" s="13">
        <v>0</v>
      </c>
      <c r="D690" s="13">
        <v>0.87</v>
      </c>
      <c r="E690" s="9" t="s">
        <v>1241</v>
      </c>
      <c r="F690">
        <v>79</v>
      </c>
      <c r="G690" s="11">
        <v>2.14620177754207E-4</v>
      </c>
      <c r="H690" s="12">
        <v>0.9841212686589027</v>
      </c>
      <c r="I690" t="s">
        <v>1242</v>
      </c>
      <c r="J690">
        <v>6</v>
      </c>
      <c r="K690" s="11">
        <f t="shared" si="60"/>
        <v>6.2155775398998981E-4</v>
      </c>
      <c r="L690" s="12">
        <f t="shared" si="65"/>
        <v>0.94681892665294221</v>
      </c>
      <c r="M690" t="str">
        <f t="shared" si="61"/>
        <v>B</v>
      </c>
      <c r="N690" t="str">
        <f t="shared" si="62"/>
        <v>BCB</v>
      </c>
      <c r="O690" s="11">
        <f>VLOOKUP(A690,XYZ!A689:G1492,2,FALSE)</f>
        <v>2.2360679774997894</v>
      </c>
      <c r="P690" t="str">
        <f t="shared" si="63"/>
        <v>Z</v>
      </c>
      <c r="Q690" t="str">
        <f t="shared" si="64"/>
        <v>BCBZ</v>
      </c>
    </row>
    <row r="691" spans="1:17" x14ac:dyDescent="0.15">
      <c r="A691" t="s">
        <v>701</v>
      </c>
      <c r="B691" s="9">
        <v>1</v>
      </c>
      <c r="C691" s="13">
        <v>0</v>
      </c>
      <c r="D691" s="13">
        <v>0.9</v>
      </c>
      <c r="E691" s="9" t="s">
        <v>1241</v>
      </c>
      <c r="F691">
        <v>79</v>
      </c>
      <c r="G691" s="11">
        <v>2.14620177754207E-4</v>
      </c>
      <c r="H691" s="12">
        <v>0.9843358888366569</v>
      </c>
      <c r="I691" t="s">
        <v>1242</v>
      </c>
      <c r="J691">
        <v>6</v>
      </c>
      <c r="K691" s="11">
        <f t="shared" si="60"/>
        <v>6.2155775398998981E-4</v>
      </c>
      <c r="L691" s="12">
        <f t="shared" si="65"/>
        <v>0.94744048440693218</v>
      </c>
      <c r="M691" t="str">
        <f t="shared" si="61"/>
        <v>B</v>
      </c>
      <c r="N691" t="str">
        <f t="shared" si="62"/>
        <v>BCB</v>
      </c>
      <c r="O691" s="11">
        <f>VLOOKUP(A691,XYZ!A690:G1493,2,FALSE)</f>
        <v>2.2360679774997894</v>
      </c>
      <c r="P691" t="str">
        <f t="shared" si="63"/>
        <v>Z</v>
      </c>
      <c r="Q691" t="str">
        <f t="shared" si="64"/>
        <v>BCBZ</v>
      </c>
    </row>
    <row r="692" spans="1:17" x14ac:dyDescent="0.15">
      <c r="A692" t="s">
        <v>401</v>
      </c>
      <c r="B692" s="9">
        <v>1</v>
      </c>
      <c r="C692" s="13">
        <v>0</v>
      </c>
      <c r="D692" s="13">
        <v>0.79</v>
      </c>
      <c r="E692" s="9" t="s">
        <v>1240</v>
      </c>
      <c r="F692">
        <v>78</v>
      </c>
      <c r="G692" s="11">
        <v>2.1190346664339425E-4</v>
      </c>
      <c r="H692" s="12">
        <v>0.9851835027032303</v>
      </c>
      <c r="I692" t="s">
        <v>1242</v>
      </c>
      <c r="J692">
        <v>6</v>
      </c>
      <c r="K692" s="11">
        <f t="shared" si="60"/>
        <v>6.2155775398998981E-4</v>
      </c>
      <c r="L692" s="12">
        <f t="shared" si="65"/>
        <v>0.94806204216092216</v>
      </c>
      <c r="M692" t="str">
        <f t="shared" si="61"/>
        <v>B</v>
      </c>
      <c r="N692" t="str">
        <f t="shared" si="62"/>
        <v>ACB</v>
      </c>
      <c r="O692" s="11">
        <f>VLOOKUP(A692,XYZ!A691:G1494,2,FALSE)</f>
        <v>2.2360679774997894</v>
      </c>
      <c r="P692" t="str">
        <f t="shared" si="63"/>
        <v>Z</v>
      </c>
      <c r="Q692" t="str">
        <f t="shared" si="64"/>
        <v>ACBZ</v>
      </c>
    </row>
    <row r="693" spans="1:17" x14ac:dyDescent="0.15">
      <c r="A693" t="s">
        <v>776</v>
      </c>
      <c r="B693" s="9">
        <v>1</v>
      </c>
      <c r="C693" s="13">
        <v>0</v>
      </c>
      <c r="D693" s="13">
        <v>0.77</v>
      </c>
      <c r="E693" s="9" t="s">
        <v>1240</v>
      </c>
      <c r="F693">
        <v>77</v>
      </c>
      <c r="G693" s="11">
        <v>2.091867555325815E-4</v>
      </c>
      <c r="H693" s="12">
        <v>0.98560187621429551</v>
      </c>
      <c r="I693" t="s">
        <v>1242</v>
      </c>
      <c r="J693">
        <v>6</v>
      </c>
      <c r="K693" s="11">
        <f t="shared" si="60"/>
        <v>6.2155775398998981E-4</v>
      </c>
      <c r="L693" s="12">
        <f t="shared" si="65"/>
        <v>0.94868359991491213</v>
      </c>
      <c r="M693" t="str">
        <f t="shared" si="61"/>
        <v>B</v>
      </c>
      <c r="N693" t="str">
        <f t="shared" si="62"/>
        <v>ACB</v>
      </c>
      <c r="O693" s="11">
        <f>VLOOKUP(A693,XYZ!A692:G1495,2,FALSE)</f>
        <v>2.2360679774997894</v>
      </c>
      <c r="P693" t="str">
        <f t="shared" si="63"/>
        <v>Z</v>
      </c>
      <c r="Q693" t="str">
        <f t="shared" si="64"/>
        <v>ACBZ</v>
      </c>
    </row>
    <row r="694" spans="1:17" x14ac:dyDescent="0.15">
      <c r="A694" t="s">
        <v>481</v>
      </c>
      <c r="B694" s="9">
        <v>1</v>
      </c>
      <c r="C694" s="13">
        <v>0</v>
      </c>
      <c r="D694" s="13">
        <v>0.7</v>
      </c>
      <c r="E694" s="9" t="s">
        <v>1240</v>
      </c>
      <c r="F694">
        <v>76</v>
      </c>
      <c r="G694" s="11">
        <v>2.0647004442176875E-4</v>
      </c>
      <c r="H694" s="12">
        <v>0.98622128634756079</v>
      </c>
      <c r="I694" t="s">
        <v>1242</v>
      </c>
      <c r="J694">
        <v>6</v>
      </c>
      <c r="K694" s="11">
        <f t="shared" si="60"/>
        <v>6.2155775398998981E-4</v>
      </c>
      <c r="L694" s="12">
        <f t="shared" si="65"/>
        <v>0.94930515766890211</v>
      </c>
      <c r="M694" t="str">
        <f t="shared" si="61"/>
        <v>B</v>
      </c>
      <c r="N694" t="str">
        <f t="shared" si="62"/>
        <v>ACB</v>
      </c>
      <c r="O694" s="11">
        <f>VLOOKUP(A694,XYZ!A693:G1496,2,FALSE)</f>
        <v>2.2360679774997894</v>
      </c>
      <c r="P694" t="str">
        <f t="shared" si="63"/>
        <v>Z</v>
      </c>
      <c r="Q694" t="str">
        <f t="shared" si="64"/>
        <v>ACBZ</v>
      </c>
    </row>
    <row r="695" spans="1:17" x14ac:dyDescent="0.15">
      <c r="A695" t="s">
        <v>1155</v>
      </c>
      <c r="B695" s="9">
        <v>1</v>
      </c>
      <c r="C695" s="13">
        <v>0</v>
      </c>
      <c r="D695" s="13">
        <v>0.73</v>
      </c>
      <c r="E695" s="9" t="s">
        <v>1240</v>
      </c>
      <c r="F695">
        <v>76</v>
      </c>
      <c r="G695" s="11">
        <v>2.0647004442176875E-4</v>
      </c>
      <c r="H695" s="12">
        <v>0.98642775639198255</v>
      </c>
      <c r="I695" t="s">
        <v>1242</v>
      </c>
      <c r="J695">
        <v>6</v>
      </c>
      <c r="K695" s="11">
        <f t="shared" si="60"/>
        <v>6.2155775398998981E-4</v>
      </c>
      <c r="L695" s="12">
        <f t="shared" si="65"/>
        <v>0.94992671542289209</v>
      </c>
      <c r="M695" t="str">
        <f t="shared" si="61"/>
        <v>B</v>
      </c>
      <c r="N695" t="str">
        <f t="shared" si="62"/>
        <v>ACB</v>
      </c>
      <c r="O695" s="11">
        <f>VLOOKUP(A695,XYZ!A694:G1497,2,FALSE)</f>
        <v>2.2360679774997894</v>
      </c>
      <c r="P695" t="str">
        <f t="shared" si="63"/>
        <v>Z</v>
      </c>
      <c r="Q695" t="str">
        <f t="shared" si="64"/>
        <v>ACBZ</v>
      </c>
    </row>
    <row r="696" spans="1:17" x14ac:dyDescent="0.15">
      <c r="A696" t="s">
        <v>969</v>
      </c>
      <c r="B696" s="9">
        <v>1</v>
      </c>
      <c r="C696" s="13">
        <v>0</v>
      </c>
      <c r="D696" s="13">
        <v>0.79</v>
      </c>
      <c r="E696" s="9" t="s">
        <v>1240</v>
      </c>
      <c r="F696">
        <v>76</v>
      </c>
      <c r="G696" s="11">
        <v>2.0647004442176875E-4</v>
      </c>
      <c r="H696" s="12">
        <v>0.9866342264364043</v>
      </c>
      <c r="I696" t="s">
        <v>1242</v>
      </c>
      <c r="J696">
        <v>6</v>
      </c>
      <c r="K696" s="11">
        <f t="shared" si="60"/>
        <v>6.2155775398998981E-4</v>
      </c>
      <c r="L696" s="12">
        <f t="shared" si="65"/>
        <v>0.95054827317688206</v>
      </c>
      <c r="M696" t="str">
        <f t="shared" si="61"/>
        <v>C</v>
      </c>
      <c r="N696" t="str">
        <f t="shared" si="62"/>
        <v>ACC</v>
      </c>
      <c r="O696" s="11">
        <f>VLOOKUP(A696,XYZ!A695:G1498,2,FALSE)</f>
        <v>2.2360679774997894</v>
      </c>
      <c r="P696" t="str">
        <f t="shared" si="63"/>
        <v>Z</v>
      </c>
      <c r="Q696" t="str">
        <f t="shared" si="64"/>
        <v>ACCZ</v>
      </c>
    </row>
    <row r="697" spans="1:17" x14ac:dyDescent="0.15">
      <c r="A697" t="s">
        <v>1223</v>
      </c>
      <c r="B697" s="9">
        <v>1</v>
      </c>
      <c r="C697" s="13">
        <v>0</v>
      </c>
      <c r="D697" s="13">
        <v>0.89</v>
      </c>
      <c r="E697" s="9" t="s">
        <v>1241</v>
      </c>
      <c r="F697">
        <v>76</v>
      </c>
      <c r="G697" s="11">
        <v>2.0647004442176875E-4</v>
      </c>
      <c r="H697" s="12">
        <v>0.98684069648082606</v>
      </c>
      <c r="I697" t="s">
        <v>1242</v>
      </c>
      <c r="J697">
        <v>6</v>
      </c>
      <c r="K697" s="11">
        <f t="shared" si="60"/>
        <v>6.2155775398998981E-4</v>
      </c>
      <c r="L697" s="12">
        <f t="shared" si="65"/>
        <v>0.95116983093087204</v>
      </c>
      <c r="M697" t="str">
        <f t="shared" si="61"/>
        <v>C</v>
      </c>
      <c r="N697" t="str">
        <f t="shared" si="62"/>
        <v>BCC</v>
      </c>
      <c r="O697" s="11">
        <f>VLOOKUP(A697,XYZ!A696:G1499,2,FALSE)</f>
        <v>2.2360679774997894</v>
      </c>
      <c r="P697" t="str">
        <f t="shared" si="63"/>
        <v>Z</v>
      </c>
      <c r="Q697" t="str">
        <f t="shared" si="64"/>
        <v>BCCZ</v>
      </c>
    </row>
    <row r="698" spans="1:17" x14ac:dyDescent="0.15">
      <c r="A698" t="s">
        <v>305</v>
      </c>
      <c r="B698" s="9">
        <v>1</v>
      </c>
      <c r="C698" s="13">
        <v>0</v>
      </c>
      <c r="D698" s="13">
        <v>0.97</v>
      </c>
      <c r="E698" s="9" t="s">
        <v>1242</v>
      </c>
      <c r="F698">
        <v>75</v>
      </c>
      <c r="G698" s="11">
        <v>2.03753333310956E-4</v>
      </c>
      <c r="H698" s="12">
        <v>0.98745440152075858</v>
      </c>
      <c r="I698" t="s">
        <v>1242</v>
      </c>
      <c r="J698">
        <v>6</v>
      </c>
      <c r="K698" s="11">
        <f t="shared" si="60"/>
        <v>6.2155775398998981E-4</v>
      </c>
      <c r="L698" s="12">
        <f t="shared" si="65"/>
        <v>0.95179138868486202</v>
      </c>
      <c r="M698" t="str">
        <f t="shared" si="61"/>
        <v>C</v>
      </c>
      <c r="N698" t="str">
        <f t="shared" si="62"/>
        <v>CCC</v>
      </c>
      <c r="O698" s="11">
        <f>VLOOKUP(A698,XYZ!A697:G1500,2,FALSE)</f>
        <v>2.2360679774997894</v>
      </c>
      <c r="P698" t="str">
        <f t="shared" si="63"/>
        <v>Z</v>
      </c>
      <c r="Q698" t="str">
        <f t="shared" si="64"/>
        <v>CCCZ</v>
      </c>
    </row>
    <row r="699" spans="1:17" x14ac:dyDescent="0.15">
      <c r="A699" t="s">
        <v>100</v>
      </c>
      <c r="B699" s="9">
        <v>1</v>
      </c>
      <c r="C699" s="13">
        <v>0</v>
      </c>
      <c r="D699" s="13">
        <v>0.73</v>
      </c>
      <c r="E699" s="9" t="s">
        <v>1240</v>
      </c>
      <c r="F699">
        <v>74</v>
      </c>
      <c r="G699" s="11">
        <v>2.0103662220014325E-4</v>
      </c>
      <c r="H699" s="12">
        <v>0.98785647476515892</v>
      </c>
      <c r="I699" t="s">
        <v>1242</v>
      </c>
      <c r="J699">
        <v>6</v>
      </c>
      <c r="K699" s="11">
        <f t="shared" si="60"/>
        <v>6.2155775398998981E-4</v>
      </c>
      <c r="L699" s="12">
        <f t="shared" si="65"/>
        <v>0.95241294643885199</v>
      </c>
      <c r="M699" t="str">
        <f t="shared" si="61"/>
        <v>C</v>
      </c>
      <c r="N699" t="str">
        <f t="shared" si="62"/>
        <v>ACC</v>
      </c>
      <c r="O699" s="11">
        <f>VLOOKUP(A699,XYZ!A698:G1501,2,FALSE)</f>
        <v>2.2360679774997894</v>
      </c>
      <c r="P699" t="str">
        <f t="shared" si="63"/>
        <v>Z</v>
      </c>
      <c r="Q699" t="str">
        <f t="shared" si="64"/>
        <v>ACCZ</v>
      </c>
    </row>
    <row r="700" spans="1:17" x14ac:dyDescent="0.15">
      <c r="A700" t="s">
        <v>1157</v>
      </c>
      <c r="B700" s="9">
        <v>1</v>
      </c>
      <c r="C700" s="13">
        <v>0</v>
      </c>
      <c r="D700" s="13">
        <v>0.81</v>
      </c>
      <c r="E700" s="9" t="s">
        <v>1241</v>
      </c>
      <c r="F700">
        <v>74</v>
      </c>
      <c r="G700" s="11">
        <v>2.0103662220014325E-4</v>
      </c>
      <c r="H700" s="12">
        <v>0.98805751138735909</v>
      </c>
      <c r="I700" t="s">
        <v>1242</v>
      </c>
      <c r="J700">
        <v>6</v>
      </c>
      <c r="K700" s="11">
        <f t="shared" si="60"/>
        <v>6.2155775398998981E-4</v>
      </c>
      <c r="L700" s="12">
        <f t="shared" si="65"/>
        <v>0.95303450419284197</v>
      </c>
      <c r="M700" t="str">
        <f t="shared" si="61"/>
        <v>C</v>
      </c>
      <c r="N700" t="str">
        <f t="shared" si="62"/>
        <v>BCC</v>
      </c>
      <c r="O700" s="11">
        <f>VLOOKUP(A700,XYZ!A699:G1502,2,FALSE)</f>
        <v>2.2360679774997894</v>
      </c>
      <c r="P700" t="str">
        <f t="shared" si="63"/>
        <v>Z</v>
      </c>
      <c r="Q700" t="str">
        <f t="shared" si="64"/>
        <v>BCCZ</v>
      </c>
    </row>
    <row r="701" spans="1:17" x14ac:dyDescent="0.15">
      <c r="A701" t="s">
        <v>1091</v>
      </c>
      <c r="B701" s="9">
        <v>1</v>
      </c>
      <c r="C701" s="13">
        <v>0</v>
      </c>
      <c r="D701" s="13">
        <v>0.94</v>
      </c>
      <c r="E701" s="9" t="s">
        <v>1241</v>
      </c>
      <c r="F701">
        <v>74</v>
      </c>
      <c r="G701" s="11">
        <v>2.0103662220014325E-4</v>
      </c>
      <c r="H701" s="12">
        <v>0.98825854800955926</v>
      </c>
      <c r="I701" t="s">
        <v>1242</v>
      </c>
      <c r="J701">
        <v>6</v>
      </c>
      <c r="K701" s="11">
        <f t="shared" si="60"/>
        <v>6.2155775398998981E-4</v>
      </c>
      <c r="L701" s="12">
        <f t="shared" si="65"/>
        <v>0.95365606194683195</v>
      </c>
      <c r="M701" t="str">
        <f t="shared" si="61"/>
        <v>C</v>
      </c>
      <c r="N701" t="str">
        <f t="shared" si="62"/>
        <v>BCC</v>
      </c>
      <c r="O701" s="11">
        <f>VLOOKUP(A701,XYZ!A700:G1503,2,FALSE)</f>
        <v>2.2360679774997894</v>
      </c>
      <c r="P701" t="str">
        <f t="shared" si="63"/>
        <v>Z</v>
      </c>
      <c r="Q701" t="str">
        <f t="shared" si="64"/>
        <v>BCCZ</v>
      </c>
    </row>
    <row r="702" spans="1:17" x14ac:dyDescent="0.15">
      <c r="A702" t="s">
        <v>1201</v>
      </c>
      <c r="B702" s="9">
        <v>1</v>
      </c>
      <c r="C702" s="13">
        <v>0</v>
      </c>
      <c r="D702" s="13">
        <v>0.75</v>
      </c>
      <c r="E702" s="9" t="s">
        <v>1240</v>
      </c>
      <c r="F702">
        <v>73</v>
      </c>
      <c r="G702" s="11">
        <v>1.9831991108933052E-4</v>
      </c>
      <c r="H702" s="12">
        <v>0.98845686792064857</v>
      </c>
      <c r="I702" t="s">
        <v>1242</v>
      </c>
      <c r="J702">
        <v>6</v>
      </c>
      <c r="K702" s="11">
        <f t="shared" si="60"/>
        <v>6.2155775398998981E-4</v>
      </c>
      <c r="L702" s="12">
        <f t="shared" si="65"/>
        <v>0.95427761970082192</v>
      </c>
      <c r="M702" t="str">
        <f t="shared" si="61"/>
        <v>C</v>
      </c>
      <c r="N702" t="str">
        <f t="shared" si="62"/>
        <v>ACC</v>
      </c>
      <c r="O702" s="11">
        <f>VLOOKUP(A702,XYZ!A701:G1504,2,FALSE)</f>
        <v>2.2360679774997894</v>
      </c>
      <c r="P702" t="str">
        <f t="shared" si="63"/>
        <v>Z</v>
      </c>
      <c r="Q702" t="str">
        <f t="shared" si="64"/>
        <v>ACCZ</v>
      </c>
    </row>
    <row r="703" spans="1:17" x14ac:dyDescent="0.15">
      <c r="A703" t="s">
        <v>63</v>
      </c>
      <c r="B703" s="9">
        <v>1</v>
      </c>
      <c r="C703" s="13">
        <v>0</v>
      </c>
      <c r="D703" s="13">
        <v>0.89</v>
      </c>
      <c r="E703" s="9" t="s">
        <v>1241</v>
      </c>
      <c r="F703">
        <v>73</v>
      </c>
      <c r="G703" s="11">
        <v>1.9831991108933052E-4</v>
      </c>
      <c r="H703" s="12">
        <v>0.98865518783173789</v>
      </c>
      <c r="I703" t="s">
        <v>1242</v>
      </c>
      <c r="J703">
        <v>6</v>
      </c>
      <c r="K703" s="11">
        <f t="shared" si="60"/>
        <v>6.2155775398998981E-4</v>
      </c>
      <c r="L703" s="12">
        <f t="shared" si="65"/>
        <v>0.9548991774548119</v>
      </c>
      <c r="M703" t="str">
        <f t="shared" si="61"/>
        <v>C</v>
      </c>
      <c r="N703" t="str">
        <f t="shared" si="62"/>
        <v>BCC</v>
      </c>
      <c r="O703" s="11">
        <f>VLOOKUP(A703,XYZ!A702:G1505,2,FALSE)</f>
        <v>2.2360679774997894</v>
      </c>
      <c r="P703" t="str">
        <f t="shared" si="63"/>
        <v>Z</v>
      </c>
      <c r="Q703" t="str">
        <f t="shared" si="64"/>
        <v>BCCZ</v>
      </c>
    </row>
    <row r="704" spans="1:17" x14ac:dyDescent="0.15">
      <c r="A704" t="s">
        <v>941</v>
      </c>
      <c r="B704" s="9">
        <v>1</v>
      </c>
      <c r="C704" s="13">
        <v>0</v>
      </c>
      <c r="D704" s="13">
        <v>0.71</v>
      </c>
      <c r="E704" s="9" t="s">
        <v>1240</v>
      </c>
      <c r="F704">
        <v>72.5</v>
      </c>
      <c r="G704" s="11">
        <v>1.9696155553392415E-4</v>
      </c>
      <c r="H704" s="12">
        <v>0.98885214938727184</v>
      </c>
      <c r="I704" t="s">
        <v>1242</v>
      </c>
      <c r="J704">
        <v>6</v>
      </c>
      <c r="K704" s="11">
        <f t="shared" si="60"/>
        <v>6.2155775398998981E-4</v>
      </c>
      <c r="L704" s="12">
        <f t="shared" si="65"/>
        <v>0.95552073520880187</v>
      </c>
      <c r="M704" t="str">
        <f t="shared" si="61"/>
        <v>C</v>
      </c>
      <c r="N704" t="str">
        <f t="shared" si="62"/>
        <v>ACC</v>
      </c>
      <c r="O704" s="11">
        <f>VLOOKUP(A704,XYZ!A703:G1506,2,FALSE)</f>
        <v>2.2360679774997894</v>
      </c>
      <c r="P704" t="str">
        <f t="shared" si="63"/>
        <v>Z</v>
      </c>
      <c r="Q704" t="str">
        <f t="shared" si="64"/>
        <v>ACCZ</v>
      </c>
    </row>
    <row r="705" spans="1:17" x14ac:dyDescent="0.15">
      <c r="A705" t="s">
        <v>256</v>
      </c>
      <c r="B705" s="9">
        <v>1</v>
      </c>
      <c r="C705" s="13">
        <v>0</v>
      </c>
      <c r="D705" s="13">
        <v>0.97</v>
      </c>
      <c r="E705" s="9" t="s">
        <v>1242</v>
      </c>
      <c r="F705">
        <v>72</v>
      </c>
      <c r="G705" s="11">
        <v>1.9560319997851777E-4</v>
      </c>
      <c r="H705" s="12">
        <v>0.98943895898720724</v>
      </c>
      <c r="I705" t="s">
        <v>1242</v>
      </c>
      <c r="J705">
        <v>6</v>
      </c>
      <c r="K705" s="11">
        <f t="shared" si="60"/>
        <v>6.2155775398998981E-4</v>
      </c>
      <c r="L705" s="12">
        <f t="shared" si="65"/>
        <v>0.95614229296279185</v>
      </c>
      <c r="M705" t="str">
        <f t="shared" si="61"/>
        <v>C</v>
      </c>
      <c r="N705" t="str">
        <f t="shared" si="62"/>
        <v>CCC</v>
      </c>
      <c r="O705" s="11">
        <f>VLOOKUP(A705,XYZ!A704:G1507,2,FALSE)</f>
        <v>2.2360679774997894</v>
      </c>
      <c r="P705" t="str">
        <f t="shared" si="63"/>
        <v>Z</v>
      </c>
      <c r="Q705" t="str">
        <f t="shared" si="64"/>
        <v>CCCZ</v>
      </c>
    </row>
    <row r="706" spans="1:17" x14ac:dyDescent="0.15">
      <c r="A706" t="s">
        <v>44</v>
      </c>
      <c r="B706" s="9">
        <v>1</v>
      </c>
      <c r="C706" s="13">
        <v>0</v>
      </c>
      <c r="D706" s="13">
        <v>0.99</v>
      </c>
      <c r="E706" s="9" t="s">
        <v>1242</v>
      </c>
      <c r="F706">
        <v>71</v>
      </c>
      <c r="G706" s="11">
        <v>1.9288648886770502E-4</v>
      </c>
      <c r="H706" s="12">
        <v>0.98963184547607497</v>
      </c>
      <c r="I706" t="s">
        <v>1242</v>
      </c>
      <c r="J706">
        <v>6</v>
      </c>
      <c r="K706" s="11">
        <f t="shared" si="60"/>
        <v>6.2155775398998981E-4</v>
      </c>
      <c r="L706" s="12">
        <f t="shared" si="65"/>
        <v>0.95676385071678183</v>
      </c>
      <c r="M706" t="str">
        <f t="shared" si="61"/>
        <v>C</v>
      </c>
      <c r="N706" t="str">
        <f t="shared" si="62"/>
        <v>CCC</v>
      </c>
      <c r="O706" s="11">
        <f>VLOOKUP(A706,XYZ!A705:G1508,2,FALSE)</f>
        <v>2.2360679774997894</v>
      </c>
      <c r="P706" t="str">
        <f t="shared" si="63"/>
        <v>Z</v>
      </c>
      <c r="Q706" t="str">
        <f t="shared" si="64"/>
        <v>CCCZ</v>
      </c>
    </row>
    <row r="707" spans="1:17" x14ac:dyDescent="0.15">
      <c r="A707" t="s">
        <v>174</v>
      </c>
      <c r="B707" s="9">
        <v>1</v>
      </c>
      <c r="C707" s="13">
        <v>0</v>
      </c>
      <c r="D707" s="13">
        <v>0.99</v>
      </c>
      <c r="E707" s="9" t="s">
        <v>1242</v>
      </c>
      <c r="F707">
        <v>70</v>
      </c>
      <c r="G707" s="11">
        <v>1.9016977775689227E-4</v>
      </c>
      <c r="H707" s="12">
        <v>0.98982201525383184</v>
      </c>
      <c r="I707" t="s">
        <v>1242</v>
      </c>
      <c r="J707">
        <v>6</v>
      </c>
      <c r="K707" s="11">
        <f t="shared" ref="K707:K770" si="66">J707/SUM(J:J)</f>
        <v>6.2155775398998981E-4</v>
      </c>
      <c r="L707" s="12">
        <f t="shared" si="65"/>
        <v>0.9573854084707718</v>
      </c>
      <c r="M707" t="str">
        <f t="shared" ref="M707:M770" si="67">IF(L707&lt;0.8,"A",IF(L707&lt;0.95,"B","C"))</f>
        <v>C</v>
      </c>
      <c r="N707" t="str">
        <f t="shared" ref="N707:N770" si="68">E707&amp;I707&amp;M707</f>
        <v>CCC</v>
      </c>
      <c r="O707" s="11">
        <f>VLOOKUP(A707,XYZ!A706:G1509,2,FALSE)</f>
        <v>2.2360679774997894</v>
      </c>
      <c r="P707" t="str">
        <f t="shared" ref="P707:P770" si="69">IF(O707&lt;0.1,"A",IF(O707&lt;0.25,"Y","Z"))</f>
        <v>Z</v>
      </c>
      <c r="Q707" t="str">
        <f t="shared" ref="Q707:Q770" si="70">N707&amp;P707</f>
        <v>CCCZ</v>
      </c>
    </row>
    <row r="708" spans="1:17" x14ac:dyDescent="0.15">
      <c r="A708" t="s">
        <v>737</v>
      </c>
      <c r="B708" s="9">
        <v>1</v>
      </c>
      <c r="C708" s="13">
        <v>0</v>
      </c>
      <c r="D708" s="13">
        <v>0.72</v>
      </c>
      <c r="E708" s="9" t="s">
        <v>1240</v>
      </c>
      <c r="F708">
        <v>69</v>
      </c>
      <c r="G708" s="11">
        <v>1.8745306664607952E-4</v>
      </c>
      <c r="H708" s="12">
        <v>0.99000946832047787</v>
      </c>
      <c r="I708" t="s">
        <v>1242</v>
      </c>
      <c r="J708">
        <v>6</v>
      </c>
      <c r="K708" s="11">
        <f t="shared" si="66"/>
        <v>6.2155775398998981E-4</v>
      </c>
      <c r="L708" s="12">
        <f t="shared" ref="L708:L771" si="71">K708+L707</f>
        <v>0.95800696622476178</v>
      </c>
      <c r="M708" t="str">
        <f t="shared" si="67"/>
        <v>C</v>
      </c>
      <c r="N708" t="str">
        <f t="shared" si="68"/>
        <v>ACC</v>
      </c>
      <c r="O708" s="11">
        <f>VLOOKUP(A708,XYZ!A707:G1510,2,FALSE)</f>
        <v>2.2360679774997894</v>
      </c>
      <c r="P708" t="str">
        <f t="shared" si="69"/>
        <v>Z</v>
      </c>
      <c r="Q708" t="str">
        <f t="shared" si="70"/>
        <v>ACCZ</v>
      </c>
    </row>
    <row r="709" spans="1:17" x14ac:dyDescent="0.15">
      <c r="A709" t="s">
        <v>1024</v>
      </c>
      <c r="B709" s="9">
        <v>1</v>
      </c>
      <c r="C709" s="13">
        <v>0</v>
      </c>
      <c r="D709" s="13">
        <v>0.9</v>
      </c>
      <c r="E709" s="9" t="s">
        <v>1241</v>
      </c>
      <c r="F709">
        <v>68</v>
      </c>
      <c r="G709" s="11">
        <v>1.8473635553526677E-4</v>
      </c>
      <c r="H709" s="12">
        <v>0.99019420467601316</v>
      </c>
      <c r="I709" t="s">
        <v>1242</v>
      </c>
      <c r="J709">
        <v>6</v>
      </c>
      <c r="K709" s="11">
        <f t="shared" si="66"/>
        <v>6.2155775398998981E-4</v>
      </c>
      <c r="L709" s="12">
        <f t="shared" si="71"/>
        <v>0.95862852397875176</v>
      </c>
      <c r="M709" t="str">
        <f t="shared" si="67"/>
        <v>C</v>
      </c>
      <c r="N709" t="str">
        <f t="shared" si="68"/>
        <v>BCC</v>
      </c>
      <c r="O709" s="11">
        <f>VLOOKUP(A709,XYZ!A708:G1511,2,FALSE)</f>
        <v>2.2360679774997894</v>
      </c>
      <c r="P709" t="str">
        <f t="shared" si="69"/>
        <v>Z</v>
      </c>
      <c r="Q709" t="str">
        <f t="shared" si="70"/>
        <v>BCCZ</v>
      </c>
    </row>
    <row r="710" spans="1:17" x14ac:dyDescent="0.15">
      <c r="A710" t="s">
        <v>265</v>
      </c>
      <c r="B710" s="9">
        <v>1</v>
      </c>
      <c r="C710" s="13">
        <v>0</v>
      </c>
      <c r="D710" s="13">
        <v>0.92</v>
      </c>
      <c r="E710" s="9" t="s">
        <v>1241</v>
      </c>
      <c r="F710">
        <v>68</v>
      </c>
      <c r="G710" s="11">
        <v>1.8473635553526677E-4</v>
      </c>
      <c r="H710" s="12">
        <v>0.99037894103154844</v>
      </c>
      <c r="I710" t="s">
        <v>1242</v>
      </c>
      <c r="J710">
        <v>6</v>
      </c>
      <c r="K710" s="11">
        <f t="shared" si="66"/>
        <v>6.2155775398998981E-4</v>
      </c>
      <c r="L710" s="12">
        <f t="shared" si="71"/>
        <v>0.95925008173274173</v>
      </c>
      <c r="M710" t="str">
        <f t="shared" si="67"/>
        <v>C</v>
      </c>
      <c r="N710" t="str">
        <f t="shared" si="68"/>
        <v>BCC</v>
      </c>
      <c r="O710" s="11">
        <f>VLOOKUP(A710,XYZ!A709:G1512,2,FALSE)</f>
        <v>2.2360679774997894</v>
      </c>
      <c r="P710" t="str">
        <f t="shared" si="69"/>
        <v>Z</v>
      </c>
      <c r="Q710" t="str">
        <f t="shared" si="70"/>
        <v>BCCZ</v>
      </c>
    </row>
    <row r="711" spans="1:17" x14ac:dyDescent="0.15">
      <c r="A711" t="s">
        <v>1088</v>
      </c>
      <c r="B711" s="9">
        <v>1</v>
      </c>
      <c r="C711" s="13">
        <v>0</v>
      </c>
      <c r="D711" s="13">
        <v>0.75</v>
      </c>
      <c r="E711" s="9" t="s">
        <v>1240</v>
      </c>
      <c r="F711">
        <v>66</v>
      </c>
      <c r="G711" s="11">
        <v>1.793029333136413E-4</v>
      </c>
      <c r="H711" s="12">
        <v>0.99091831685548937</v>
      </c>
      <c r="I711" t="s">
        <v>1242</v>
      </c>
      <c r="J711">
        <v>6</v>
      </c>
      <c r="K711" s="11">
        <f t="shared" si="66"/>
        <v>6.2155775398998981E-4</v>
      </c>
      <c r="L711" s="12">
        <f t="shared" si="71"/>
        <v>0.95987163948673171</v>
      </c>
      <c r="M711" t="str">
        <f t="shared" si="67"/>
        <v>C</v>
      </c>
      <c r="N711" t="str">
        <f t="shared" si="68"/>
        <v>ACC</v>
      </c>
      <c r="O711" s="11">
        <f>VLOOKUP(A711,XYZ!A710:G1513,2,FALSE)</f>
        <v>2.2360679774997894</v>
      </c>
      <c r="P711" t="str">
        <f t="shared" si="69"/>
        <v>Z</v>
      </c>
      <c r="Q711" t="str">
        <f t="shared" si="70"/>
        <v>ACCZ</v>
      </c>
    </row>
    <row r="712" spans="1:17" x14ac:dyDescent="0.15">
      <c r="A712" t="s">
        <v>1083</v>
      </c>
      <c r="B712" s="9">
        <v>1</v>
      </c>
      <c r="C712" s="13">
        <v>0</v>
      </c>
      <c r="D712" s="13">
        <v>0.88</v>
      </c>
      <c r="E712" s="9" t="s">
        <v>1241</v>
      </c>
      <c r="F712">
        <v>66</v>
      </c>
      <c r="G712" s="11">
        <v>1.793029333136413E-4</v>
      </c>
      <c r="H712" s="12">
        <v>0.99109761978880306</v>
      </c>
      <c r="I712" t="s">
        <v>1242</v>
      </c>
      <c r="J712">
        <v>6</v>
      </c>
      <c r="K712" s="11">
        <f t="shared" si="66"/>
        <v>6.2155775398998981E-4</v>
      </c>
      <c r="L712" s="12">
        <f t="shared" si="71"/>
        <v>0.96049319724072169</v>
      </c>
      <c r="M712" t="str">
        <f t="shared" si="67"/>
        <v>C</v>
      </c>
      <c r="N712" t="str">
        <f t="shared" si="68"/>
        <v>BCC</v>
      </c>
      <c r="O712" s="11">
        <f>VLOOKUP(A712,XYZ!A711:G1514,2,FALSE)</f>
        <v>2.2360679774997894</v>
      </c>
      <c r="P712" t="str">
        <f t="shared" si="69"/>
        <v>Z</v>
      </c>
      <c r="Q712" t="str">
        <f t="shared" si="70"/>
        <v>BCCZ</v>
      </c>
    </row>
    <row r="713" spans="1:17" x14ac:dyDescent="0.15">
      <c r="A713" t="s">
        <v>653</v>
      </c>
      <c r="B713" s="9">
        <v>1</v>
      </c>
      <c r="C713" s="13">
        <v>0</v>
      </c>
      <c r="D713" s="13">
        <v>0.87</v>
      </c>
      <c r="E713" s="9" t="s">
        <v>1241</v>
      </c>
      <c r="F713">
        <v>65</v>
      </c>
      <c r="G713" s="11">
        <v>1.7658622220282854E-4</v>
      </c>
      <c r="H713" s="12">
        <v>0.99127420601100591</v>
      </c>
      <c r="I713" t="s">
        <v>1242</v>
      </c>
      <c r="J713">
        <v>6</v>
      </c>
      <c r="K713" s="11">
        <f t="shared" si="66"/>
        <v>6.2155775398998981E-4</v>
      </c>
      <c r="L713" s="12">
        <f t="shared" si="71"/>
        <v>0.96111475499471166</v>
      </c>
      <c r="M713" t="str">
        <f t="shared" si="67"/>
        <v>C</v>
      </c>
      <c r="N713" t="str">
        <f t="shared" si="68"/>
        <v>BCC</v>
      </c>
      <c r="O713" s="11">
        <f>VLOOKUP(A713,XYZ!A712:G1515,2,FALSE)</f>
        <v>2.2360679774997894</v>
      </c>
      <c r="P713" t="str">
        <f t="shared" si="69"/>
        <v>Z</v>
      </c>
      <c r="Q713" t="str">
        <f t="shared" si="70"/>
        <v>BCCZ</v>
      </c>
    </row>
    <row r="714" spans="1:17" x14ac:dyDescent="0.15">
      <c r="A714" t="s">
        <v>740</v>
      </c>
      <c r="B714" s="9">
        <v>1</v>
      </c>
      <c r="C714" s="13">
        <v>0</v>
      </c>
      <c r="D714" s="13">
        <v>0.71</v>
      </c>
      <c r="E714" s="9" t="s">
        <v>1240</v>
      </c>
      <c r="F714">
        <v>64</v>
      </c>
      <c r="G714" s="11">
        <v>1.7386951109201579E-4</v>
      </c>
      <c r="H714" s="12">
        <v>0.99232106347044646</v>
      </c>
      <c r="I714" t="s">
        <v>1242</v>
      </c>
      <c r="J714">
        <v>6</v>
      </c>
      <c r="K714" s="11">
        <f t="shared" si="66"/>
        <v>6.2155775398998981E-4</v>
      </c>
      <c r="L714" s="12">
        <f t="shared" si="71"/>
        <v>0.96173631274870164</v>
      </c>
      <c r="M714" t="str">
        <f t="shared" si="67"/>
        <v>C</v>
      </c>
      <c r="N714" t="str">
        <f t="shared" si="68"/>
        <v>ACC</v>
      </c>
      <c r="O714" s="11">
        <f>VLOOKUP(A714,XYZ!A713:G1516,2,FALSE)</f>
        <v>2.2360679774997894</v>
      </c>
      <c r="P714" t="str">
        <f t="shared" si="69"/>
        <v>Z</v>
      </c>
      <c r="Q714" t="str">
        <f t="shared" si="70"/>
        <v>ACCZ</v>
      </c>
    </row>
    <row r="715" spans="1:17" x14ac:dyDescent="0.15">
      <c r="A715" t="s">
        <v>1162</v>
      </c>
      <c r="B715" s="9">
        <v>1</v>
      </c>
      <c r="C715" s="13">
        <v>0</v>
      </c>
      <c r="D715" s="13">
        <v>0.75</v>
      </c>
      <c r="E715" s="9" t="s">
        <v>1240</v>
      </c>
      <c r="F715">
        <v>59</v>
      </c>
      <c r="G715" s="11">
        <v>1.6028595553795207E-4</v>
      </c>
      <c r="H715" s="12">
        <v>0.99248134942598443</v>
      </c>
      <c r="I715" t="s">
        <v>1242</v>
      </c>
      <c r="J715">
        <v>6</v>
      </c>
      <c r="K715" s="11">
        <f t="shared" si="66"/>
        <v>6.2155775398998981E-4</v>
      </c>
      <c r="L715" s="12">
        <f t="shared" si="71"/>
        <v>0.96235787050269161</v>
      </c>
      <c r="M715" t="str">
        <f t="shared" si="67"/>
        <v>C</v>
      </c>
      <c r="N715" t="str">
        <f t="shared" si="68"/>
        <v>ACC</v>
      </c>
      <c r="O715" s="11">
        <f>VLOOKUP(A715,XYZ!A714:G1517,2,FALSE)</f>
        <v>2.2360679774997894</v>
      </c>
      <c r="P715" t="str">
        <f t="shared" si="69"/>
        <v>Z</v>
      </c>
      <c r="Q715" t="str">
        <f t="shared" si="70"/>
        <v>ACCZ</v>
      </c>
    </row>
    <row r="716" spans="1:17" x14ac:dyDescent="0.15">
      <c r="A716" t="s">
        <v>211</v>
      </c>
      <c r="B716" s="9">
        <v>1</v>
      </c>
      <c r="C716" s="13">
        <v>0</v>
      </c>
      <c r="D716" s="13">
        <v>0.82</v>
      </c>
      <c r="E716" s="9" t="s">
        <v>1241</v>
      </c>
      <c r="F716">
        <v>59</v>
      </c>
      <c r="G716" s="11">
        <v>1.6028595553795207E-4</v>
      </c>
      <c r="H716" s="12">
        <v>0.99264163538152239</v>
      </c>
      <c r="I716" t="s">
        <v>1242</v>
      </c>
      <c r="J716">
        <v>6</v>
      </c>
      <c r="K716" s="11">
        <f t="shared" si="66"/>
        <v>6.2155775398998981E-4</v>
      </c>
      <c r="L716" s="12">
        <f t="shared" si="71"/>
        <v>0.96297942825668159</v>
      </c>
      <c r="M716" t="str">
        <f t="shared" si="67"/>
        <v>C</v>
      </c>
      <c r="N716" t="str">
        <f t="shared" si="68"/>
        <v>BCC</v>
      </c>
      <c r="O716" s="11">
        <f>VLOOKUP(A716,XYZ!A715:G1518,2,FALSE)</f>
        <v>2.2360679774997894</v>
      </c>
      <c r="P716" t="str">
        <f t="shared" si="69"/>
        <v>Z</v>
      </c>
      <c r="Q716" t="str">
        <f t="shared" si="70"/>
        <v>BCCZ</v>
      </c>
    </row>
    <row r="717" spans="1:17" x14ac:dyDescent="0.15">
      <c r="A717" t="s">
        <v>549</v>
      </c>
      <c r="B717" s="9">
        <v>1</v>
      </c>
      <c r="C717" s="13">
        <v>0</v>
      </c>
      <c r="D717" s="13">
        <v>0.85</v>
      </c>
      <c r="E717" s="9" t="s">
        <v>1241</v>
      </c>
      <c r="F717">
        <v>57</v>
      </c>
      <c r="G717" s="11">
        <v>1.5485253331632657E-4</v>
      </c>
      <c r="H717" s="12">
        <v>0.99279648791483877</v>
      </c>
      <c r="I717" t="s">
        <v>1242</v>
      </c>
      <c r="J717">
        <v>6</v>
      </c>
      <c r="K717" s="11">
        <f t="shared" si="66"/>
        <v>6.2155775398998981E-4</v>
      </c>
      <c r="L717" s="12">
        <f t="shared" si="71"/>
        <v>0.96360098601067157</v>
      </c>
      <c r="M717" t="str">
        <f t="shared" si="67"/>
        <v>C</v>
      </c>
      <c r="N717" t="str">
        <f t="shared" si="68"/>
        <v>BCC</v>
      </c>
      <c r="O717" s="11">
        <f>VLOOKUP(A717,XYZ!A716:G1519,2,FALSE)</f>
        <v>2.2360679774997894</v>
      </c>
      <c r="P717" t="str">
        <f t="shared" si="69"/>
        <v>Z</v>
      </c>
      <c r="Q717" t="str">
        <f t="shared" si="70"/>
        <v>BCCZ</v>
      </c>
    </row>
    <row r="718" spans="1:17" x14ac:dyDescent="0.15">
      <c r="A718" t="s">
        <v>583</v>
      </c>
      <c r="B718" s="9">
        <v>1</v>
      </c>
      <c r="C718" s="13">
        <v>0</v>
      </c>
      <c r="D718" s="13">
        <v>0.9</v>
      </c>
      <c r="E718" s="9" t="s">
        <v>1241</v>
      </c>
      <c r="F718">
        <v>57</v>
      </c>
      <c r="G718" s="11">
        <v>1.5485253331632657E-4</v>
      </c>
      <c r="H718" s="12">
        <v>0.99295134044815514</v>
      </c>
      <c r="I718" t="s">
        <v>1242</v>
      </c>
      <c r="J718">
        <v>6</v>
      </c>
      <c r="K718" s="11">
        <f t="shared" si="66"/>
        <v>6.2155775398998981E-4</v>
      </c>
      <c r="L718" s="12">
        <f t="shared" si="71"/>
        <v>0.96422254376466154</v>
      </c>
      <c r="M718" t="str">
        <f t="shared" si="67"/>
        <v>C</v>
      </c>
      <c r="N718" t="str">
        <f t="shared" si="68"/>
        <v>BCC</v>
      </c>
      <c r="O718" s="11">
        <f>VLOOKUP(A718,XYZ!A717:G1520,2,FALSE)</f>
        <v>2.2360679774997894</v>
      </c>
      <c r="P718" t="str">
        <f t="shared" si="69"/>
        <v>Z</v>
      </c>
      <c r="Q718" t="str">
        <f t="shared" si="70"/>
        <v>BCCZ</v>
      </c>
    </row>
    <row r="719" spans="1:17" x14ac:dyDescent="0.15">
      <c r="A719" t="s">
        <v>432</v>
      </c>
      <c r="B719" s="9">
        <v>1</v>
      </c>
      <c r="C719" s="13">
        <v>0</v>
      </c>
      <c r="D719" s="13">
        <v>0.84</v>
      </c>
      <c r="E719" s="9" t="s">
        <v>1241</v>
      </c>
      <c r="F719">
        <v>56.1</v>
      </c>
      <c r="G719" s="11">
        <v>1.5240749331659509E-4</v>
      </c>
      <c r="H719" s="12">
        <v>0.99310374794147172</v>
      </c>
      <c r="I719" t="s">
        <v>1242</v>
      </c>
      <c r="J719">
        <v>6</v>
      </c>
      <c r="K719" s="11">
        <f t="shared" si="66"/>
        <v>6.2155775398998981E-4</v>
      </c>
      <c r="L719" s="12">
        <f t="shared" si="71"/>
        <v>0.96484410151865152</v>
      </c>
      <c r="M719" t="str">
        <f t="shared" si="67"/>
        <v>C</v>
      </c>
      <c r="N719" t="str">
        <f t="shared" si="68"/>
        <v>BCC</v>
      </c>
      <c r="O719" s="11">
        <f>VLOOKUP(A719,XYZ!A718:G1521,2,FALSE)</f>
        <v>2.2360679774997894</v>
      </c>
      <c r="P719" t="str">
        <f t="shared" si="69"/>
        <v>Z</v>
      </c>
      <c r="Q719" t="str">
        <f t="shared" si="70"/>
        <v>BCCZ</v>
      </c>
    </row>
    <row r="720" spans="1:17" x14ac:dyDescent="0.15">
      <c r="A720" t="s">
        <v>584</v>
      </c>
      <c r="B720" s="9">
        <v>1</v>
      </c>
      <c r="C720" s="13">
        <v>0</v>
      </c>
      <c r="D720" s="13">
        <v>0.74</v>
      </c>
      <c r="E720" s="9" t="s">
        <v>1240</v>
      </c>
      <c r="F720">
        <v>56</v>
      </c>
      <c r="G720" s="11">
        <v>1.5213582220551382E-4</v>
      </c>
      <c r="H720" s="12">
        <v>0.99371242706584939</v>
      </c>
      <c r="I720" t="s">
        <v>1242</v>
      </c>
      <c r="J720">
        <v>6</v>
      </c>
      <c r="K720" s="11">
        <f t="shared" si="66"/>
        <v>6.2155775398998981E-4</v>
      </c>
      <c r="L720" s="12">
        <f t="shared" si="71"/>
        <v>0.9654656592726415</v>
      </c>
      <c r="M720" t="str">
        <f t="shared" si="67"/>
        <v>C</v>
      </c>
      <c r="N720" t="str">
        <f t="shared" si="68"/>
        <v>ACC</v>
      </c>
      <c r="O720" s="11">
        <f>VLOOKUP(A720,XYZ!A719:G1522,2,FALSE)</f>
        <v>2.2360679774997894</v>
      </c>
      <c r="P720" t="str">
        <f t="shared" si="69"/>
        <v>Z</v>
      </c>
      <c r="Q720" t="str">
        <f t="shared" si="70"/>
        <v>ACCZ</v>
      </c>
    </row>
    <row r="721" spans="1:17" x14ac:dyDescent="0.15">
      <c r="A721" t="s">
        <v>290</v>
      </c>
      <c r="B721" s="9">
        <v>1</v>
      </c>
      <c r="C721" s="13">
        <v>0</v>
      </c>
      <c r="D721" s="13">
        <v>0.78</v>
      </c>
      <c r="E721" s="9" t="s">
        <v>1240</v>
      </c>
      <c r="F721">
        <v>55</v>
      </c>
      <c r="G721" s="11">
        <v>1.4941911109470107E-4</v>
      </c>
      <c r="H721" s="12">
        <v>0.99386184617694406</v>
      </c>
      <c r="I721" t="s">
        <v>1242</v>
      </c>
      <c r="J721">
        <v>6</v>
      </c>
      <c r="K721" s="11">
        <f t="shared" si="66"/>
        <v>6.2155775398998981E-4</v>
      </c>
      <c r="L721" s="12">
        <f t="shared" si="71"/>
        <v>0.96608721702663147</v>
      </c>
      <c r="M721" t="str">
        <f t="shared" si="67"/>
        <v>C</v>
      </c>
      <c r="N721" t="str">
        <f t="shared" si="68"/>
        <v>ACC</v>
      </c>
      <c r="O721" s="11">
        <f>VLOOKUP(A721,XYZ!A720:G1523,2,FALSE)</f>
        <v>2.2360679774997894</v>
      </c>
      <c r="P721" t="str">
        <f t="shared" si="69"/>
        <v>Z</v>
      </c>
      <c r="Q721" t="str">
        <f t="shared" si="70"/>
        <v>ACCZ</v>
      </c>
    </row>
    <row r="722" spans="1:17" x14ac:dyDescent="0.15">
      <c r="A722" t="s">
        <v>876</v>
      </c>
      <c r="B722" s="9">
        <v>1</v>
      </c>
      <c r="C722" s="13">
        <v>0</v>
      </c>
      <c r="D722" s="13">
        <v>0.84</v>
      </c>
      <c r="E722" s="9" t="s">
        <v>1241</v>
      </c>
      <c r="F722">
        <v>55</v>
      </c>
      <c r="G722" s="11">
        <v>1.4941911109470107E-4</v>
      </c>
      <c r="H722" s="12">
        <v>0.99401126528803874</v>
      </c>
      <c r="I722" t="s">
        <v>1242</v>
      </c>
      <c r="J722">
        <v>6</v>
      </c>
      <c r="K722" s="11">
        <f t="shared" si="66"/>
        <v>6.2155775398998981E-4</v>
      </c>
      <c r="L722" s="12">
        <f t="shared" si="71"/>
        <v>0.96670877478062145</v>
      </c>
      <c r="M722" t="str">
        <f t="shared" si="67"/>
        <v>C</v>
      </c>
      <c r="N722" t="str">
        <f t="shared" si="68"/>
        <v>BCC</v>
      </c>
      <c r="O722" s="11">
        <f>VLOOKUP(A722,XYZ!A721:G1524,2,FALSE)</f>
        <v>2.2360679774997894</v>
      </c>
      <c r="P722" t="str">
        <f t="shared" si="69"/>
        <v>Z</v>
      </c>
      <c r="Q722" t="str">
        <f t="shared" si="70"/>
        <v>BCCZ</v>
      </c>
    </row>
    <row r="723" spans="1:17" x14ac:dyDescent="0.15">
      <c r="A723" t="s">
        <v>550</v>
      </c>
      <c r="B723" s="9">
        <v>1</v>
      </c>
      <c r="C723" s="13">
        <v>0</v>
      </c>
      <c r="D723" s="13">
        <v>0.86</v>
      </c>
      <c r="E723" s="9" t="s">
        <v>1241</v>
      </c>
      <c r="F723">
        <v>54</v>
      </c>
      <c r="G723" s="11">
        <v>1.4670239998388832E-4</v>
      </c>
      <c r="H723" s="12">
        <v>0.99415796768802267</v>
      </c>
      <c r="I723" t="s">
        <v>1242</v>
      </c>
      <c r="J723">
        <v>6</v>
      </c>
      <c r="K723" s="11">
        <f t="shared" si="66"/>
        <v>6.2155775398998981E-4</v>
      </c>
      <c r="L723" s="12">
        <f t="shared" si="71"/>
        <v>0.96733033253461143</v>
      </c>
      <c r="M723" t="str">
        <f t="shared" si="67"/>
        <v>C</v>
      </c>
      <c r="N723" t="str">
        <f t="shared" si="68"/>
        <v>BCC</v>
      </c>
      <c r="O723" s="11">
        <f>VLOOKUP(A723,XYZ!A722:G1525,2,FALSE)</f>
        <v>2.2360679774997894</v>
      </c>
      <c r="P723" t="str">
        <f t="shared" si="69"/>
        <v>Z</v>
      </c>
      <c r="Q723" t="str">
        <f t="shared" si="70"/>
        <v>BCCZ</v>
      </c>
    </row>
    <row r="724" spans="1:17" x14ac:dyDescent="0.15">
      <c r="A724" t="s">
        <v>514</v>
      </c>
      <c r="B724" s="9">
        <v>1</v>
      </c>
      <c r="C724" s="13">
        <v>0</v>
      </c>
      <c r="D724" s="13">
        <v>0.91</v>
      </c>
      <c r="E724" s="9" t="s">
        <v>1241</v>
      </c>
      <c r="F724">
        <v>54</v>
      </c>
      <c r="G724" s="11">
        <v>1.4670239998388832E-4</v>
      </c>
      <c r="H724" s="12">
        <v>0.9943046700880066</v>
      </c>
      <c r="I724" t="s">
        <v>1242</v>
      </c>
      <c r="J724">
        <v>6</v>
      </c>
      <c r="K724" s="11">
        <f t="shared" si="66"/>
        <v>6.2155775398998981E-4</v>
      </c>
      <c r="L724" s="12">
        <f t="shared" si="71"/>
        <v>0.9679518902886014</v>
      </c>
      <c r="M724" t="str">
        <f t="shared" si="67"/>
        <v>C</v>
      </c>
      <c r="N724" t="str">
        <f t="shared" si="68"/>
        <v>BCC</v>
      </c>
      <c r="O724" s="11">
        <f>VLOOKUP(A724,XYZ!A723:G1526,2,FALSE)</f>
        <v>2.2360679774997894</v>
      </c>
      <c r="P724" t="str">
        <f t="shared" si="69"/>
        <v>Z</v>
      </c>
      <c r="Q724" t="str">
        <f t="shared" si="70"/>
        <v>BCCZ</v>
      </c>
    </row>
    <row r="725" spans="1:17" x14ac:dyDescent="0.15">
      <c r="A725" t="s">
        <v>1014</v>
      </c>
      <c r="B725" s="9">
        <v>1</v>
      </c>
      <c r="C725" s="13">
        <v>0</v>
      </c>
      <c r="D725" s="13">
        <v>0.78</v>
      </c>
      <c r="E725" s="9" t="s">
        <v>1240</v>
      </c>
      <c r="F725">
        <v>53</v>
      </c>
      <c r="G725" s="11">
        <v>1.4398568887307556E-4</v>
      </c>
      <c r="H725" s="12">
        <v>0.99444865577687969</v>
      </c>
      <c r="I725" t="s">
        <v>1242</v>
      </c>
      <c r="J725">
        <v>6</v>
      </c>
      <c r="K725" s="11">
        <f t="shared" si="66"/>
        <v>6.2155775398998981E-4</v>
      </c>
      <c r="L725" s="12">
        <f t="shared" si="71"/>
        <v>0.96857344804259138</v>
      </c>
      <c r="M725" t="str">
        <f t="shared" si="67"/>
        <v>C</v>
      </c>
      <c r="N725" t="str">
        <f t="shared" si="68"/>
        <v>ACC</v>
      </c>
      <c r="O725" s="11">
        <f>VLOOKUP(A725,XYZ!A724:G1527,2,FALSE)</f>
        <v>2.2360679774997894</v>
      </c>
      <c r="P725" t="str">
        <f t="shared" si="69"/>
        <v>Z</v>
      </c>
      <c r="Q725" t="str">
        <f t="shared" si="70"/>
        <v>ACCZ</v>
      </c>
    </row>
    <row r="726" spans="1:17" x14ac:dyDescent="0.15">
      <c r="A726" t="s">
        <v>1141</v>
      </c>
      <c r="B726" s="9">
        <v>1</v>
      </c>
      <c r="C726" s="13">
        <v>0</v>
      </c>
      <c r="D726" s="13">
        <v>0.9</v>
      </c>
      <c r="E726" s="9" t="s">
        <v>1241</v>
      </c>
      <c r="F726">
        <v>52</v>
      </c>
      <c r="G726" s="11">
        <v>1.4126897776226284E-4</v>
      </c>
      <c r="H726" s="12">
        <v>0.99473119373240415</v>
      </c>
      <c r="I726" t="s">
        <v>1242</v>
      </c>
      <c r="J726">
        <v>6</v>
      </c>
      <c r="K726" s="11">
        <f t="shared" si="66"/>
        <v>6.2155775398998981E-4</v>
      </c>
      <c r="L726" s="12">
        <f t="shared" si="71"/>
        <v>0.96919500579658135</v>
      </c>
      <c r="M726" t="str">
        <f t="shared" si="67"/>
        <v>C</v>
      </c>
      <c r="N726" t="str">
        <f t="shared" si="68"/>
        <v>BCC</v>
      </c>
      <c r="O726" s="11">
        <f>VLOOKUP(A726,XYZ!A725:G1528,2,FALSE)</f>
        <v>2.2360679774997894</v>
      </c>
      <c r="P726" t="str">
        <f t="shared" si="69"/>
        <v>Z</v>
      </c>
      <c r="Q726" t="str">
        <f t="shared" si="70"/>
        <v>BCCZ</v>
      </c>
    </row>
    <row r="727" spans="1:17" x14ac:dyDescent="0.15">
      <c r="A727" t="s">
        <v>1038</v>
      </c>
      <c r="B727" s="9">
        <v>1</v>
      </c>
      <c r="C727" s="13">
        <v>0</v>
      </c>
      <c r="D727" s="13">
        <v>0.85</v>
      </c>
      <c r="E727" s="9" t="s">
        <v>1241</v>
      </c>
      <c r="F727">
        <v>51</v>
      </c>
      <c r="G727" s="11">
        <v>1.3855226665145009E-4</v>
      </c>
      <c r="H727" s="12">
        <v>0.99501023843646075</v>
      </c>
      <c r="I727" t="s">
        <v>1242</v>
      </c>
      <c r="J727">
        <v>6</v>
      </c>
      <c r="K727" s="11">
        <f t="shared" si="66"/>
        <v>6.2155775398998981E-4</v>
      </c>
      <c r="L727" s="12">
        <f t="shared" si="71"/>
        <v>0.96981656355057133</v>
      </c>
      <c r="M727" t="str">
        <f t="shared" si="67"/>
        <v>C</v>
      </c>
      <c r="N727" t="str">
        <f t="shared" si="68"/>
        <v>BCC</v>
      </c>
      <c r="O727" s="11">
        <f>VLOOKUP(A727,XYZ!A726:G1529,2,FALSE)</f>
        <v>2.2360679774997894</v>
      </c>
      <c r="P727" t="str">
        <f t="shared" si="69"/>
        <v>Z</v>
      </c>
      <c r="Q727" t="str">
        <f t="shared" si="70"/>
        <v>BCCZ</v>
      </c>
    </row>
    <row r="728" spans="1:17" x14ac:dyDescent="0.15">
      <c r="A728" t="s">
        <v>623</v>
      </c>
      <c r="B728" s="9">
        <v>1</v>
      </c>
      <c r="C728" s="13">
        <v>0</v>
      </c>
      <c r="D728" s="13">
        <v>0.98</v>
      </c>
      <c r="E728" s="9" t="s">
        <v>1242</v>
      </c>
      <c r="F728">
        <v>50</v>
      </c>
      <c r="G728" s="11">
        <v>1.3583555554063734E-4</v>
      </c>
      <c r="H728" s="12">
        <v>0.99541774510308267</v>
      </c>
      <c r="I728" t="s">
        <v>1242</v>
      </c>
      <c r="J728">
        <v>6</v>
      </c>
      <c r="K728" s="11">
        <f t="shared" si="66"/>
        <v>6.2155775398998981E-4</v>
      </c>
      <c r="L728" s="12">
        <f t="shared" si="71"/>
        <v>0.97043812130456131</v>
      </c>
      <c r="M728" t="str">
        <f t="shared" si="67"/>
        <v>C</v>
      </c>
      <c r="N728" t="str">
        <f t="shared" si="68"/>
        <v>CCC</v>
      </c>
      <c r="O728" s="11">
        <f>VLOOKUP(A728,XYZ!A727:G1530,2,FALSE)</f>
        <v>2.2360679774997894</v>
      </c>
      <c r="P728" t="str">
        <f t="shared" si="69"/>
        <v>Z</v>
      </c>
      <c r="Q728" t="str">
        <f t="shared" si="70"/>
        <v>CCCZ</v>
      </c>
    </row>
    <row r="729" spans="1:17" x14ac:dyDescent="0.15">
      <c r="A729" t="s">
        <v>871</v>
      </c>
      <c r="B729" s="9">
        <v>1</v>
      </c>
      <c r="C729" s="13">
        <v>0</v>
      </c>
      <c r="D729" s="13">
        <v>0.69</v>
      </c>
      <c r="E729" s="9" t="s">
        <v>1240</v>
      </c>
      <c r="F729">
        <v>49</v>
      </c>
      <c r="G729" s="11">
        <v>1.3311884442982459E-4</v>
      </c>
      <c r="H729" s="12">
        <v>0.99555086394751247</v>
      </c>
      <c r="I729" t="s">
        <v>1242</v>
      </c>
      <c r="J729">
        <v>6</v>
      </c>
      <c r="K729" s="11">
        <f t="shared" si="66"/>
        <v>6.2155775398998981E-4</v>
      </c>
      <c r="L729" s="12">
        <f t="shared" si="71"/>
        <v>0.97105967905855128</v>
      </c>
      <c r="M729" t="str">
        <f t="shared" si="67"/>
        <v>C</v>
      </c>
      <c r="N729" t="str">
        <f t="shared" si="68"/>
        <v>ACC</v>
      </c>
      <c r="O729" s="11">
        <f>VLOOKUP(A729,XYZ!A728:G1531,2,FALSE)</f>
        <v>2.2360679774997894</v>
      </c>
      <c r="P729" t="str">
        <f t="shared" si="69"/>
        <v>Z</v>
      </c>
      <c r="Q729" t="str">
        <f t="shared" si="70"/>
        <v>ACCZ</v>
      </c>
    </row>
    <row r="730" spans="1:17" x14ac:dyDescent="0.15">
      <c r="A730" t="s">
        <v>1139</v>
      </c>
      <c r="B730" s="9">
        <v>1</v>
      </c>
      <c r="C730" s="13">
        <v>0</v>
      </c>
      <c r="D730" s="13">
        <v>0.94</v>
      </c>
      <c r="E730" s="9" t="s">
        <v>1241</v>
      </c>
      <c r="F730">
        <v>49</v>
      </c>
      <c r="G730" s="11">
        <v>1.3311884442982459E-4</v>
      </c>
      <c r="H730" s="12">
        <v>0.99568398279194226</v>
      </c>
      <c r="I730" t="s">
        <v>1242</v>
      </c>
      <c r="J730">
        <v>6</v>
      </c>
      <c r="K730" s="11">
        <f t="shared" si="66"/>
        <v>6.2155775398998981E-4</v>
      </c>
      <c r="L730" s="12">
        <f t="shared" si="71"/>
        <v>0.97168123681254126</v>
      </c>
      <c r="M730" t="str">
        <f t="shared" si="67"/>
        <v>C</v>
      </c>
      <c r="N730" t="str">
        <f t="shared" si="68"/>
        <v>BCC</v>
      </c>
      <c r="O730" s="11">
        <f>VLOOKUP(A730,XYZ!A729:G1532,2,FALSE)</f>
        <v>2.2360679774997894</v>
      </c>
      <c r="P730" t="str">
        <f t="shared" si="69"/>
        <v>Z</v>
      </c>
      <c r="Q730" t="str">
        <f t="shared" si="70"/>
        <v>BCCZ</v>
      </c>
    </row>
    <row r="731" spans="1:17" x14ac:dyDescent="0.15">
      <c r="A731" t="s">
        <v>818</v>
      </c>
      <c r="B731" s="9">
        <v>1</v>
      </c>
      <c r="C731" s="13">
        <v>0</v>
      </c>
      <c r="D731" s="13">
        <v>0.96</v>
      </c>
      <c r="E731" s="9" t="s">
        <v>1242</v>
      </c>
      <c r="F731">
        <v>47</v>
      </c>
      <c r="G731" s="11">
        <v>1.2768542220819909E-4</v>
      </c>
      <c r="H731" s="12">
        <v>0.99594207034746951</v>
      </c>
      <c r="I731" t="s">
        <v>1242</v>
      </c>
      <c r="J731">
        <v>6</v>
      </c>
      <c r="K731" s="11">
        <f t="shared" si="66"/>
        <v>6.2155775398998981E-4</v>
      </c>
      <c r="L731" s="12">
        <f t="shared" si="71"/>
        <v>0.97230279456653124</v>
      </c>
      <c r="M731" t="str">
        <f t="shared" si="67"/>
        <v>C</v>
      </c>
      <c r="N731" t="str">
        <f t="shared" si="68"/>
        <v>CCC</v>
      </c>
      <c r="O731" s="11">
        <f>VLOOKUP(A731,XYZ!A730:G1533,2,FALSE)</f>
        <v>2.2360679774997894</v>
      </c>
      <c r="P731" t="str">
        <f t="shared" si="69"/>
        <v>Z</v>
      </c>
      <c r="Q731" t="str">
        <f t="shared" si="70"/>
        <v>CCCZ</v>
      </c>
    </row>
    <row r="732" spans="1:17" x14ac:dyDescent="0.15">
      <c r="A732" t="s">
        <v>459</v>
      </c>
      <c r="B732" s="9">
        <v>1</v>
      </c>
      <c r="C732" s="13">
        <v>0</v>
      </c>
      <c r="D732" s="13">
        <v>0.71</v>
      </c>
      <c r="E732" s="9" t="s">
        <v>1240</v>
      </c>
      <c r="F732">
        <v>46</v>
      </c>
      <c r="G732" s="11">
        <v>1.2496871109738634E-4</v>
      </c>
      <c r="H732" s="12">
        <v>0.99619200776966421</v>
      </c>
      <c r="I732" t="s">
        <v>1242</v>
      </c>
      <c r="J732">
        <v>6</v>
      </c>
      <c r="K732" s="11">
        <f t="shared" si="66"/>
        <v>6.2155775398998981E-4</v>
      </c>
      <c r="L732" s="12">
        <f t="shared" si="71"/>
        <v>0.97292435232052121</v>
      </c>
      <c r="M732" t="str">
        <f t="shared" si="67"/>
        <v>C</v>
      </c>
      <c r="N732" t="str">
        <f t="shared" si="68"/>
        <v>ACC</v>
      </c>
      <c r="O732" s="11">
        <f>VLOOKUP(A732,XYZ!A731:G1534,2,FALSE)</f>
        <v>2.2360679774997894</v>
      </c>
      <c r="P732" t="str">
        <f t="shared" si="69"/>
        <v>Z</v>
      </c>
      <c r="Q732" t="str">
        <f t="shared" si="70"/>
        <v>ACCZ</v>
      </c>
    </row>
    <row r="733" spans="1:17" x14ac:dyDescent="0.15">
      <c r="A733" t="s">
        <v>327</v>
      </c>
      <c r="B733" s="9">
        <v>1</v>
      </c>
      <c r="C733" s="13">
        <v>0</v>
      </c>
      <c r="D733" s="13">
        <v>0.84</v>
      </c>
      <c r="E733" s="9" t="s">
        <v>1241</v>
      </c>
      <c r="F733">
        <v>46</v>
      </c>
      <c r="G733" s="11">
        <v>1.2496871109738634E-4</v>
      </c>
      <c r="H733" s="12">
        <v>0.99631697648076156</v>
      </c>
      <c r="I733" t="s">
        <v>1242</v>
      </c>
      <c r="J733">
        <v>6</v>
      </c>
      <c r="K733" s="11">
        <f t="shared" si="66"/>
        <v>6.2155775398998981E-4</v>
      </c>
      <c r="L733" s="12">
        <f t="shared" si="71"/>
        <v>0.97354591007451119</v>
      </c>
      <c r="M733" t="str">
        <f t="shared" si="67"/>
        <v>C</v>
      </c>
      <c r="N733" t="str">
        <f t="shared" si="68"/>
        <v>BCC</v>
      </c>
      <c r="O733" s="11">
        <f>VLOOKUP(A733,XYZ!A732:G1535,2,FALSE)</f>
        <v>2.2360679774997894</v>
      </c>
      <c r="P733" t="str">
        <f t="shared" si="69"/>
        <v>Z</v>
      </c>
      <c r="Q733" t="str">
        <f t="shared" si="70"/>
        <v>BCCZ</v>
      </c>
    </row>
    <row r="734" spans="1:17" x14ac:dyDescent="0.15">
      <c r="A734" t="s">
        <v>741</v>
      </c>
      <c r="B734" s="9">
        <v>1</v>
      </c>
      <c r="C734" s="13">
        <v>0</v>
      </c>
      <c r="D734" s="13">
        <v>0.88</v>
      </c>
      <c r="E734" s="9" t="s">
        <v>1241</v>
      </c>
      <c r="F734">
        <v>45</v>
      </c>
      <c r="G734" s="11">
        <v>1.2225199998657361E-4</v>
      </c>
      <c r="H734" s="12">
        <v>0.99643922848074817</v>
      </c>
      <c r="I734" t="s">
        <v>1242</v>
      </c>
      <c r="J734">
        <v>6</v>
      </c>
      <c r="K734" s="11">
        <f t="shared" si="66"/>
        <v>6.2155775398998981E-4</v>
      </c>
      <c r="L734" s="12">
        <f t="shared" si="71"/>
        <v>0.97416746782850117</v>
      </c>
      <c r="M734" t="str">
        <f t="shared" si="67"/>
        <v>C</v>
      </c>
      <c r="N734" t="str">
        <f t="shared" si="68"/>
        <v>BCC</v>
      </c>
      <c r="O734" s="11">
        <f>VLOOKUP(A734,XYZ!A733:G1536,2,FALSE)</f>
        <v>2.2360679774997894</v>
      </c>
      <c r="P734" t="str">
        <f t="shared" si="69"/>
        <v>Z</v>
      </c>
      <c r="Q734" t="str">
        <f t="shared" si="70"/>
        <v>BCCZ</v>
      </c>
    </row>
    <row r="735" spans="1:17" x14ac:dyDescent="0.15">
      <c r="A735" t="s">
        <v>859</v>
      </c>
      <c r="B735" s="9">
        <v>1</v>
      </c>
      <c r="C735" s="13">
        <v>0</v>
      </c>
      <c r="D735" s="13">
        <v>0.92</v>
      </c>
      <c r="E735" s="9" t="s">
        <v>1241</v>
      </c>
      <c r="F735">
        <v>44</v>
      </c>
      <c r="G735" s="11">
        <v>1.1953528887576085E-4</v>
      </c>
      <c r="H735" s="12">
        <v>0.99679783434737546</v>
      </c>
      <c r="I735" t="s">
        <v>1242</v>
      </c>
      <c r="J735">
        <v>6</v>
      </c>
      <c r="K735" s="11">
        <f t="shared" si="66"/>
        <v>6.2155775398998981E-4</v>
      </c>
      <c r="L735" s="12">
        <f t="shared" si="71"/>
        <v>0.97478902558249114</v>
      </c>
      <c r="M735" t="str">
        <f t="shared" si="67"/>
        <v>C</v>
      </c>
      <c r="N735" t="str">
        <f t="shared" si="68"/>
        <v>BCC</v>
      </c>
      <c r="O735" s="11">
        <f>VLOOKUP(A735,XYZ!A734:G1537,2,FALSE)</f>
        <v>2.2360679774997894</v>
      </c>
      <c r="P735" t="str">
        <f t="shared" si="69"/>
        <v>Z</v>
      </c>
      <c r="Q735" t="str">
        <f t="shared" si="70"/>
        <v>BCCZ</v>
      </c>
    </row>
    <row r="736" spans="1:17" x14ac:dyDescent="0.15">
      <c r="A736" t="s">
        <v>713</v>
      </c>
      <c r="B736" s="9">
        <v>1</v>
      </c>
      <c r="C736" s="13">
        <v>0</v>
      </c>
      <c r="D736" s="13">
        <v>0.75</v>
      </c>
      <c r="E736" s="9" t="s">
        <v>1240</v>
      </c>
      <c r="F736">
        <v>43</v>
      </c>
      <c r="G736" s="11">
        <v>1.1681857776494811E-4</v>
      </c>
      <c r="H736" s="12">
        <v>0.99691465292514037</v>
      </c>
      <c r="I736" t="s">
        <v>1242</v>
      </c>
      <c r="J736">
        <v>6</v>
      </c>
      <c r="K736" s="11">
        <f t="shared" si="66"/>
        <v>6.2155775398998981E-4</v>
      </c>
      <c r="L736" s="12">
        <f t="shared" si="71"/>
        <v>0.97541058333648112</v>
      </c>
      <c r="M736" t="str">
        <f t="shared" si="67"/>
        <v>C</v>
      </c>
      <c r="N736" t="str">
        <f t="shared" si="68"/>
        <v>ACC</v>
      </c>
      <c r="O736" s="11">
        <f>VLOOKUP(A736,XYZ!A735:G1538,2,FALSE)</f>
        <v>2.2360679774997894</v>
      </c>
      <c r="P736" t="str">
        <f t="shared" si="69"/>
        <v>Z</v>
      </c>
      <c r="Q736" t="str">
        <f t="shared" si="70"/>
        <v>ACCZ</v>
      </c>
    </row>
    <row r="737" spans="1:17" x14ac:dyDescent="0.15">
      <c r="A737" t="s">
        <v>361</v>
      </c>
      <c r="B737" s="9">
        <v>1</v>
      </c>
      <c r="C737" s="13">
        <v>0</v>
      </c>
      <c r="D737" s="13">
        <v>0.93</v>
      </c>
      <c r="E737" s="9" t="s">
        <v>1241</v>
      </c>
      <c r="F737">
        <v>41</v>
      </c>
      <c r="G737" s="11">
        <v>1.1138515554332261E-4</v>
      </c>
      <c r="H737" s="12">
        <v>0.99702603808068369</v>
      </c>
      <c r="I737" t="s">
        <v>1242</v>
      </c>
      <c r="J737">
        <v>6</v>
      </c>
      <c r="K737" s="11">
        <f t="shared" si="66"/>
        <v>6.2155775398998981E-4</v>
      </c>
      <c r="L737" s="12">
        <f t="shared" si="71"/>
        <v>0.97603214109047109</v>
      </c>
      <c r="M737" t="str">
        <f t="shared" si="67"/>
        <v>C</v>
      </c>
      <c r="N737" t="str">
        <f t="shared" si="68"/>
        <v>BCC</v>
      </c>
      <c r="O737" s="11">
        <f>VLOOKUP(A737,XYZ!A736:G1539,2,FALSE)</f>
        <v>2.2360679774997894</v>
      </c>
      <c r="P737" t="str">
        <f t="shared" si="69"/>
        <v>Z</v>
      </c>
      <c r="Q737" t="str">
        <f t="shared" si="70"/>
        <v>BCCZ</v>
      </c>
    </row>
    <row r="738" spans="1:17" x14ac:dyDescent="0.15">
      <c r="A738" t="s">
        <v>958</v>
      </c>
      <c r="B738" s="9">
        <v>1</v>
      </c>
      <c r="C738" s="13">
        <v>0</v>
      </c>
      <c r="D738" s="13">
        <v>0.7</v>
      </c>
      <c r="E738" s="9" t="s">
        <v>1240</v>
      </c>
      <c r="F738">
        <v>40</v>
      </c>
      <c r="G738" s="11">
        <v>1.0866844443250987E-4</v>
      </c>
      <c r="H738" s="12">
        <v>0.99724574394163734</v>
      </c>
      <c r="I738" t="s">
        <v>1242</v>
      </c>
      <c r="J738">
        <v>6</v>
      </c>
      <c r="K738" s="11">
        <f t="shared" si="66"/>
        <v>6.2155775398998981E-4</v>
      </c>
      <c r="L738" s="12">
        <f t="shared" si="71"/>
        <v>0.97665369884446107</v>
      </c>
      <c r="M738" t="str">
        <f t="shared" si="67"/>
        <v>C</v>
      </c>
      <c r="N738" t="str">
        <f t="shared" si="68"/>
        <v>ACC</v>
      </c>
      <c r="O738" s="11">
        <f>VLOOKUP(A738,XYZ!A737:G1540,2,FALSE)</f>
        <v>2.2360679774997894</v>
      </c>
      <c r="P738" t="str">
        <f t="shared" si="69"/>
        <v>Z</v>
      </c>
      <c r="Q738" t="str">
        <f t="shared" si="70"/>
        <v>ACCZ</v>
      </c>
    </row>
    <row r="739" spans="1:17" x14ac:dyDescent="0.15">
      <c r="A739" t="s">
        <v>1161</v>
      </c>
      <c r="B739" s="9">
        <v>1</v>
      </c>
      <c r="C739" s="13">
        <v>0</v>
      </c>
      <c r="D739" s="13">
        <v>0.89</v>
      </c>
      <c r="E739" s="9" t="s">
        <v>1241</v>
      </c>
      <c r="F739">
        <v>40</v>
      </c>
      <c r="G739" s="11">
        <v>1.0866844443250987E-4</v>
      </c>
      <c r="H739" s="12">
        <v>0.99735441238606981</v>
      </c>
      <c r="I739" t="s">
        <v>1242</v>
      </c>
      <c r="J739">
        <v>6</v>
      </c>
      <c r="K739" s="11">
        <f t="shared" si="66"/>
        <v>6.2155775398998981E-4</v>
      </c>
      <c r="L739" s="12">
        <f t="shared" si="71"/>
        <v>0.97727525659845105</v>
      </c>
      <c r="M739" t="str">
        <f t="shared" si="67"/>
        <v>C</v>
      </c>
      <c r="N739" t="str">
        <f t="shared" si="68"/>
        <v>BCC</v>
      </c>
      <c r="O739" s="11">
        <f>VLOOKUP(A739,XYZ!A738:G1541,2,FALSE)</f>
        <v>2.2360679774997894</v>
      </c>
      <c r="P739" t="str">
        <f t="shared" si="69"/>
        <v>Z</v>
      </c>
      <c r="Q739" t="str">
        <f t="shared" si="70"/>
        <v>BCCZ</v>
      </c>
    </row>
    <row r="740" spans="1:17" x14ac:dyDescent="0.15">
      <c r="A740" t="s">
        <v>370</v>
      </c>
      <c r="B740" s="9">
        <v>1</v>
      </c>
      <c r="C740" s="13">
        <v>0</v>
      </c>
      <c r="D740" s="13">
        <v>0.93</v>
      </c>
      <c r="E740" s="9" t="s">
        <v>1241</v>
      </c>
      <c r="F740">
        <v>40</v>
      </c>
      <c r="G740" s="11">
        <v>1.0866844443250987E-4</v>
      </c>
      <c r="H740" s="12">
        <v>0.99746308083050228</v>
      </c>
      <c r="I740" t="s">
        <v>1242</v>
      </c>
      <c r="J740">
        <v>6</v>
      </c>
      <c r="K740" s="11">
        <f t="shared" si="66"/>
        <v>6.2155775398998981E-4</v>
      </c>
      <c r="L740" s="12">
        <f t="shared" si="71"/>
        <v>0.97789681435244102</v>
      </c>
      <c r="M740" t="str">
        <f t="shared" si="67"/>
        <v>C</v>
      </c>
      <c r="N740" t="str">
        <f t="shared" si="68"/>
        <v>BCC</v>
      </c>
      <c r="O740" s="11">
        <f>VLOOKUP(A740,XYZ!A739:G1542,2,FALSE)</f>
        <v>2.2360679774997894</v>
      </c>
      <c r="P740" t="str">
        <f t="shared" si="69"/>
        <v>Z</v>
      </c>
      <c r="Q740" t="str">
        <f t="shared" si="70"/>
        <v>BCCZ</v>
      </c>
    </row>
    <row r="741" spans="1:17" x14ac:dyDescent="0.15">
      <c r="A741" t="s">
        <v>887</v>
      </c>
      <c r="B741" s="9">
        <v>1</v>
      </c>
      <c r="C741" s="13">
        <v>0</v>
      </c>
      <c r="D741" s="13">
        <v>0.7</v>
      </c>
      <c r="E741" s="9" t="s">
        <v>1240</v>
      </c>
      <c r="F741">
        <v>39</v>
      </c>
      <c r="G741" s="11">
        <v>1.0595173332169712E-4</v>
      </c>
      <c r="H741" s="12">
        <v>0.99756903256382401</v>
      </c>
      <c r="I741" t="s">
        <v>1242</v>
      </c>
      <c r="J741">
        <v>6</v>
      </c>
      <c r="K741" s="11">
        <f t="shared" si="66"/>
        <v>6.2155775398998981E-4</v>
      </c>
      <c r="L741" s="12">
        <f t="shared" si="71"/>
        <v>0.978518372106431</v>
      </c>
      <c r="M741" t="str">
        <f t="shared" si="67"/>
        <v>C</v>
      </c>
      <c r="N741" t="str">
        <f t="shared" si="68"/>
        <v>ACC</v>
      </c>
      <c r="O741" s="11">
        <f>VLOOKUP(A741,XYZ!A740:G1543,2,FALSE)</f>
        <v>2.2360679774997894</v>
      </c>
      <c r="P741" t="str">
        <f t="shared" si="69"/>
        <v>Z</v>
      </c>
      <c r="Q741" t="str">
        <f t="shared" si="70"/>
        <v>ACCZ</v>
      </c>
    </row>
    <row r="742" spans="1:17" x14ac:dyDescent="0.15">
      <c r="A742" t="s">
        <v>73</v>
      </c>
      <c r="B742" s="9">
        <v>1</v>
      </c>
      <c r="C742" s="13">
        <v>0</v>
      </c>
      <c r="D742" s="13">
        <v>0.74</v>
      </c>
      <c r="E742" s="9" t="s">
        <v>1240</v>
      </c>
      <c r="F742">
        <v>39</v>
      </c>
      <c r="G742" s="11">
        <v>1.0595173332169712E-4</v>
      </c>
      <c r="H742" s="12">
        <v>0.99767498429714574</v>
      </c>
      <c r="I742" t="s">
        <v>1242</v>
      </c>
      <c r="J742">
        <v>6</v>
      </c>
      <c r="K742" s="11">
        <f t="shared" si="66"/>
        <v>6.2155775398998981E-4</v>
      </c>
      <c r="L742" s="12">
        <f t="shared" si="71"/>
        <v>0.97913992986042098</v>
      </c>
      <c r="M742" t="str">
        <f t="shared" si="67"/>
        <v>C</v>
      </c>
      <c r="N742" t="str">
        <f t="shared" si="68"/>
        <v>ACC</v>
      </c>
      <c r="O742" s="11">
        <f>VLOOKUP(A742,XYZ!A741:G1544,2,FALSE)</f>
        <v>2.2360679774997894</v>
      </c>
      <c r="P742" t="str">
        <f t="shared" si="69"/>
        <v>Z</v>
      </c>
      <c r="Q742" t="str">
        <f t="shared" si="70"/>
        <v>ACCZ</v>
      </c>
    </row>
    <row r="743" spans="1:17" x14ac:dyDescent="0.15">
      <c r="A743" t="s">
        <v>1158</v>
      </c>
      <c r="B743" s="9">
        <v>1</v>
      </c>
      <c r="C743" s="13">
        <v>0</v>
      </c>
      <c r="D743" s="13">
        <v>0.81</v>
      </c>
      <c r="E743" s="9" t="s">
        <v>1241</v>
      </c>
      <c r="F743">
        <v>39</v>
      </c>
      <c r="G743" s="11">
        <v>1.0595173332169712E-4</v>
      </c>
      <c r="H743" s="12">
        <v>0.99778093603046747</v>
      </c>
      <c r="I743" t="s">
        <v>1242</v>
      </c>
      <c r="J743">
        <v>6</v>
      </c>
      <c r="K743" s="11">
        <f t="shared" si="66"/>
        <v>6.2155775398998981E-4</v>
      </c>
      <c r="L743" s="12">
        <f t="shared" si="71"/>
        <v>0.97976148761441095</v>
      </c>
      <c r="M743" t="str">
        <f t="shared" si="67"/>
        <v>C</v>
      </c>
      <c r="N743" t="str">
        <f t="shared" si="68"/>
        <v>BCC</v>
      </c>
      <c r="O743" s="11">
        <f>VLOOKUP(A743,XYZ!A742:G1545,2,FALSE)</f>
        <v>2.2360679774997894</v>
      </c>
      <c r="P743" t="str">
        <f t="shared" si="69"/>
        <v>Z</v>
      </c>
      <c r="Q743" t="str">
        <f t="shared" si="70"/>
        <v>BCCZ</v>
      </c>
    </row>
    <row r="744" spans="1:17" x14ac:dyDescent="0.15">
      <c r="A744" t="s">
        <v>616</v>
      </c>
      <c r="B744" s="9">
        <v>1</v>
      </c>
      <c r="C744" s="13">
        <v>0</v>
      </c>
      <c r="D744" s="13">
        <v>0.74</v>
      </c>
      <c r="E744" s="9" t="s">
        <v>1240</v>
      </c>
      <c r="F744">
        <v>37</v>
      </c>
      <c r="G744" s="11">
        <v>1.0051831110007162E-4</v>
      </c>
      <c r="H744" s="12">
        <v>0.99798468936377838</v>
      </c>
      <c r="I744" t="s">
        <v>1242</v>
      </c>
      <c r="J744">
        <v>6</v>
      </c>
      <c r="K744" s="11">
        <f t="shared" si="66"/>
        <v>6.2155775398998981E-4</v>
      </c>
      <c r="L744" s="12">
        <f t="shared" si="71"/>
        <v>0.98038304536840093</v>
      </c>
      <c r="M744" t="str">
        <f t="shared" si="67"/>
        <v>C</v>
      </c>
      <c r="N744" t="str">
        <f t="shared" si="68"/>
        <v>ACC</v>
      </c>
      <c r="O744" s="11">
        <f>VLOOKUP(A744,XYZ!A743:G1546,2,FALSE)</f>
        <v>2.2360679774997894</v>
      </c>
      <c r="P744" t="str">
        <f t="shared" si="69"/>
        <v>Z</v>
      </c>
      <c r="Q744" t="str">
        <f t="shared" si="70"/>
        <v>ACCZ</v>
      </c>
    </row>
    <row r="745" spans="1:17" x14ac:dyDescent="0.15">
      <c r="A745" t="s">
        <v>277</v>
      </c>
      <c r="B745" s="9">
        <v>1</v>
      </c>
      <c r="C745" s="13">
        <v>0</v>
      </c>
      <c r="D745" s="13">
        <v>0.99</v>
      </c>
      <c r="E745" s="9" t="s">
        <v>1242</v>
      </c>
      <c r="F745">
        <v>37</v>
      </c>
      <c r="G745" s="11">
        <v>1.0051831110007162E-4</v>
      </c>
      <c r="H745" s="12">
        <v>0.99808520767487841</v>
      </c>
      <c r="I745" t="s">
        <v>1242</v>
      </c>
      <c r="J745">
        <v>6</v>
      </c>
      <c r="K745" s="11">
        <f t="shared" si="66"/>
        <v>6.2155775398998981E-4</v>
      </c>
      <c r="L745" s="12">
        <f t="shared" si="71"/>
        <v>0.98100460312239091</v>
      </c>
      <c r="M745" t="str">
        <f t="shared" si="67"/>
        <v>C</v>
      </c>
      <c r="N745" t="str">
        <f t="shared" si="68"/>
        <v>CCC</v>
      </c>
      <c r="O745" s="11">
        <f>VLOOKUP(A745,XYZ!A744:G1547,2,FALSE)</f>
        <v>2.2360679774997894</v>
      </c>
      <c r="P745" t="str">
        <f t="shared" si="69"/>
        <v>Z</v>
      </c>
      <c r="Q745" t="str">
        <f t="shared" si="70"/>
        <v>CCCZ</v>
      </c>
    </row>
    <row r="746" spans="1:17" x14ac:dyDescent="0.15">
      <c r="A746" t="s">
        <v>918</v>
      </c>
      <c r="B746" s="9">
        <v>1</v>
      </c>
      <c r="C746" s="13">
        <v>0</v>
      </c>
      <c r="D746" s="13">
        <v>0.72</v>
      </c>
      <c r="E746" s="9" t="s">
        <v>1240</v>
      </c>
      <c r="F746">
        <v>36</v>
      </c>
      <c r="G746" s="11">
        <v>9.7801599989258886E-5</v>
      </c>
      <c r="H746" s="12">
        <v>0.99837861247484627</v>
      </c>
      <c r="I746" t="s">
        <v>1242</v>
      </c>
      <c r="J746">
        <v>6</v>
      </c>
      <c r="K746" s="11">
        <f t="shared" si="66"/>
        <v>6.2155775398998981E-4</v>
      </c>
      <c r="L746" s="12">
        <f t="shared" si="71"/>
        <v>0.98162616087638088</v>
      </c>
      <c r="M746" t="str">
        <f t="shared" si="67"/>
        <v>C</v>
      </c>
      <c r="N746" t="str">
        <f t="shared" si="68"/>
        <v>ACC</v>
      </c>
      <c r="O746" s="11">
        <f>VLOOKUP(A746,XYZ!A745:G1548,2,FALSE)</f>
        <v>2.2360679774997894</v>
      </c>
      <c r="P746" t="str">
        <f t="shared" si="69"/>
        <v>Z</v>
      </c>
      <c r="Q746" t="str">
        <f t="shared" si="70"/>
        <v>ACCZ</v>
      </c>
    </row>
    <row r="747" spans="1:17" x14ac:dyDescent="0.15">
      <c r="A747" t="s">
        <v>777</v>
      </c>
      <c r="B747" s="9">
        <v>1</v>
      </c>
      <c r="C747" s="13">
        <v>0</v>
      </c>
      <c r="D747" s="13">
        <v>0.74</v>
      </c>
      <c r="E747" s="9" t="s">
        <v>1240</v>
      </c>
      <c r="F747">
        <v>35</v>
      </c>
      <c r="G747" s="11">
        <v>9.5084888878446135E-5</v>
      </c>
      <c r="H747" s="12">
        <v>0.99847369736372471</v>
      </c>
      <c r="I747" t="s">
        <v>1242</v>
      </c>
      <c r="J747">
        <v>6</v>
      </c>
      <c r="K747" s="11">
        <f t="shared" si="66"/>
        <v>6.2155775398998981E-4</v>
      </c>
      <c r="L747" s="12">
        <f t="shared" si="71"/>
        <v>0.98224771863037086</v>
      </c>
      <c r="M747" t="str">
        <f t="shared" si="67"/>
        <v>C</v>
      </c>
      <c r="N747" t="str">
        <f t="shared" si="68"/>
        <v>ACC</v>
      </c>
      <c r="O747" s="11">
        <f>VLOOKUP(A747,XYZ!A746:G1549,2,FALSE)</f>
        <v>2.2360679774997894</v>
      </c>
      <c r="P747" t="str">
        <f t="shared" si="69"/>
        <v>Z</v>
      </c>
      <c r="Q747" t="str">
        <f t="shared" si="70"/>
        <v>ACCZ</v>
      </c>
    </row>
    <row r="748" spans="1:17" x14ac:dyDescent="0.15">
      <c r="A748" t="s">
        <v>853</v>
      </c>
      <c r="B748" s="9">
        <v>1</v>
      </c>
      <c r="C748" s="13">
        <v>0</v>
      </c>
      <c r="D748" s="13">
        <v>0.83</v>
      </c>
      <c r="E748" s="9" t="s">
        <v>1241</v>
      </c>
      <c r="F748">
        <v>35</v>
      </c>
      <c r="G748" s="11">
        <v>9.5084888878446135E-5</v>
      </c>
      <c r="H748" s="12">
        <v>0.99856878225260315</v>
      </c>
      <c r="I748" t="s">
        <v>1242</v>
      </c>
      <c r="J748">
        <v>6</v>
      </c>
      <c r="K748" s="11">
        <f t="shared" si="66"/>
        <v>6.2155775398998981E-4</v>
      </c>
      <c r="L748" s="12">
        <f t="shared" si="71"/>
        <v>0.98286927638436083</v>
      </c>
      <c r="M748" t="str">
        <f t="shared" si="67"/>
        <v>C</v>
      </c>
      <c r="N748" t="str">
        <f t="shared" si="68"/>
        <v>BCC</v>
      </c>
      <c r="O748" s="11">
        <f>VLOOKUP(A748,XYZ!A747:G1550,2,FALSE)</f>
        <v>2.2360679774997894</v>
      </c>
      <c r="P748" t="str">
        <f t="shared" si="69"/>
        <v>Z</v>
      </c>
      <c r="Q748" t="str">
        <f t="shared" si="70"/>
        <v>BCCZ</v>
      </c>
    </row>
    <row r="749" spans="1:17" x14ac:dyDescent="0.15">
      <c r="A749" t="s">
        <v>247</v>
      </c>
      <c r="B749" s="9">
        <v>1</v>
      </c>
      <c r="C749" s="13">
        <v>0</v>
      </c>
      <c r="D749" s="13">
        <v>0.97</v>
      </c>
      <c r="E749" s="9" t="s">
        <v>1242</v>
      </c>
      <c r="F749">
        <v>32</v>
      </c>
      <c r="G749" s="11">
        <v>8.6934755546007897E-5</v>
      </c>
      <c r="H749" s="12">
        <v>0.99883501994146273</v>
      </c>
      <c r="I749" t="s">
        <v>1242</v>
      </c>
      <c r="J749">
        <v>6</v>
      </c>
      <c r="K749" s="11">
        <f t="shared" si="66"/>
        <v>6.2155775398998981E-4</v>
      </c>
      <c r="L749" s="12">
        <f t="shared" si="71"/>
        <v>0.98349083413835081</v>
      </c>
      <c r="M749" t="str">
        <f t="shared" si="67"/>
        <v>C</v>
      </c>
      <c r="N749" t="str">
        <f t="shared" si="68"/>
        <v>CCC</v>
      </c>
      <c r="O749" s="11">
        <f>VLOOKUP(A749,XYZ!A748:G1551,2,FALSE)</f>
        <v>2.2360679774997894</v>
      </c>
      <c r="P749" t="str">
        <f t="shared" si="69"/>
        <v>Z</v>
      </c>
      <c r="Q749" t="str">
        <f t="shared" si="70"/>
        <v>CCCZ</v>
      </c>
    </row>
    <row r="750" spans="1:17" x14ac:dyDescent="0.15">
      <c r="A750" t="s">
        <v>1229</v>
      </c>
      <c r="B750" s="9">
        <v>1</v>
      </c>
      <c r="C750" s="13">
        <v>0</v>
      </c>
      <c r="D750" s="13">
        <v>0.76</v>
      </c>
      <c r="E750" s="9" t="s">
        <v>1240</v>
      </c>
      <c r="F750">
        <v>30</v>
      </c>
      <c r="G750" s="11">
        <v>8.1501333324382396E-5</v>
      </c>
      <c r="H750" s="12">
        <v>0.99891652127478714</v>
      </c>
      <c r="I750" t="s">
        <v>1242</v>
      </c>
      <c r="J750">
        <v>6</v>
      </c>
      <c r="K750" s="11">
        <f t="shared" si="66"/>
        <v>6.2155775398998981E-4</v>
      </c>
      <c r="L750" s="12">
        <f t="shared" si="71"/>
        <v>0.98411239189234079</v>
      </c>
      <c r="M750" t="str">
        <f t="shared" si="67"/>
        <v>C</v>
      </c>
      <c r="N750" t="str">
        <f t="shared" si="68"/>
        <v>ACC</v>
      </c>
      <c r="O750" s="11">
        <f>VLOOKUP(A750,XYZ!A749:G1552,2,FALSE)</f>
        <v>2.2360679774997894</v>
      </c>
      <c r="P750" t="str">
        <f t="shared" si="69"/>
        <v>Z</v>
      </c>
      <c r="Q750" t="str">
        <f t="shared" si="70"/>
        <v>ACCZ</v>
      </c>
    </row>
    <row r="751" spans="1:17" x14ac:dyDescent="0.15">
      <c r="A751" t="s">
        <v>1215</v>
      </c>
      <c r="B751" s="9">
        <v>1</v>
      </c>
      <c r="C751" s="13">
        <v>0</v>
      </c>
      <c r="D751" s="13">
        <v>0.78</v>
      </c>
      <c r="E751" s="9" t="s">
        <v>1240</v>
      </c>
      <c r="F751">
        <v>30</v>
      </c>
      <c r="G751" s="11">
        <v>8.1501333324382396E-5</v>
      </c>
      <c r="H751" s="12">
        <v>0.99899802260811155</v>
      </c>
      <c r="I751" t="s">
        <v>1242</v>
      </c>
      <c r="J751">
        <v>6</v>
      </c>
      <c r="K751" s="11">
        <f t="shared" si="66"/>
        <v>6.2155775398998981E-4</v>
      </c>
      <c r="L751" s="12">
        <f t="shared" si="71"/>
        <v>0.98473394964633076</v>
      </c>
      <c r="M751" t="str">
        <f t="shared" si="67"/>
        <v>C</v>
      </c>
      <c r="N751" t="str">
        <f t="shared" si="68"/>
        <v>ACC</v>
      </c>
      <c r="O751" s="11">
        <f>VLOOKUP(A751,XYZ!A750:G1553,2,FALSE)</f>
        <v>2.2360679774997894</v>
      </c>
      <c r="P751" t="str">
        <f t="shared" si="69"/>
        <v>Z</v>
      </c>
      <c r="Q751" t="str">
        <f t="shared" si="70"/>
        <v>ACCZ</v>
      </c>
    </row>
    <row r="752" spans="1:17" x14ac:dyDescent="0.15">
      <c r="A752" t="s">
        <v>1222</v>
      </c>
      <c r="B752" s="9">
        <v>1</v>
      </c>
      <c r="C752" s="13">
        <v>0</v>
      </c>
      <c r="D752" s="13">
        <v>0.82</v>
      </c>
      <c r="E752" s="9" t="s">
        <v>1241</v>
      </c>
      <c r="F752">
        <v>29.9</v>
      </c>
      <c r="G752" s="11">
        <v>8.1229662213301126E-5</v>
      </c>
      <c r="H752" s="12">
        <v>0.9990792522703249</v>
      </c>
      <c r="I752" t="s">
        <v>1242</v>
      </c>
      <c r="J752">
        <v>6</v>
      </c>
      <c r="K752" s="11">
        <f t="shared" si="66"/>
        <v>6.2155775398998981E-4</v>
      </c>
      <c r="L752" s="12">
        <f t="shared" si="71"/>
        <v>0.98535550740032074</v>
      </c>
      <c r="M752" t="str">
        <f t="shared" si="67"/>
        <v>C</v>
      </c>
      <c r="N752" t="str">
        <f t="shared" si="68"/>
        <v>BCC</v>
      </c>
      <c r="O752" s="11">
        <f>VLOOKUP(A752,XYZ!A751:G1554,2,FALSE)</f>
        <v>2.2360679774997894</v>
      </c>
      <c r="P752" t="str">
        <f t="shared" si="69"/>
        <v>Z</v>
      </c>
      <c r="Q752" t="str">
        <f t="shared" si="70"/>
        <v>BCCZ</v>
      </c>
    </row>
    <row r="753" spans="1:17" x14ac:dyDescent="0.15">
      <c r="A753" t="s">
        <v>263</v>
      </c>
      <c r="B753" s="9">
        <v>1</v>
      </c>
      <c r="C753" s="13">
        <v>0</v>
      </c>
      <c r="D753" s="13">
        <v>0.97</v>
      </c>
      <c r="E753" s="9" t="s">
        <v>1242</v>
      </c>
      <c r="F753">
        <v>29</v>
      </c>
      <c r="G753" s="11">
        <v>7.8784622213569659E-5</v>
      </c>
      <c r="H753" s="12">
        <v>0.99915803689253846</v>
      </c>
      <c r="I753" t="s">
        <v>1242</v>
      </c>
      <c r="J753">
        <v>6</v>
      </c>
      <c r="K753" s="11">
        <f t="shared" si="66"/>
        <v>6.2155775398998981E-4</v>
      </c>
      <c r="L753" s="12">
        <f t="shared" si="71"/>
        <v>0.98597706515431072</v>
      </c>
      <c r="M753" t="str">
        <f t="shared" si="67"/>
        <v>C</v>
      </c>
      <c r="N753" t="str">
        <f t="shared" si="68"/>
        <v>CCC</v>
      </c>
      <c r="O753" s="11">
        <f>VLOOKUP(A753,XYZ!A752:G1555,2,FALSE)</f>
        <v>2.2360679774997894</v>
      </c>
      <c r="P753" t="str">
        <f t="shared" si="69"/>
        <v>Z</v>
      </c>
      <c r="Q753" t="str">
        <f t="shared" si="70"/>
        <v>CCCZ</v>
      </c>
    </row>
    <row r="754" spans="1:17" x14ac:dyDescent="0.15">
      <c r="A754" t="s">
        <v>1131</v>
      </c>
      <c r="B754" s="9">
        <v>1</v>
      </c>
      <c r="C754" s="13">
        <v>0</v>
      </c>
      <c r="D754" s="13">
        <v>0.72</v>
      </c>
      <c r="E754" s="9" t="s">
        <v>1240</v>
      </c>
      <c r="F754">
        <v>28</v>
      </c>
      <c r="G754" s="11">
        <v>7.6067911102756908E-5</v>
      </c>
      <c r="H754" s="12">
        <v>0.99931017271474387</v>
      </c>
      <c r="I754" t="s">
        <v>1242</v>
      </c>
      <c r="J754">
        <v>6</v>
      </c>
      <c r="K754" s="11">
        <f t="shared" si="66"/>
        <v>6.2155775398998981E-4</v>
      </c>
      <c r="L754" s="12">
        <f t="shared" si="71"/>
        <v>0.98659862290830069</v>
      </c>
      <c r="M754" t="str">
        <f t="shared" si="67"/>
        <v>C</v>
      </c>
      <c r="N754" t="str">
        <f t="shared" si="68"/>
        <v>ACC</v>
      </c>
      <c r="O754" s="11">
        <f>VLOOKUP(A754,XYZ!A753:G1556,2,FALSE)</f>
        <v>2.2360679774997894</v>
      </c>
      <c r="P754" t="str">
        <f t="shared" si="69"/>
        <v>Z</v>
      </c>
      <c r="Q754" t="str">
        <f t="shared" si="70"/>
        <v>ACCZ</v>
      </c>
    </row>
    <row r="755" spans="1:17" x14ac:dyDescent="0.15">
      <c r="A755" t="s">
        <v>636</v>
      </c>
      <c r="B755" s="9">
        <v>1</v>
      </c>
      <c r="C755" s="13">
        <v>0</v>
      </c>
      <c r="D755" s="13">
        <v>0.97</v>
      </c>
      <c r="E755" s="9" t="s">
        <v>1242</v>
      </c>
      <c r="F755">
        <v>28</v>
      </c>
      <c r="G755" s="11">
        <v>7.6067911102756908E-5</v>
      </c>
      <c r="H755" s="12">
        <v>0.99938624062584658</v>
      </c>
      <c r="I755" t="s">
        <v>1242</v>
      </c>
      <c r="J755">
        <v>6</v>
      </c>
      <c r="K755" s="11">
        <f t="shared" si="66"/>
        <v>6.2155775398998981E-4</v>
      </c>
      <c r="L755" s="12">
        <f t="shared" si="71"/>
        <v>0.98722018066229067</v>
      </c>
      <c r="M755" t="str">
        <f t="shared" si="67"/>
        <v>C</v>
      </c>
      <c r="N755" t="str">
        <f t="shared" si="68"/>
        <v>CCC</v>
      </c>
      <c r="O755" s="11">
        <f>VLOOKUP(A755,XYZ!A754:G1557,2,FALSE)</f>
        <v>2.2360679774997894</v>
      </c>
      <c r="P755" t="str">
        <f t="shared" si="69"/>
        <v>Z</v>
      </c>
      <c r="Q755" t="str">
        <f t="shared" si="70"/>
        <v>CCCZ</v>
      </c>
    </row>
    <row r="756" spans="1:17" x14ac:dyDescent="0.15">
      <c r="A756" t="s">
        <v>792</v>
      </c>
      <c r="B756" s="9">
        <v>1</v>
      </c>
      <c r="C756" s="13">
        <v>0</v>
      </c>
      <c r="D756" s="13">
        <v>0.76</v>
      </c>
      <c r="E756" s="9" t="s">
        <v>1240</v>
      </c>
      <c r="F756">
        <v>26</v>
      </c>
      <c r="G756" s="11">
        <v>7.0634488881131421E-5</v>
      </c>
      <c r="H756" s="12">
        <v>0.99945687511472769</v>
      </c>
      <c r="I756" t="s">
        <v>1242</v>
      </c>
      <c r="J756">
        <v>6</v>
      </c>
      <c r="K756" s="11">
        <f t="shared" si="66"/>
        <v>6.2155775398998981E-4</v>
      </c>
      <c r="L756" s="12">
        <f t="shared" si="71"/>
        <v>0.98784173841628065</v>
      </c>
      <c r="M756" t="str">
        <f t="shared" si="67"/>
        <v>C</v>
      </c>
      <c r="N756" t="str">
        <f t="shared" si="68"/>
        <v>ACC</v>
      </c>
      <c r="O756" s="11">
        <f>VLOOKUP(A756,XYZ!A755:G1558,2,FALSE)</f>
        <v>2.2360679774997894</v>
      </c>
      <c r="P756" t="str">
        <f t="shared" si="69"/>
        <v>Z</v>
      </c>
      <c r="Q756" t="str">
        <f t="shared" si="70"/>
        <v>ACCZ</v>
      </c>
    </row>
    <row r="757" spans="1:17" x14ac:dyDescent="0.15">
      <c r="A757" t="s">
        <v>645</v>
      </c>
      <c r="B757" s="9">
        <v>1</v>
      </c>
      <c r="C757" s="13">
        <v>0</v>
      </c>
      <c r="D757" s="13">
        <v>0.74</v>
      </c>
      <c r="E757" s="9" t="s">
        <v>1240</v>
      </c>
      <c r="F757">
        <v>25</v>
      </c>
      <c r="G757" s="11">
        <v>6.791777777031867E-5</v>
      </c>
      <c r="H757" s="12">
        <v>0.99959488403915697</v>
      </c>
      <c r="I757" t="s">
        <v>1242</v>
      </c>
      <c r="J757">
        <v>6</v>
      </c>
      <c r="K757" s="11">
        <f t="shared" si="66"/>
        <v>6.2155775398998981E-4</v>
      </c>
      <c r="L757" s="12">
        <f t="shared" si="71"/>
        <v>0.98846329617027062</v>
      </c>
      <c r="M757" t="str">
        <f t="shared" si="67"/>
        <v>C</v>
      </c>
      <c r="N757" t="str">
        <f t="shared" si="68"/>
        <v>ACC</v>
      </c>
      <c r="O757" s="11">
        <f>VLOOKUP(A757,XYZ!A756:G1559,2,FALSE)</f>
        <v>2.2360679774997894</v>
      </c>
      <c r="P757" t="str">
        <f t="shared" si="69"/>
        <v>Z</v>
      </c>
      <c r="Q757" t="str">
        <f t="shared" si="70"/>
        <v>ACCZ</v>
      </c>
    </row>
    <row r="758" spans="1:17" x14ac:dyDescent="0.15">
      <c r="A758" t="s">
        <v>968</v>
      </c>
      <c r="B758" s="9">
        <v>1</v>
      </c>
      <c r="C758" s="13">
        <v>0</v>
      </c>
      <c r="D758" s="13">
        <v>0.92</v>
      </c>
      <c r="E758" s="9" t="s">
        <v>1241</v>
      </c>
      <c r="F758">
        <v>25</v>
      </c>
      <c r="G758" s="11">
        <v>6.791777777031867E-5</v>
      </c>
      <c r="H758" s="12">
        <v>0.99966280181692724</v>
      </c>
      <c r="I758" t="s">
        <v>1242</v>
      </c>
      <c r="J758">
        <v>6</v>
      </c>
      <c r="K758" s="11">
        <f t="shared" si="66"/>
        <v>6.2155775398998981E-4</v>
      </c>
      <c r="L758" s="12">
        <f t="shared" si="71"/>
        <v>0.9890848539242606</v>
      </c>
      <c r="M758" t="str">
        <f t="shared" si="67"/>
        <v>C</v>
      </c>
      <c r="N758" t="str">
        <f t="shared" si="68"/>
        <v>BCC</v>
      </c>
      <c r="O758" s="11">
        <f>VLOOKUP(A758,XYZ!A757:G1560,2,FALSE)</f>
        <v>2.2360679774997894</v>
      </c>
      <c r="P758" t="str">
        <f t="shared" si="69"/>
        <v>Z</v>
      </c>
      <c r="Q758" t="str">
        <f t="shared" si="70"/>
        <v>BCCZ</v>
      </c>
    </row>
    <row r="759" spans="1:17" x14ac:dyDescent="0.15">
      <c r="A759" t="s">
        <v>507</v>
      </c>
      <c r="B759" s="9">
        <v>1</v>
      </c>
      <c r="C759" s="13">
        <v>0</v>
      </c>
      <c r="D759" s="13">
        <v>0.71</v>
      </c>
      <c r="E759" s="9" t="s">
        <v>1240</v>
      </c>
      <c r="F759">
        <v>24</v>
      </c>
      <c r="G759" s="11">
        <v>6.5201066659505919E-5</v>
      </c>
      <c r="H759" s="12">
        <v>0.99972800288358676</v>
      </c>
      <c r="I759" t="s">
        <v>1242</v>
      </c>
      <c r="J759">
        <v>6</v>
      </c>
      <c r="K759" s="11">
        <f t="shared" si="66"/>
        <v>6.2155775398998981E-4</v>
      </c>
      <c r="L759" s="12">
        <f t="shared" si="71"/>
        <v>0.98970641167825057</v>
      </c>
      <c r="M759" t="str">
        <f t="shared" si="67"/>
        <v>C</v>
      </c>
      <c r="N759" t="str">
        <f t="shared" si="68"/>
        <v>ACC</v>
      </c>
      <c r="O759" s="11">
        <f>VLOOKUP(A759,XYZ!A758:G1561,2,FALSE)</f>
        <v>2.2360679774997894</v>
      </c>
      <c r="P759" t="str">
        <f t="shared" si="69"/>
        <v>Z</v>
      </c>
      <c r="Q759" t="str">
        <f t="shared" si="70"/>
        <v>ACCZ</v>
      </c>
    </row>
    <row r="760" spans="1:17" x14ac:dyDescent="0.15">
      <c r="A760" t="s">
        <v>1048</v>
      </c>
      <c r="B760" s="9">
        <v>1</v>
      </c>
      <c r="C760" s="13">
        <v>0</v>
      </c>
      <c r="D760" s="13">
        <v>0.72</v>
      </c>
      <c r="E760" s="9" t="s">
        <v>1240</v>
      </c>
      <c r="F760">
        <v>23</v>
      </c>
      <c r="G760" s="11">
        <v>6.2484355548693169E-5</v>
      </c>
      <c r="H760" s="12">
        <v>0.99979048723913544</v>
      </c>
      <c r="I760" t="s">
        <v>1242</v>
      </c>
      <c r="J760">
        <v>6</v>
      </c>
      <c r="K760" s="11">
        <f t="shared" si="66"/>
        <v>6.2155775398998981E-4</v>
      </c>
      <c r="L760" s="12">
        <f t="shared" si="71"/>
        <v>0.99032796943224055</v>
      </c>
      <c r="M760" t="str">
        <f t="shared" si="67"/>
        <v>C</v>
      </c>
      <c r="N760" t="str">
        <f t="shared" si="68"/>
        <v>ACC</v>
      </c>
      <c r="O760" s="11">
        <f>VLOOKUP(A760,XYZ!A759:G1562,2,FALSE)</f>
        <v>2.2360679774997894</v>
      </c>
      <c r="P760" t="str">
        <f t="shared" si="69"/>
        <v>Z</v>
      </c>
      <c r="Q760" t="str">
        <f t="shared" si="70"/>
        <v>ACCZ</v>
      </c>
    </row>
    <row r="761" spans="1:17" x14ac:dyDescent="0.15">
      <c r="A761" t="s">
        <v>981</v>
      </c>
      <c r="B761" s="9">
        <v>1</v>
      </c>
      <c r="C761" s="13">
        <v>0</v>
      </c>
      <c r="D761" s="13">
        <v>0.99</v>
      </c>
      <c r="E761" s="9" t="s">
        <v>1242</v>
      </c>
      <c r="F761">
        <v>20</v>
      </c>
      <c r="G761" s="11">
        <v>5.4334222216254937E-5</v>
      </c>
      <c r="H761" s="12">
        <v>0.99984482146135167</v>
      </c>
      <c r="I761" t="s">
        <v>1242</v>
      </c>
      <c r="J761">
        <v>6</v>
      </c>
      <c r="K761" s="11">
        <f t="shared" si="66"/>
        <v>6.2155775398998981E-4</v>
      </c>
      <c r="L761" s="12">
        <f t="shared" si="71"/>
        <v>0.99094952718623053</v>
      </c>
      <c r="M761" t="str">
        <f t="shared" si="67"/>
        <v>C</v>
      </c>
      <c r="N761" t="str">
        <f t="shared" si="68"/>
        <v>CCC</v>
      </c>
      <c r="O761" s="11">
        <f>VLOOKUP(A761,XYZ!A760:G1563,2,FALSE)</f>
        <v>2.2360679774997894</v>
      </c>
      <c r="P761" t="str">
        <f t="shared" si="69"/>
        <v>Z</v>
      </c>
      <c r="Q761" t="str">
        <f t="shared" si="70"/>
        <v>CCCZ</v>
      </c>
    </row>
    <row r="762" spans="1:17" x14ac:dyDescent="0.15">
      <c r="A762" t="s">
        <v>406</v>
      </c>
      <c r="B762" s="9">
        <v>1</v>
      </c>
      <c r="C762" s="13">
        <v>0</v>
      </c>
      <c r="D762" s="13">
        <v>0.92</v>
      </c>
      <c r="E762" s="9" t="s">
        <v>1241</v>
      </c>
      <c r="F762">
        <v>17</v>
      </c>
      <c r="G762" s="11">
        <v>4.6184088883816692E-5</v>
      </c>
      <c r="H762" s="12">
        <v>0.99989100555023547</v>
      </c>
      <c r="I762" t="s">
        <v>1242</v>
      </c>
      <c r="J762">
        <v>6</v>
      </c>
      <c r="K762" s="11">
        <f t="shared" si="66"/>
        <v>6.2155775398998981E-4</v>
      </c>
      <c r="L762" s="12">
        <f t="shared" si="71"/>
        <v>0.9915710849402205</v>
      </c>
      <c r="M762" t="str">
        <f t="shared" si="67"/>
        <v>C</v>
      </c>
      <c r="N762" t="str">
        <f t="shared" si="68"/>
        <v>BCC</v>
      </c>
      <c r="O762" s="11">
        <f>VLOOKUP(A762,XYZ!A761:G1564,2,FALSE)</f>
        <v>2.2360679774997894</v>
      </c>
      <c r="P762" t="str">
        <f t="shared" si="69"/>
        <v>Z</v>
      </c>
      <c r="Q762" t="str">
        <f t="shared" si="70"/>
        <v>BCCZ</v>
      </c>
    </row>
    <row r="763" spans="1:17" x14ac:dyDescent="0.15">
      <c r="A763" t="s">
        <v>234</v>
      </c>
      <c r="B763" s="9">
        <v>1</v>
      </c>
      <c r="C763" s="13">
        <v>0</v>
      </c>
      <c r="D763" s="13">
        <v>0.74</v>
      </c>
      <c r="E763" s="9" t="s">
        <v>1240</v>
      </c>
      <c r="F763">
        <v>16</v>
      </c>
      <c r="G763" s="11">
        <v>4.3467377773003949E-5</v>
      </c>
      <c r="H763" s="12">
        <v>0.99993447292800852</v>
      </c>
      <c r="I763" t="s">
        <v>1242</v>
      </c>
      <c r="J763">
        <v>6</v>
      </c>
      <c r="K763" s="11">
        <f t="shared" si="66"/>
        <v>6.2155775398998981E-4</v>
      </c>
      <c r="L763" s="12">
        <f t="shared" si="71"/>
        <v>0.99219264269421048</v>
      </c>
      <c r="M763" t="str">
        <f t="shared" si="67"/>
        <v>C</v>
      </c>
      <c r="N763" t="str">
        <f t="shared" si="68"/>
        <v>ACC</v>
      </c>
      <c r="O763" s="11">
        <f>VLOOKUP(A763,XYZ!A762:G1565,2,FALSE)</f>
        <v>2.2360679774997894</v>
      </c>
      <c r="P763" t="str">
        <f t="shared" si="69"/>
        <v>Z</v>
      </c>
      <c r="Q763" t="str">
        <f t="shared" si="70"/>
        <v>ACCZ</v>
      </c>
    </row>
    <row r="764" spans="1:17" x14ac:dyDescent="0.15">
      <c r="A764" t="s">
        <v>593</v>
      </c>
      <c r="B764" s="9">
        <v>1</v>
      </c>
      <c r="C764" s="13">
        <v>0</v>
      </c>
      <c r="D764" s="13">
        <v>0.97</v>
      </c>
      <c r="E764" s="9" t="s">
        <v>1242</v>
      </c>
      <c r="F764">
        <v>14</v>
      </c>
      <c r="G764" s="11">
        <v>3.8033955551378454E-5</v>
      </c>
      <c r="H764" s="12">
        <v>0.99997250688355988</v>
      </c>
      <c r="I764" t="s">
        <v>1242</v>
      </c>
      <c r="J764">
        <v>6</v>
      </c>
      <c r="K764" s="11">
        <f t="shared" si="66"/>
        <v>6.2155775398998981E-4</v>
      </c>
      <c r="L764" s="12">
        <f t="shared" si="71"/>
        <v>0.99281420044820046</v>
      </c>
      <c r="M764" t="str">
        <f t="shared" si="67"/>
        <v>C</v>
      </c>
      <c r="N764" t="str">
        <f t="shared" si="68"/>
        <v>CCC</v>
      </c>
      <c r="O764" s="11">
        <f>VLOOKUP(A764,XYZ!A763:G1566,2,FALSE)</f>
        <v>2.2360679774997894</v>
      </c>
      <c r="P764" t="str">
        <f t="shared" si="69"/>
        <v>Z</v>
      </c>
      <c r="Q764" t="str">
        <f t="shared" si="70"/>
        <v>CCCZ</v>
      </c>
    </row>
    <row r="765" spans="1:17" x14ac:dyDescent="0.15">
      <c r="A765" t="s">
        <v>637</v>
      </c>
      <c r="B765" s="9">
        <v>1</v>
      </c>
      <c r="C765" s="13">
        <v>0</v>
      </c>
      <c r="D765" s="13">
        <v>0.73</v>
      </c>
      <c r="E765" s="9" t="s">
        <v>1240</v>
      </c>
      <c r="F765">
        <v>10</v>
      </c>
      <c r="G765" s="11">
        <v>2.7167111108127469E-5</v>
      </c>
      <c r="H765" s="12">
        <v>0.99999967399466805</v>
      </c>
      <c r="I765" t="s">
        <v>1242</v>
      </c>
      <c r="J765">
        <v>6</v>
      </c>
      <c r="K765" s="11">
        <f t="shared" si="66"/>
        <v>6.2155775398998981E-4</v>
      </c>
      <c r="L765" s="12">
        <f t="shared" si="71"/>
        <v>0.99343575820219043</v>
      </c>
      <c r="M765" t="str">
        <f t="shared" si="67"/>
        <v>C</v>
      </c>
      <c r="N765" t="str">
        <f t="shared" si="68"/>
        <v>ACC</v>
      </c>
      <c r="O765" s="11">
        <f>VLOOKUP(A765,XYZ!A764:G1567,2,FALSE)</f>
        <v>2.2360679774997894</v>
      </c>
      <c r="P765" t="str">
        <f t="shared" si="69"/>
        <v>Z</v>
      </c>
      <c r="Q765" t="str">
        <f t="shared" si="70"/>
        <v>ACCZ</v>
      </c>
    </row>
    <row r="766" spans="1:17" x14ac:dyDescent="0.15">
      <c r="A766" t="s">
        <v>628</v>
      </c>
      <c r="B766" s="9">
        <v>0.8</v>
      </c>
      <c r="C766" s="13">
        <v>0</v>
      </c>
      <c r="D766" s="13">
        <v>0.99</v>
      </c>
      <c r="E766" s="9" t="s">
        <v>1242</v>
      </c>
      <c r="F766">
        <v>564</v>
      </c>
      <c r="G766" s="11">
        <v>1.5322250664983892E-3</v>
      </c>
      <c r="H766" s="12">
        <v>0.63398415362672167</v>
      </c>
      <c r="I766" t="s">
        <v>1240</v>
      </c>
      <c r="J766">
        <v>4.8</v>
      </c>
      <c r="K766" s="11">
        <f t="shared" si="66"/>
        <v>4.9724620319199189E-4</v>
      </c>
      <c r="L766" s="12">
        <f t="shared" si="71"/>
        <v>0.99393300440538246</v>
      </c>
      <c r="M766" t="str">
        <f t="shared" si="67"/>
        <v>C</v>
      </c>
      <c r="N766" t="str">
        <f t="shared" si="68"/>
        <v>CAC</v>
      </c>
      <c r="O766" s="11">
        <f>VLOOKUP(A766,XYZ!A765:G1568,2,FALSE)</f>
        <v>1.6298006013006627</v>
      </c>
      <c r="P766" t="str">
        <f t="shared" si="69"/>
        <v>Z</v>
      </c>
      <c r="Q766" t="str">
        <f t="shared" si="70"/>
        <v>CACZ</v>
      </c>
    </row>
    <row r="767" spans="1:17" x14ac:dyDescent="0.15">
      <c r="A767" t="s">
        <v>356</v>
      </c>
      <c r="B767" s="9">
        <v>0.7</v>
      </c>
      <c r="C767" s="13">
        <v>0</v>
      </c>
      <c r="D767" s="13">
        <v>0.99</v>
      </c>
      <c r="E767" s="9" t="s">
        <v>1242</v>
      </c>
      <c r="F767">
        <v>254.79999999999998</v>
      </c>
      <c r="G767" s="11">
        <v>6.9221799103508783E-4</v>
      </c>
      <c r="H767" s="12">
        <v>0.87483325108040855</v>
      </c>
      <c r="I767" t="s">
        <v>1241</v>
      </c>
      <c r="J767">
        <v>4.1999999999999993</v>
      </c>
      <c r="K767" s="11">
        <f t="shared" si="66"/>
        <v>4.3509042779299283E-4</v>
      </c>
      <c r="L767" s="12">
        <f t="shared" si="71"/>
        <v>0.99436809483317545</v>
      </c>
      <c r="M767" t="str">
        <f t="shared" si="67"/>
        <v>C</v>
      </c>
      <c r="N767" t="str">
        <f t="shared" si="68"/>
        <v>CBC</v>
      </c>
      <c r="O767" s="11">
        <f>VLOOKUP(A767,XYZ!A766:G1569,2,FALSE)</f>
        <v>2.2360679774997898</v>
      </c>
      <c r="P767" t="str">
        <f t="shared" si="69"/>
        <v>Z</v>
      </c>
      <c r="Q767" t="str">
        <f t="shared" si="70"/>
        <v>CBCZ</v>
      </c>
    </row>
    <row r="768" spans="1:17" x14ac:dyDescent="0.15">
      <c r="A768" t="s">
        <v>718</v>
      </c>
      <c r="B768" s="9">
        <v>0.66666665999999997</v>
      </c>
      <c r="C768" s="13">
        <v>0</v>
      </c>
      <c r="D768" s="13">
        <v>0.99</v>
      </c>
      <c r="E768" s="9" t="s">
        <v>1242</v>
      </c>
      <c r="F768">
        <v>789.99999209999999</v>
      </c>
      <c r="G768" s="11">
        <v>2.1462017560800522E-3</v>
      </c>
      <c r="H768" s="12">
        <v>0.49579411506583071</v>
      </c>
      <c r="I768" t="s">
        <v>1240</v>
      </c>
      <c r="J768">
        <v>3.9999999599999998</v>
      </c>
      <c r="K768" s="11">
        <f t="shared" si="66"/>
        <v>4.1437183184960821E-4</v>
      </c>
      <c r="L768" s="12">
        <f t="shared" si="71"/>
        <v>0.99478246666502501</v>
      </c>
      <c r="M768" t="str">
        <f t="shared" si="67"/>
        <v>C</v>
      </c>
      <c r="N768" t="str">
        <f t="shared" si="68"/>
        <v>CAC</v>
      </c>
      <c r="O768" s="11">
        <f>VLOOKUP(A768,XYZ!A767:G1570,2,FALSE)</f>
        <v>2.2360679774997898</v>
      </c>
      <c r="P768" t="str">
        <f t="shared" si="69"/>
        <v>Z</v>
      </c>
      <c r="Q768" t="str">
        <f t="shared" si="70"/>
        <v>CACZ</v>
      </c>
    </row>
    <row r="769" spans="1:17" x14ac:dyDescent="0.15">
      <c r="A769" t="s">
        <v>331</v>
      </c>
      <c r="B769" s="9">
        <v>0.53571440000000004</v>
      </c>
      <c r="C769" s="13">
        <v>0</v>
      </c>
      <c r="D769" s="13">
        <v>1</v>
      </c>
      <c r="E769" s="9" t="s">
        <v>1242</v>
      </c>
      <c r="F769">
        <v>366.96436400000005</v>
      </c>
      <c r="G769" s="11">
        <v>9.9693616495113318E-4</v>
      </c>
      <c r="H769" s="12">
        <v>0.7802455474652692</v>
      </c>
      <c r="I769" t="s">
        <v>1240</v>
      </c>
      <c r="J769">
        <v>3.2142864000000002</v>
      </c>
      <c r="K769" s="11">
        <f t="shared" si="66"/>
        <v>3.3297743924409502E-4</v>
      </c>
      <c r="L769" s="12">
        <f t="shared" si="71"/>
        <v>0.99511544410426911</v>
      </c>
      <c r="M769" t="str">
        <f t="shared" si="67"/>
        <v>C</v>
      </c>
      <c r="N769" t="str">
        <f t="shared" si="68"/>
        <v>CAC</v>
      </c>
      <c r="O769" s="11">
        <f>VLOOKUP(A769,XYZ!A768:G1571,2,FALSE)</f>
        <v>1.2247447189789382</v>
      </c>
      <c r="P769" t="str">
        <f t="shared" si="69"/>
        <v>Z</v>
      </c>
      <c r="Q769" t="str">
        <f t="shared" si="70"/>
        <v>CACZ</v>
      </c>
    </row>
    <row r="770" spans="1:17" x14ac:dyDescent="0.15">
      <c r="A770" t="s">
        <v>868</v>
      </c>
      <c r="B770" s="9">
        <v>0.5</v>
      </c>
      <c r="C770" s="13">
        <v>0</v>
      </c>
      <c r="D770" s="13">
        <v>1</v>
      </c>
      <c r="E770" s="9" t="s">
        <v>1242</v>
      </c>
      <c r="F770">
        <v>1530.5</v>
      </c>
      <c r="G770" s="11">
        <v>4.1579263550989088E-3</v>
      </c>
      <c r="H770" s="12">
        <v>0.28366136713813073</v>
      </c>
      <c r="I770" t="s">
        <v>1240</v>
      </c>
      <c r="J770">
        <v>3</v>
      </c>
      <c r="K770" s="11">
        <f t="shared" si="66"/>
        <v>3.1077887699499491E-4</v>
      </c>
      <c r="L770" s="12">
        <f t="shared" si="71"/>
        <v>0.99542622298126415</v>
      </c>
      <c r="M770" t="str">
        <f t="shared" si="67"/>
        <v>C</v>
      </c>
      <c r="N770" t="str">
        <f t="shared" si="68"/>
        <v>CAC</v>
      </c>
      <c r="O770" s="11">
        <f>VLOOKUP(A770,XYZ!A769:G1572,2,FALSE)</f>
        <v>2.2360679774997894</v>
      </c>
      <c r="P770" t="str">
        <f t="shared" si="69"/>
        <v>Z</v>
      </c>
      <c r="Q770" t="str">
        <f t="shared" si="70"/>
        <v>CACZ</v>
      </c>
    </row>
    <row r="771" spans="1:17" x14ac:dyDescent="0.15">
      <c r="A771" t="s">
        <v>719</v>
      </c>
      <c r="B771" s="9">
        <v>0.5</v>
      </c>
      <c r="C771" s="13">
        <v>0</v>
      </c>
      <c r="D771" s="13">
        <v>1</v>
      </c>
      <c r="E771" s="9" t="s">
        <v>1242</v>
      </c>
      <c r="F771">
        <v>886.5</v>
      </c>
      <c r="G771" s="11">
        <v>2.4083643997355E-3</v>
      </c>
      <c r="H771" s="12">
        <v>0.47096337553446427</v>
      </c>
      <c r="I771" t="s">
        <v>1240</v>
      </c>
      <c r="J771">
        <v>3</v>
      </c>
      <c r="K771" s="11">
        <f t="shared" ref="K771:K804" si="72">J771/SUM(J:J)</f>
        <v>3.1077887699499491E-4</v>
      </c>
      <c r="L771" s="12">
        <f t="shared" si="71"/>
        <v>0.9957370018582592</v>
      </c>
      <c r="M771" t="str">
        <f t="shared" ref="M771:M804" si="73">IF(L771&lt;0.8,"A",IF(L771&lt;0.95,"B","C"))</f>
        <v>C</v>
      </c>
      <c r="N771" t="str">
        <f t="shared" ref="N771:N804" si="74">E771&amp;I771&amp;M771</f>
        <v>CAC</v>
      </c>
      <c r="O771" s="11">
        <f>VLOOKUP(A771,XYZ!A770:G1573,2,FALSE)</f>
        <v>2.2360679774997894</v>
      </c>
      <c r="P771" t="str">
        <f t="shared" ref="P771:P804" si="75">IF(O771&lt;0.1,"A",IF(O771&lt;0.25,"Y","Z"))</f>
        <v>Z</v>
      </c>
      <c r="Q771" t="str">
        <f t="shared" ref="Q771:Q804" si="76">N771&amp;P771</f>
        <v>CACZ</v>
      </c>
    </row>
    <row r="772" spans="1:17" x14ac:dyDescent="0.15">
      <c r="A772" t="s">
        <v>605</v>
      </c>
      <c r="B772" s="9">
        <v>0.5</v>
      </c>
      <c r="C772" s="13">
        <v>0</v>
      </c>
      <c r="D772" s="13">
        <v>1</v>
      </c>
      <c r="E772" s="9" t="s">
        <v>1242</v>
      </c>
      <c r="F772">
        <v>328</v>
      </c>
      <c r="G772" s="11">
        <v>8.9108124434658089E-4</v>
      </c>
      <c r="H772" s="12">
        <v>0.81154982925560859</v>
      </c>
      <c r="I772" t="s">
        <v>1241</v>
      </c>
      <c r="J772">
        <v>3</v>
      </c>
      <c r="K772" s="11">
        <f t="shared" si="72"/>
        <v>3.1077887699499491E-4</v>
      </c>
      <c r="L772" s="12">
        <f t="shared" ref="L772:L804" si="77">K772+L771</f>
        <v>0.99604778073525424</v>
      </c>
      <c r="M772" t="str">
        <f t="shared" si="73"/>
        <v>C</v>
      </c>
      <c r="N772" t="str">
        <f t="shared" si="74"/>
        <v>CBC</v>
      </c>
      <c r="O772" s="11">
        <f>VLOOKUP(A772,XYZ!A771:G1574,2,FALSE)</f>
        <v>1.3693063937629151</v>
      </c>
      <c r="P772" t="str">
        <f t="shared" si="75"/>
        <v>Z</v>
      </c>
      <c r="Q772" t="str">
        <f t="shared" si="76"/>
        <v>CBCZ</v>
      </c>
    </row>
    <row r="773" spans="1:17" x14ac:dyDescent="0.15">
      <c r="A773" t="s">
        <v>376</v>
      </c>
      <c r="B773" s="9">
        <v>0.33333333999999998</v>
      </c>
      <c r="C773" s="13">
        <v>0</v>
      </c>
      <c r="D773" s="13">
        <v>1</v>
      </c>
      <c r="E773" s="9" t="s">
        <v>1242</v>
      </c>
      <c r="F773">
        <v>717.00001434000001</v>
      </c>
      <c r="G773" s="11">
        <v>1.9478819054103767E-3</v>
      </c>
      <c r="H773" s="12">
        <v>0.53217087687857134</v>
      </c>
      <c r="I773" t="s">
        <v>1240</v>
      </c>
      <c r="J773">
        <v>2.0000000399999998</v>
      </c>
      <c r="K773" s="11">
        <f t="shared" si="72"/>
        <v>2.0718592214038161E-4</v>
      </c>
      <c r="L773" s="12">
        <f t="shared" si="77"/>
        <v>0.99625496665739466</v>
      </c>
      <c r="M773" t="str">
        <f t="shared" si="73"/>
        <v>C</v>
      </c>
      <c r="N773" t="str">
        <f t="shared" si="74"/>
        <v>CAC</v>
      </c>
      <c r="O773" s="11">
        <f>VLOOKUP(A773,XYZ!A772:G1575,2,FALSE)</f>
        <v>2.2360679774997894</v>
      </c>
      <c r="P773" t="str">
        <f t="shared" si="75"/>
        <v>Z</v>
      </c>
      <c r="Q773" t="str">
        <f t="shared" si="76"/>
        <v>CACZ</v>
      </c>
    </row>
    <row r="774" spans="1:17" x14ac:dyDescent="0.15">
      <c r="A774" t="s">
        <v>1220</v>
      </c>
      <c r="B774" s="9">
        <v>0.33333333999999998</v>
      </c>
      <c r="C774" s="13">
        <v>0</v>
      </c>
      <c r="D774" s="13">
        <v>1</v>
      </c>
      <c r="E774" s="9" t="s">
        <v>1242</v>
      </c>
      <c r="F774">
        <v>680.33334693999996</v>
      </c>
      <c r="G774" s="11">
        <v>1.848269162688321E-3</v>
      </c>
      <c r="H774" s="12">
        <v>0.54936584710624103</v>
      </c>
      <c r="I774" t="s">
        <v>1240</v>
      </c>
      <c r="J774">
        <v>2.0000000399999998</v>
      </c>
      <c r="K774" s="11">
        <f t="shared" si="72"/>
        <v>2.0718592214038161E-4</v>
      </c>
      <c r="L774" s="12">
        <f t="shared" si="77"/>
        <v>0.99646215257953508</v>
      </c>
      <c r="M774" t="str">
        <f t="shared" si="73"/>
        <v>C</v>
      </c>
      <c r="N774" t="str">
        <f t="shared" si="74"/>
        <v>CAC</v>
      </c>
      <c r="O774" s="11">
        <f>VLOOKUP(A774,XYZ!A773:G1576,2,FALSE)</f>
        <v>2.2360679774997894</v>
      </c>
      <c r="P774" t="str">
        <f t="shared" si="75"/>
        <v>Z</v>
      </c>
      <c r="Q774" t="str">
        <f t="shared" si="76"/>
        <v>CACZ</v>
      </c>
    </row>
    <row r="775" spans="1:17" x14ac:dyDescent="0.15">
      <c r="A775" t="s">
        <v>1021</v>
      </c>
      <c r="B775" s="9">
        <v>0.33333332999999998</v>
      </c>
      <c r="C775" s="13">
        <v>0</v>
      </c>
      <c r="D775" s="13">
        <v>1</v>
      </c>
      <c r="E775" s="9" t="s">
        <v>1242</v>
      </c>
      <c r="F775">
        <v>3458.3332987499998</v>
      </c>
      <c r="G775" s="11">
        <v>9.3952924976078225E-3</v>
      </c>
      <c r="H775" s="12">
        <v>0.10873726768669753</v>
      </c>
      <c r="I775" t="s">
        <v>1240</v>
      </c>
      <c r="J775">
        <v>1.9999999799999999</v>
      </c>
      <c r="K775" s="11">
        <f t="shared" si="72"/>
        <v>2.071859159248041E-4</v>
      </c>
      <c r="L775" s="12">
        <f t="shared" si="77"/>
        <v>0.99666933849545991</v>
      </c>
      <c r="M775" t="str">
        <f t="shared" si="73"/>
        <v>C</v>
      </c>
      <c r="N775" t="str">
        <f t="shared" si="74"/>
        <v>CAC</v>
      </c>
      <c r="O775" s="11">
        <f>VLOOKUP(A775,XYZ!A774:G1577,2,FALSE)</f>
        <v>2.2360679774997898</v>
      </c>
      <c r="P775" t="str">
        <f t="shared" si="75"/>
        <v>Z</v>
      </c>
      <c r="Q775" t="str">
        <f t="shared" si="76"/>
        <v>CACZ</v>
      </c>
    </row>
    <row r="776" spans="1:17" x14ac:dyDescent="0.15">
      <c r="A776" t="s">
        <v>921</v>
      </c>
      <c r="B776" s="9">
        <v>0.33333332999999998</v>
      </c>
      <c r="C776" s="13">
        <v>0</v>
      </c>
      <c r="D776" s="13">
        <v>1</v>
      </c>
      <c r="E776" s="9" t="s">
        <v>1242</v>
      </c>
      <c r="F776">
        <v>1071.6666559499999</v>
      </c>
      <c r="G776" s="11">
        <v>2.911408711306906E-3</v>
      </c>
      <c r="H776" s="12">
        <v>0.41333451628055806</v>
      </c>
      <c r="I776" t="s">
        <v>1240</v>
      </c>
      <c r="J776">
        <v>1.9999999799999999</v>
      </c>
      <c r="K776" s="11">
        <f t="shared" si="72"/>
        <v>2.071859159248041E-4</v>
      </c>
      <c r="L776" s="12">
        <f t="shared" si="77"/>
        <v>0.99687652441138475</v>
      </c>
      <c r="M776" t="str">
        <f t="shared" si="73"/>
        <v>C</v>
      </c>
      <c r="N776" t="str">
        <f t="shared" si="74"/>
        <v>CAC</v>
      </c>
      <c r="O776" s="11">
        <f>VLOOKUP(A776,XYZ!A775:G1578,2,FALSE)</f>
        <v>2.2360679774997898</v>
      </c>
      <c r="P776" t="str">
        <f t="shared" si="75"/>
        <v>Z</v>
      </c>
      <c r="Q776" t="str">
        <f t="shared" si="76"/>
        <v>CACZ</v>
      </c>
    </row>
    <row r="777" spans="1:17" x14ac:dyDescent="0.15">
      <c r="A777" t="s">
        <v>1218</v>
      </c>
      <c r="B777" s="9">
        <v>0.33333332999999998</v>
      </c>
      <c r="C777" s="13">
        <v>0</v>
      </c>
      <c r="D777" s="13">
        <v>1</v>
      </c>
      <c r="E777" s="9" t="s">
        <v>1242</v>
      </c>
      <c r="F777">
        <v>1021.99998978</v>
      </c>
      <c r="G777" s="11">
        <v>2.7764787274858396E-3</v>
      </c>
      <c r="H777" s="12">
        <v>0.42459256709600129</v>
      </c>
      <c r="I777" t="s">
        <v>1240</v>
      </c>
      <c r="J777">
        <v>1.9999999799999999</v>
      </c>
      <c r="K777" s="11">
        <f t="shared" si="72"/>
        <v>2.071859159248041E-4</v>
      </c>
      <c r="L777" s="12">
        <f t="shared" si="77"/>
        <v>0.99708371032730958</v>
      </c>
      <c r="M777" t="str">
        <f t="shared" si="73"/>
        <v>C</v>
      </c>
      <c r="N777" t="str">
        <f t="shared" si="74"/>
        <v>CAC</v>
      </c>
      <c r="O777" s="11">
        <f>VLOOKUP(A777,XYZ!A776:G1579,2,FALSE)</f>
        <v>2.2360679774997898</v>
      </c>
      <c r="P777" t="str">
        <f t="shared" si="75"/>
        <v>Z</v>
      </c>
      <c r="Q777" t="str">
        <f t="shared" si="76"/>
        <v>CACZ</v>
      </c>
    </row>
    <row r="778" spans="1:17" x14ac:dyDescent="0.15">
      <c r="A778" t="s">
        <v>1085</v>
      </c>
      <c r="B778" s="9">
        <v>0.33333332999999998</v>
      </c>
      <c r="C778" s="13">
        <v>0</v>
      </c>
      <c r="D778" s="13">
        <v>1</v>
      </c>
      <c r="E778" s="9" t="s">
        <v>1242</v>
      </c>
      <c r="F778">
        <v>676.33332656999994</v>
      </c>
      <c r="G778" s="11">
        <v>1.8374022629056648E-3</v>
      </c>
      <c r="H778" s="12">
        <v>0.55304517950227772</v>
      </c>
      <c r="I778" t="s">
        <v>1240</v>
      </c>
      <c r="J778">
        <v>1.9999999799999999</v>
      </c>
      <c r="K778" s="11">
        <f t="shared" si="72"/>
        <v>2.071859159248041E-4</v>
      </c>
      <c r="L778" s="12">
        <f t="shared" si="77"/>
        <v>0.99729089624323441</v>
      </c>
      <c r="M778" t="str">
        <f t="shared" si="73"/>
        <v>C</v>
      </c>
      <c r="N778" t="str">
        <f t="shared" si="74"/>
        <v>CAC</v>
      </c>
      <c r="O778" s="11">
        <f>VLOOKUP(A778,XYZ!A777:G1580,2,FALSE)</f>
        <v>2.2360679774997898</v>
      </c>
      <c r="P778" t="str">
        <f t="shared" si="75"/>
        <v>Z</v>
      </c>
      <c r="Q778" t="str">
        <f t="shared" si="76"/>
        <v>CACZ</v>
      </c>
    </row>
    <row r="779" spans="1:17" x14ac:dyDescent="0.15">
      <c r="A779" t="s">
        <v>894</v>
      </c>
      <c r="B779" s="9">
        <v>0.33333332999999998</v>
      </c>
      <c r="C779" s="13">
        <v>0</v>
      </c>
      <c r="D779" s="13">
        <v>1</v>
      </c>
      <c r="E779" s="9" t="s">
        <v>1242</v>
      </c>
      <c r="F779">
        <v>510.33332822999995</v>
      </c>
      <c r="G779" s="11">
        <v>1.3864282230204893E-3</v>
      </c>
      <c r="H779" s="12">
        <v>0.6597899336915739</v>
      </c>
      <c r="I779" t="s">
        <v>1240</v>
      </c>
      <c r="J779">
        <v>1.9999999799999999</v>
      </c>
      <c r="K779" s="11">
        <f t="shared" si="72"/>
        <v>2.071859159248041E-4</v>
      </c>
      <c r="L779" s="12">
        <f t="shared" si="77"/>
        <v>0.99749808215915925</v>
      </c>
      <c r="M779" t="str">
        <f t="shared" si="73"/>
        <v>C</v>
      </c>
      <c r="N779" t="str">
        <f t="shared" si="74"/>
        <v>CAC</v>
      </c>
      <c r="O779" s="11">
        <f>VLOOKUP(A779,XYZ!A778:G1581,2,FALSE)</f>
        <v>2.2360679774997898</v>
      </c>
      <c r="P779" t="str">
        <f t="shared" si="75"/>
        <v>Z</v>
      </c>
      <c r="Q779" t="str">
        <f t="shared" si="76"/>
        <v>CACZ</v>
      </c>
    </row>
    <row r="780" spans="1:17" x14ac:dyDescent="0.15">
      <c r="A780" t="s">
        <v>682</v>
      </c>
      <c r="B780" s="9">
        <v>0.33333332999999998</v>
      </c>
      <c r="C780" s="13">
        <v>0</v>
      </c>
      <c r="D780" s="13">
        <v>1</v>
      </c>
      <c r="E780" s="9" t="s">
        <v>1242</v>
      </c>
      <c r="F780">
        <v>503.99999495999998</v>
      </c>
      <c r="G780" s="11">
        <v>1.3692223861574003E-3</v>
      </c>
      <c r="H780" s="12">
        <v>0.66665777936601645</v>
      </c>
      <c r="I780" t="s">
        <v>1240</v>
      </c>
      <c r="J780">
        <v>1.9999999799999999</v>
      </c>
      <c r="K780" s="11">
        <f t="shared" si="72"/>
        <v>2.071859159248041E-4</v>
      </c>
      <c r="L780" s="12">
        <f t="shared" si="77"/>
        <v>0.99770526807508408</v>
      </c>
      <c r="M780" t="str">
        <f t="shared" si="73"/>
        <v>C</v>
      </c>
      <c r="N780" t="str">
        <f t="shared" si="74"/>
        <v>CAC</v>
      </c>
      <c r="O780" s="11">
        <f>VLOOKUP(A780,XYZ!A779:G1582,2,FALSE)</f>
        <v>2.2360679774997898</v>
      </c>
      <c r="P780" t="str">
        <f t="shared" si="75"/>
        <v>Z</v>
      </c>
      <c r="Q780" t="str">
        <f t="shared" si="76"/>
        <v>CACZ</v>
      </c>
    </row>
    <row r="781" spans="1:17" x14ac:dyDescent="0.15">
      <c r="A781" t="s">
        <v>540</v>
      </c>
      <c r="B781" s="9">
        <v>0.3</v>
      </c>
      <c r="C781" s="13">
        <v>0</v>
      </c>
      <c r="D781" s="13">
        <v>1</v>
      </c>
      <c r="E781" s="9" t="s">
        <v>1242</v>
      </c>
      <c r="F781">
        <v>166.20000000000002</v>
      </c>
      <c r="G781" s="11">
        <v>4.5151738661707854E-4</v>
      </c>
      <c r="H781" s="12">
        <v>0.93005502282661778</v>
      </c>
      <c r="I781" t="s">
        <v>1241</v>
      </c>
      <c r="J781">
        <v>1.7999999999999998</v>
      </c>
      <c r="K781" s="11">
        <f t="shared" si="72"/>
        <v>1.8646732619699693E-4</v>
      </c>
      <c r="L781" s="12">
        <f t="shared" si="77"/>
        <v>0.99789173540128107</v>
      </c>
      <c r="M781" t="str">
        <f t="shared" si="73"/>
        <v>C</v>
      </c>
      <c r="N781" t="str">
        <f t="shared" si="74"/>
        <v>CBC</v>
      </c>
      <c r="O781" s="11">
        <f>VLOOKUP(A781,XYZ!A780:G1583,2,FALSE)</f>
        <v>2.2360679774997894</v>
      </c>
      <c r="P781" t="str">
        <f t="shared" si="75"/>
        <v>Z</v>
      </c>
      <c r="Q781" t="str">
        <f t="shared" si="76"/>
        <v>CBCZ</v>
      </c>
    </row>
    <row r="782" spans="1:17" x14ac:dyDescent="0.15">
      <c r="A782" t="s">
        <v>960</v>
      </c>
      <c r="B782" s="9">
        <v>0.28000000000000003</v>
      </c>
      <c r="C782" s="13">
        <v>0</v>
      </c>
      <c r="D782" s="13">
        <v>1</v>
      </c>
      <c r="E782" s="9" t="s">
        <v>1242</v>
      </c>
      <c r="F782">
        <v>166.04</v>
      </c>
      <c r="G782" s="11">
        <v>4.5108271283934842E-4</v>
      </c>
      <c r="H782" s="12">
        <v>0.93050610553945712</v>
      </c>
      <c r="I782" t="s">
        <v>1241</v>
      </c>
      <c r="J782">
        <v>1.6800000000000002</v>
      </c>
      <c r="K782" s="11">
        <f t="shared" si="72"/>
        <v>1.7403617111719718E-4</v>
      </c>
      <c r="L782" s="12">
        <f t="shared" si="77"/>
        <v>0.99806577157239829</v>
      </c>
      <c r="M782" t="str">
        <f t="shared" si="73"/>
        <v>C</v>
      </c>
      <c r="N782" t="str">
        <f t="shared" si="74"/>
        <v>CBC</v>
      </c>
      <c r="O782" s="11">
        <f>VLOOKUP(A782,XYZ!A781:G1584,2,FALSE)</f>
        <v>2.2360679774997894</v>
      </c>
      <c r="P782" t="str">
        <f t="shared" si="75"/>
        <v>Z</v>
      </c>
      <c r="Q782" t="str">
        <f t="shared" si="76"/>
        <v>CBCZ</v>
      </c>
    </row>
    <row r="783" spans="1:17" x14ac:dyDescent="0.15">
      <c r="A783" t="s">
        <v>826</v>
      </c>
      <c r="B783" s="9">
        <v>0.24</v>
      </c>
      <c r="C783" s="13">
        <v>0</v>
      </c>
      <c r="D783" s="13">
        <v>1</v>
      </c>
      <c r="E783" s="9" t="s">
        <v>1242</v>
      </c>
      <c r="F783">
        <v>357.12</v>
      </c>
      <c r="G783" s="11">
        <v>9.7019187189344809E-4</v>
      </c>
      <c r="H783" s="12">
        <v>0.79107240192096895</v>
      </c>
      <c r="I783" t="s">
        <v>1240</v>
      </c>
      <c r="J783">
        <v>1.44</v>
      </c>
      <c r="K783" s="11">
        <f t="shared" si="72"/>
        <v>1.4917386095759756E-4</v>
      </c>
      <c r="L783" s="12">
        <f t="shared" si="77"/>
        <v>0.99821494543335587</v>
      </c>
      <c r="M783" t="str">
        <f t="shared" si="73"/>
        <v>C</v>
      </c>
      <c r="N783" t="str">
        <f t="shared" si="74"/>
        <v>CAC</v>
      </c>
      <c r="O783" s="11">
        <f>VLOOKUP(A783,XYZ!A782:G1585,2,FALSE)</f>
        <v>2.2360679774997894</v>
      </c>
      <c r="P783" t="str">
        <f t="shared" si="75"/>
        <v>Z</v>
      </c>
      <c r="Q783" t="str">
        <f t="shared" si="76"/>
        <v>CACZ</v>
      </c>
    </row>
    <row r="784" spans="1:17" x14ac:dyDescent="0.15">
      <c r="A784" t="s">
        <v>203</v>
      </c>
      <c r="B784" s="9">
        <v>0.21428570999999999</v>
      </c>
      <c r="C784" s="13">
        <v>0</v>
      </c>
      <c r="D784" s="13">
        <v>1</v>
      </c>
      <c r="E784" s="9" t="s">
        <v>1242</v>
      </c>
      <c r="F784">
        <v>524.57141807999994</v>
      </c>
      <c r="G784" s="11">
        <v>1.4251089999127344E-3</v>
      </c>
      <c r="H784" s="12">
        <v>0.64574634840327694</v>
      </c>
      <c r="I784" t="s">
        <v>1240</v>
      </c>
      <c r="J784">
        <v>1.28571426</v>
      </c>
      <c r="K784" s="11">
        <f t="shared" si="72"/>
        <v>1.331909446197503E-4</v>
      </c>
      <c r="L784" s="12">
        <f t="shared" si="77"/>
        <v>0.99834813637797559</v>
      </c>
      <c r="M784" t="str">
        <f t="shared" si="73"/>
        <v>C</v>
      </c>
      <c r="N784" t="str">
        <f t="shared" si="74"/>
        <v>CAC</v>
      </c>
      <c r="O784" s="11">
        <f>VLOOKUP(A784,XYZ!A783:G1586,2,FALSE)</f>
        <v>2.2360679774997898</v>
      </c>
      <c r="P784" t="str">
        <f t="shared" si="75"/>
        <v>Z</v>
      </c>
      <c r="Q784" t="str">
        <f t="shared" si="76"/>
        <v>CACZ</v>
      </c>
    </row>
    <row r="785" spans="1:17" x14ac:dyDescent="0.15">
      <c r="A785" t="s">
        <v>1186</v>
      </c>
      <c r="B785" s="9">
        <v>0.2</v>
      </c>
      <c r="C785" s="13">
        <v>0</v>
      </c>
      <c r="D785" s="13">
        <v>1</v>
      </c>
      <c r="E785" s="9" t="s">
        <v>1242</v>
      </c>
      <c r="F785">
        <v>389</v>
      </c>
      <c r="G785" s="11">
        <v>1.0568006221061586E-3</v>
      </c>
      <c r="H785" s="12">
        <v>0.76299235535543675</v>
      </c>
      <c r="I785" t="s">
        <v>1240</v>
      </c>
      <c r="J785">
        <v>1.2</v>
      </c>
      <c r="K785" s="11">
        <f t="shared" si="72"/>
        <v>1.2431155079799797E-4</v>
      </c>
      <c r="L785" s="12">
        <f t="shared" si="77"/>
        <v>0.99847244792877354</v>
      </c>
      <c r="M785" t="str">
        <f t="shared" si="73"/>
        <v>C</v>
      </c>
      <c r="N785" t="str">
        <f t="shared" si="74"/>
        <v>CAC</v>
      </c>
      <c r="O785" s="11">
        <f>VLOOKUP(A785,XYZ!A784:G1587,2,FALSE)</f>
        <v>2.2360679774997898</v>
      </c>
      <c r="P785" t="str">
        <f t="shared" si="75"/>
        <v>Z</v>
      </c>
      <c r="Q785" t="str">
        <f t="shared" si="76"/>
        <v>CACZ</v>
      </c>
    </row>
    <row r="786" spans="1:17" x14ac:dyDescent="0.15">
      <c r="A786" t="s">
        <v>1182</v>
      </c>
      <c r="B786" s="9">
        <v>0.2</v>
      </c>
      <c r="C786" s="13">
        <v>0</v>
      </c>
      <c r="D786" s="13">
        <v>1</v>
      </c>
      <c r="E786" s="9" t="s">
        <v>1242</v>
      </c>
      <c r="F786">
        <v>367.8</v>
      </c>
      <c r="G786" s="11">
        <v>9.9920634655692822E-4</v>
      </c>
      <c r="H786" s="12">
        <v>0.77924861130031808</v>
      </c>
      <c r="I786" t="s">
        <v>1240</v>
      </c>
      <c r="J786">
        <v>1.2</v>
      </c>
      <c r="K786" s="11">
        <f t="shared" si="72"/>
        <v>1.2431155079799797E-4</v>
      </c>
      <c r="L786" s="12">
        <f t="shared" si="77"/>
        <v>0.99859675947957149</v>
      </c>
      <c r="M786" t="str">
        <f t="shared" si="73"/>
        <v>C</v>
      </c>
      <c r="N786" t="str">
        <f t="shared" si="74"/>
        <v>CAC</v>
      </c>
      <c r="O786" s="11">
        <f>VLOOKUP(A786,XYZ!A785:G1588,2,FALSE)</f>
        <v>2.2360679774997898</v>
      </c>
      <c r="P786" t="str">
        <f t="shared" si="75"/>
        <v>Z</v>
      </c>
      <c r="Q786" t="str">
        <f t="shared" si="76"/>
        <v>CACZ</v>
      </c>
    </row>
    <row r="787" spans="1:17" x14ac:dyDescent="0.15">
      <c r="A787" t="s">
        <v>935</v>
      </c>
      <c r="B787" s="9">
        <v>0.2</v>
      </c>
      <c r="C787" s="13">
        <v>0</v>
      </c>
      <c r="D787" s="13">
        <v>1</v>
      </c>
      <c r="E787" s="9" t="s">
        <v>1242</v>
      </c>
      <c r="F787">
        <v>327.60000000000002</v>
      </c>
      <c r="G787" s="11">
        <v>8.8999455990225592E-4</v>
      </c>
      <c r="H787" s="12">
        <v>0.81243982381551083</v>
      </c>
      <c r="I787" t="s">
        <v>1241</v>
      </c>
      <c r="J787">
        <v>1.2</v>
      </c>
      <c r="K787" s="11">
        <f t="shared" si="72"/>
        <v>1.2431155079799797E-4</v>
      </c>
      <c r="L787" s="12">
        <f t="shared" si="77"/>
        <v>0.99872107103036944</v>
      </c>
      <c r="M787" t="str">
        <f t="shared" si="73"/>
        <v>C</v>
      </c>
      <c r="N787" t="str">
        <f t="shared" si="74"/>
        <v>CBC</v>
      </c>
      <c r="O787" s="11">
        <f>VLOOKUP(A787,XYZ!A786:G1589,2,FALSE)</f>
        <v>2.2360679774997898</v>
      </c>
      <c r="P787" t="str">
        <f t="shared" si="75"/>
        <v>Z</v>
      </c>
      <c r="Q787" t="str">
        <f t="shared" si="76"/>
        <v>CBCZ</v>
      </c>
    </row>
    <row r="788" spans="1:17" x14ac:dyDescent="0.15">
      <c r="A788" t="s">
        <v>973</v>
      </c>
      <c r="B788" s="9">
        <v>0.2</v>
      </c>
      <c r="C788" s="13">
        <v>0</v>
      </c>
      <c r="D788" s="13">
        <v>1</v>
      </c>
      <c r="E788" s="9" t="s">
        <v>1242</v>
      </c>
      <c r="F788">
        <v>108.80000000000001</v>
      </c>
      <c r="G788" s="11">
        <v>2.955781688564269E-4</v>
      </c>
      <c r="H788" s="12">
        <v>0.96462710057659884</v>
      </c>
      <c r="I788" t="s">
        <v>1242</v>
      </c>
      <c r="J788">
        <v>1.2</v>
      </c>
      <c r="K788" s="11">
        <f t="shared" si="72"/>
        <v>1.2431155079799797E-4</v>
      </c>
      <c r="L788" s="12">
        <f t="shared" si="77"/>
        <v>0.9988453825811674</v>
      </c>
      <c r="M788" t="str">
        <f t="shared" si="73"/>
        <v>C</v>
      </c>
      <c r="N788" t="str">
        <f t="shared" si="74"/>
        <v>CCC</v>
      </c>
      <c r="O788" s="11">
        <f>VLOOKUP(A788,XYZ!A787:G1590,2,FALSE)</f>
        <v>2.2360679774997898</v>
      </c>
      <c r="P788" t="str">
        <f t="shared" si="75"/>
        <v>Z</v>
      </c>
      <c r="Q788" t="str">
        <f t="shared" si="76"/>
        <v>CCCZ</v>
      </c>
    </row>
    <row r="789" spans="1:17" x14ac:dyDescent="0.15">
      <c r="A789" t="s">
        <v>1081</v>
      </c>
      <c r="B789" s="9">
        <v>0.2</v>
      </c>
      <c r="C789" s="13">
        <v>0</v>
      </c>
      <c r="D789" s="13">
        <v>1</v>
      </c>
      <c r="E789" s="9" t="s">
        <v>1242</v>
      </c>
      <c r="F789">
        <v>107.80000000000001</v>
      </c>
      <c r="G789" s="11">
        <v>2.9286145774561415E-4</v>
      </c>
      <c r="H789" s="12">
        <v>0.96550856466361312</v>
      </c>
      <c r="I789" t="s">
        <v>1242</v>
      </c>
      <c r="J789">
        <v>1.2</v>
      </c>
      <c r="K789" s="11">
        <f t="shared" si="72"/>
        <v>1.2431155079799797E-4</v>
      </c>
      <c r="L789" s="12">
        <f t="shared" si="77"/>
        <v>0.99896969413196535</v>
      </c>
      <c r="M789" t="str">
        <f t="shared" si="73"/>
        <v>C</v>
      </c>
      <c r="N789" t="str">
        <f t="shared" si="74"/>
        <v>CCC</v>
      </c>
      <c r="O789" s="11">
        <f>VLOOKUP(A789,XYZ!A788:G1591,2,FALSE)</f>
        <v>2.2360679774997898</v>
      </c>
      <c r="P789" t="str">
        <f t="shared" si="75"/>
        <v>Z</v>
      </c>
      <c r="Q789" t="str">
        <f t="shared" si="76"/>
        <v>CCCZ</v>
      </c>
    </row>
    <row r="790" spans="1:17" x14ac:dyDescent="0.15">
      <c r="A790" t="s">
        <v>915</v>
      </c>
      <c r="B790" s="9">
        <v>0.2</v>
      </c>
      <c r="C790" s="13">
        <v>0</v>
      </c>
      <c r="D790" s="13">
        <v>1</v>
      </c>
      <c r="E790" s="9" t="s">
        <v>1242</v>
      </c>
      <c r="F790">
        <v>88.800000000000011</v>
      </c>
      <c r="G790" s="11">
        <v>2.4124394664017194E-4</v>
      </c>
      <c r="H790" s="12">
        <v>0.97843709400174927</v>
      </c>
      <c r="I790" t="s">
        <v>1242</v>
      </c>
      <c r="J790">
        <v>1.2</v>
      </c>
      <c r="K790" s="11">
        <f t="shared" si="72"/>
        <v>1.2431155079799797E-4</v>
      </c>
      <c r="L790" s="12">
        <f t="shared" si="77"/>
        <v>0.9990940056827633</v>
      </c>
      <c r="M790" t="str">
        <f t="shared" si="73"/>
        <v>C</v>
      </c>
      <c r="N790" t="str">
        <f t="shared" si="74"/>
        <v>CCC</v>
      </c>
      <c r="O790" s="11">
        <f>VLOOKUP(A790,XYZ!A789:G1592,2,FALSE)</f>
        <v>2.2360679774997898</v>
      </c>
      <c r="P790" t="str">
        <f t="shared" si="75"/>
        <v>Z</v>
      </c>
      <c r="Q790" t="str">
        <f t="shared" si="76"/>
        <v>CCCZ</v>
      </c>
    </row>
    <row r="791" spans="1:17" x14ac:dyDescent="0.15">
      <c r="A791" t="s">
        <v>424</v>
      </c>
      <c r="B791" s="9">
        <v>0.2</v>
      </c>
      <c r="C791" s="13">
        <v>0</v>
      </c>
      <c r="D791" s="13">
        <v>1</v>
      </c>
      <c r="E791" s="9" t="s">
        <v>1242</v>
      </c>
      <c r="F791">
        <v>40.872000000000007</v>
      </c>
      <c r="G791" s="11">
        <v>1.110374165211386E-4</v>
      </c>
      <c r="H791" s="12">
        <v>0.99713707549720487</v>
      </c>
      <c r="I791" t="s">
        <v>1242</v>
      </c>
      <c r="J791">
        <v>1.2</v>
      </c>
      <c r="K791" s="11">
        <f t="shared" si="72"/>
        <v>1.2431155079799797E-4</v>
      </c>
      <c r="L791" s="12">
        <f t="shared" si="77"/>
        <v>0.99921831723356125</v>
      </c>
      <c r="M791" t="str">
        <f t="shared" si="73"/>
        <v>C</v>
      </c>
      <c r="N791" t="str">
        <f t="shared" si="74"/>
        <v>CCC</v>
      </c>
      <c r="O791" s="11">
        <f>VLOOKUP(A791,XYZ!A790:G1593,2,FALSE)</f>
        <v>2.2360679774997898</v>
      </c>
      <c r="P791" t="str">
        <f t="shared" si="75"/>
        <v>Z</v>
      </c>
      <c r="Q791" t="str">
        <f t="shared" si="76"/>
        <v>CCCZ</v>
      </c>
    </row>
    <row r="792" spans="1:17" x14ac:dyDescent="0.15">
      <c r="A792" t="s">
        <v>657</v>
      </c>
      <c r="B792" s="9">
        <v>0.16666666999999999</v>
      </c>
      <c r="C792" s="13">
        <v>0</v>
      </c>
      <c r="D792" s="13">
        <v>1</v>
      </c>
      <c r="E792" s="9" t="s">
        <v>1242</v>
      </c>
      <c r="F792">
        <v>185.00000369999998</v>
      </c>
      <c r="G792" s="11">
        <v>5.0259156555218921E-4</v>
      </c>
      <c r="H792" s="12">
        <v>0.92013984228548451</v>
      </c>
      <c r="I792" t="s">
        <v>1241</v>
      </c>
      <c r="J792">
        <v>1.0000000199999999</v>
      </c>
      <c r="K792" s="11">
        <f t="shared" si="72"/>
        <v>1.035929610701908E-4</v>
      </c>
      <c r="L792" s="12">
        <f t="shared" si="77"/>
        <v>0.99932191019463146</v>
      </c>
      <c r="M792" t="str">
        <f t="shared" si="73"/>
        <v>C</v>
      </c>
      <c r="N792" t="str">
        <f t="shared" si="74"/>
        <v>CBC</v>
      </c>
      <c r="O792" s="11">
        <f>VLOOKUP(A792,XYZ!A791:G1594,2,FALSE)</f>
        <v>2.2360679774997894</v>
      </c>
      <c r="P792" t="str">
        <f t="shared" si="75"/>
        <v>Z</v>
      </c>
      <c r="Q792" t="str">
        <f t="shared" si="76"/>
        <v>CBCZ</v>
      </c>
    </row>
    <row r="793" spans="1:17" x14ac:dyDescent="0.15">
      <c r="A793" t="s">
        <v>317</v>
      </c>
      <c r="B793" s="9">
        <v>0.14285713999999999</v>
      </c>
      <c r="C793" s="13">
        <v>0</v>
      </c>
      <c r="D793" s="13">
        <v>1</v>
      </c>
      <c r="E793" s="9" t="s">
        <v>1242</v>
      </c>
      <c r="F793">
        <v>1539.3856834979999</v>
      </c>
      <c r="G793" s="11">
        <v>4.1820661901850907E-3</v>
      </c>
      <c r="H793" s="12">
        <v>0.27115471586839318</v>
      </c>
      <c r="I793" t="s">
        <v>1240</v>
      </c>
      <c r="J793">
        <v>0.85714283999999996</v>
      </c>
      <c r="K793" s="11">
        <f t="shared" si="72"/>
        <v>8.8793963079833536E-5</v>
      </c>
      <c r="L793" s="12">
        <f t="shared" si="77"/>
        <v>0.99941070415771127</v>
      </c>
      <c r="M793" t="str">
        <f t="shared" si="73"/>
        <v>C</v>
      </c>
      <c r="N793" t="str">
        <f t="shared" si="74"/>
        <v>CAC</v>
      </c>
      <c r="O793" s="11">
        <f>VLOOKUP(A793,XYZ!A792:G1595,2,FALSE)</f>
        <v>2.2360679774997894</v>
      </c>
      <c r="P793" t="str">
        <f t="shared" si="75"/>
        <v>Z</v>
      </c>
      <c r="Q793" t="str">
        <f t="shared" si="76"/>
        <v>CACZ</v>
      </c>
    </row>
    <row r="794" spans="1:17" x14ac:dyDescent="0.15">
      <c r="A794" t="s">
        <v>803</v>
      </c>
      <c r="B794" s="9">
        <v>0.14000000000000001</v>
      </c>
      <c r="C794" s="13">
        <v>0</v>
      </c>
      <c r="D794" s="13">
        <v>1</v>
      </c>
      <c r="E794" s="9" t="s">
        <v>1242</v>
      </c>
      <c r="F794">
        <v>128.52000000000001</v>
      </c>
      <c r="G794" s="11">
        <v>3.4915171196165426E-4</v>
      </c>
      <c r="H794" s="12">
        <v>0.9525969876028092</v>
      </c>
      <c r="I794" t="s">
        <v>1242</v>
      </c>
      <c r="J794">
        <v>0.84000000000000008</v>
      </c>
      <c r="K794" s="11">
        <f t="shared" si="72"/>
        <v>8.701808555859859E-5</v>
      </c>
      <c r="L794" s="12">
        <f t="shared" si="77"/>
        <v>0.99949772224326983</v>
      </c>
      <c r="M794" t="str">
        <f t="shared" si="73"/>
        <v>C</v>
      </c>
      <c r="N794" t="str">
        <f t="shared" si="74"/>
        <v>CCC</v>
      </c>
      <c r="O794" s="11">
        <f>VLOOKUP(A794,XYZ!A793:G1596,2,FALSE)</f>
        <v>2.0422826364993996</v>
      </c>
      <c r="P794" t="str">
        <f t="shared" si="75"/>
        <v>Z</v>
      </c>
      <c r="Q794" t="str">
        <f t="shared" si="76"/>
        <v>CCCZ</v>
      </c>
    </row>
    <row r="795" spans="1:17" x14ac:dyDescent="0.15">
      <c r="A795" t="s">
        <v>809</v>
      </c>
      <c r="B795" s="9">
        <v>0.12</v>
      </c>
      <c r="C795" s="13">
        <v>0</v>
      </c>
      <c r="D795" s="13">
        <v>1</v>
      </c>
      <c r="E795" s="9" t="s">
        <v>1242</v>
      </c>
      <c r="F795">
        <v>64.44</v>
      </c>
      <c r="G795" s="11">
        <v>1.750648639807734E-4</v>
      </c>
      <c r="H795" s="12">
        <v>0.99162558542607848</v>
      </c>
      <c r="I795" t="s">
        <v>1242</v>
      </c>
      <c r="J795">
        <v>0.72</v>
      </c>
      <c r="K795" s="11">
        <f t="shared" si="72"/>
        <v>7.4586930478798781E-5</v>
      </c>
      <c r="L795" s="12">
        <f t="shared" si="77"/>
        <v>0.99957230917374862</v>
      </c>
      <c r="M795" t="str">
        <f t="shared" si="73"/>
        <v>C</v>
      </c>
      <c r="N795" t="str">
        <f t="shared" si="74"/>
        <v>CCC</v>
      </c>
      <c r="O795" s="11">
        <f>VLOOKUP(A795,XYZ!A794:G1597,2,FALSE)</f>
        <v>2.2360679774997894</v>
      </c>
      <c r="P795" t="str">
        <f t="shared" si="75"/>
        <v>Z</v>
      </c>
      <c r="Q795" t="str">
        <f t="shared" si="76"/>
        <v>CCCZ</v>
      </c>
    </row>
    <row r="796" spans="1:17" x14ac:dyDescent="0.15">
      <c r="A796" t="s">
        <v>714</v>
      </c>
      <c r="B796" s="9">
        <v>0.11</v>
      </c>
      <c r="C796" s="13">
        <v>0</v>
      </c>
      <c r="D796" s="13">
        <v>1</v>
      </c>
      <c r="E796" s="9" t="s">
        <v>1242</v>
      </c>
      <c r="F796">
        <v>119.79</v>
      </c>
      <c r="G796" s="11">
        <v>3.2543482396425895E-4</v>
      </c>
      <c r="H796" s="12">
        <v>0.96030372651485141</v>
      </c>
      <c r="I796" t="s">
        <v>1242</v>
      </c>
      <c r="J796">
        <v>0.65999999999999992</v>
      </c>
      <c r="K796" s="11">
        <f t="shared" si="72"/>
        <v>6.8371352938898877E-5</v>
      </c>
      <c r="L796" s="12">
        <f t="shared" si="77"/>
        <v>0.99964068052668753</v>
      </c>
      <c r="M796" t="str">
        <f t="shared" si="73"/>
        <v>C</v>
      </c>
      <c r="N796" t="str">
        <f t="shared" si="74"/>
        <v>CCC</v>
      </c>
      <c r="O796" s="11">
        <f>VLOOKUP(A796,XYZ!A795:G1598,2,FALSE)</f>
        <v>1.3787046261911911</v>
      </c>
      <c r="P796" t="str">
        <f t="shared" si="75"/>
        <v>Z</v>
      </c>
      <c r="Q796" t="str">
        <f t="shared" si="76"/>
        <v>CCCZ</v>
      </c>
    </row>
    <row r="797" spans="1:17" x14ac:dyDescent="0.15">
      <c r="A797" t="s">
        <v>804</v>
      </c>
      <c r="B797" s="9">
        <v>0.1</v>
      </c>
      <c r="C797" s="13">
        <v>0</v>
      </c>
      <c r="D797" s="13">
        <v>1</v>
      </c>
      <c r="E797" s="9" t="s">
        <v>1242</v>
      </c>
      <c r="F797">
        <v>117.60000000000001</v>
      </c>
      <c r="G797" s="11">
        <v>3.1948522663157906E-4</v>
      </c>
      <c r="H797" s="12">
        <v>0.96126707227474562</v>
      </c>
      <c r="I797" t="s">
        <v>1242</v>
      </c>
      <c r="J797">
        <v>0.6</v>
      </c>
      <c r="K797" s="11">
        <f t="shared" si="72"/>
        <v>6.2155775398998987E-5</v>
      </c>
      <c r="L797" s="12">
        <f t="shared" si="77"/>
        <v>0.99970283630208656</v>
      </c>
      <c r="M797" t="str">
        <f t="shared" si="73"/>
        <v>C</v>
      </c>
      <c r="N797" t="str">
        <f t="shared" si="74"/>
        <v>CCC</v>
      </c>
      <c r="O797" s="11">
        <f>VLOOKUP(A797,XYZ!A796:G1599,2,FALSE)</f>
        <v>2.2360679774997898</v>
      </c>
      <c r="P797" t="str">
        <f t="shared" si="75"/>
        <v>Z</v>
      </c>
      <c r="Q797" t="str">
        <f t="shared" si="76"/>
        <v>CCCZ</v>
      </c>
    </row>
    <row r="798" spans="1:17" x14ac:dyDescent="0.15">
      <c r="A798" t="s">
        <v>879</v>
      </c>
      <c r="B798" s="9">
        <v>0.1</v>
      </c>
      <c r="C798" s="13">
        <v>0</v>
      </c>
      <c r="D798" s="13">
        <v>1</v>
      </c>
      <c r="E798" s="9" t="s">
        <v>1242</v>
      </c>
      <c r="F798">
        <v>75.900000000000006</v>
      </c>
      <c r="G798" s="11">
        <v>2.0619837331068748E-4</v>
      </c>
      <c r="H798" s="12">
        <v>0.98704689485413677</v>
      </c>
      <c r="I798" t="s">
        <v>1242</v>
      </c>
      <c r="J798">
        <v>0.6</v>
      </c>
      <c r="K798" s="11">
        <f t="shared" si="72"/>
        <v>6.2155775398998987E-5</v>
      </c>
      <c r="L798" s="12">
        <f t="shared" si="77"/>
        <v>0.99976499207748559</v>
      </c>
      <c r="M798" t="str">
        <f t="shared" si="73"/>
        <v>C</v>
      </c>
      <c r="N798" t="str">
        <f t="shared" si="74"/>
        <v>CCC</v>
      </c>
      <c r="O798" s="11">
        <f>VLOOKUP(A798,XYZ!A797:G1600,2,FALSE)</f>
        <v>2.2360679774997898</v>
      </c>
      <c r="P798" t="str">
        <f t="shared" si="75"/>
        <v>Z</v>
      </c>
      <c r="Q798" t="str">
        <f t="shared" si="76"/>
        <v>CCCZ</v>
      </c>
    </row>
    <row r="799" spans="1:17" x14ac:dyDescent="0.15">
      <c r="A799" t="s">
        <v>652</v>
      </c>
      <c r="B799" s="9">
        <v>0.1</v>
      </c>
      <c r="C799" s="13">
        <v>0</v>
      </c>
      <c r="D799" s="13">
        <v>1</v>
      </c>
      <c r="E799" s="9" t="s">
        <v>1242</v>
      </c>
      <c r="F799">
        <v>64.900000000000006</v>
      </c>
      <c r="G799" s="11">
        <v>1.7631455109174728E-4</v>
      </c>
      <c r="H799" s="12">
        <v>0.9914505205620977</v>
      </c>
      <c r="I799" t="s">
        <v>1242</v>
      </c>
      <c r="J799">
        <v>0.6</v>
      </c>
      <c r="K799" s="11">
        <f t="shared" si="72"/>
        <v>6.2155775398998987E-5</v>
      </c>
      <c r="L799" s="12">
        <f t="shared" si="77"/>
        <v>0.99982714785288462</v>
      </c>
      <c r="M799" t="str">
        <f t="shared" si="73"/>
        <v>C</v>
      </c>
      <c r="N799" t="str">
        <f t="shared" si="74"/>
        <v>CCC</v>
      </c>
      <c r="O799" s="11">
        <f>VLOOKUP(A799,XYZ!A798:G1601,2,FALSE)</f>
        <v>2.2360679774997898</v>
      </c>
      <c r="P799" t="str">
        <f t="shared" si="75"/>
        <v>Z</v>
      </c>
      <c r="Q799" t="str">
        <f t="shared" si="76"/>
        <v>CCCZ</v>
      </c>
    </row>
    <row r="800" spans="1:17" x14ac:dyDescent="0.15">
      <c r="A800" t="s">
        <v>665</v>
      </c>
      <c r="B800" s="9">
        <v>7.1428400000000003E-2</v>
      </c>
      <c r="C800" s="13">
        <v>0</v>
      </c>
      <c r="D800" s="13">
        <v>1</v>
      </c>
      <c r="E800" s="9" t="s">
        <v>1242</v>
      </c>
      <c r="F800">
        <v>51.714161600000004</v>
      </c>
      <c r="G800" s="11">
        <v>1.404924374050859E-4</v>
      </c>
      <c r="H800" s="12">
        <v>0.99487168616980926</v>
      </c>
      <c r="I800" t="s">
        <v>1242</v>
      </c>
      <c r="J800">
        <v>0.42857040000000002</v>
      </c>
      <c r="K800" s="11">
        <f t="shared" si="72"/>
        <v>4.4396875875098591E-5</v>
      </c>
      <c r="L800" s="12">
        <f t="shared" si="77"/>
        <v>0.99987154472875972</v>
      </c>
      <c r="M800" t="str">
        <f t="shared" si="73"/>
        <v>C</v>
      </c>
      <c r="N800" t="str">
        <f t="shared" si="74"/>
        <v>CCC</v>
      </c>
      <c r="O800" s="11">
        <f>VLOOKUP(A800,XYZ!A799:G1602,2,FALSE)</f>
        <v>2.2360679774997894</v>
      </c>
      <c r="P800" t="str">
        <f t="shared" si="75"/>
        <v>Z</v>
      </c>
      <c r="Q800" t="str">
        <f t="shared" si="76"/>
        <v>CCCZ</v>
      </c>
    </row>
    <row r="801" spans="1:17" x14ac:dyDescent="0.15">
      <c r="A801" t="s">
        <v>1037</v>
      </c>
      <c r="B801" s="9">
        <v>6.6666669999999997E-2</v>
      </c>
      <c r="C801" s="13">
        <v>0</v>
      </c>
      <c r="D801" s="13">
        <v>1</v>
      </c>
      <c r="E801" s="9" t="s">
        <v>1242</v>
      </c>
      <c r="F801">
        <v>273.00001364999997</v>
      </c>
      <c r="G801" s="11">
        <v>7.4166217033498649E-4</v>
      </c>
      <c r="H801" s="12">
        <v>0.85746042686898316</v>
      </c>
      <c r="I801" t="s">
        <v>1241</v>
      </c>
      <c r="J801">
        <v>0.40000001999999996</v>
      </c>
      <c r="K801" s="11">
        <f t="shared" si="72"/>
        <v>4.1437185671191831E-5</v>
      </c>
      <c r="L801" s="12">
        <f t="shared" si="77"/>
        <v>0.9999129819144309</v>
      </c>
      <c r="M801" t="str">
        <f t="shared" si="73"/>
        <v>C</v>
      </c>
      <c r="N801" t="str">
        <f t="shared" si="74"/>
        <v>CBC</v>
      </c>
      <c r="O801" s="11">
        <f>VLOOKUP(A801,XYZ!A800:G1603,2,FALSE)</f>
        <v>2.2360679774997898</v>
      </c>
      <c r="P801" t="str">
        <f t="shared" si="75"/>
        <v>Z</v>
      </c>
      <c r="Q801" t="str">
        <f t="shared" si="76"/>
        <v>CBCZ</v>
      </c>
    </row>
    <row r="802" spans="1:17" x14ac:dyDescent="0.15">
      <c r="A802" t="s">
        <v>1114</v>
      </c>
      <c r="B802" s="9">
        <v>0.05</v>
      </c>
      <c r="C802" s="13">
        <v>0</v>
      </c>
      <c r="D802" s="13">
        <v>1</v>
      </c>
      <c r="E802" s="9" t="s">
        <v>1242</v>
      </c>
      <c r="F802">
        <v>88.300000000000011</v>
      </c>
      <c r="G802" s="11">
        <v>2.3988559108476556E-4</v>
      </c>
      <c r="H802" s="12">
        <v>0.97867697959283406</v>
      </c>
      <c r="I802" t="s">
        <v>1242</v>
      </c>
      <c r="J802">
        <v>0.3</v>
      </c>
      <c r="K802" s="11">
        <f t="shared" si="72"/>
        <v>3.1077887699499493E-5</v>
      </c>
      <c r="L802" s="12">
        <f t="shared" si="77"/>
        <v>0.99994405980213041</v>
      </c>
      <c r="M802" t="str">
        <f t="shared" si="73"/>
        <v>C</v>
      </c>
      <c r="N802" t="str">
        <f t="shared" si="74"/>
        <v>CCC</v>
      </c>
      <c r="O802" s="11">
        <f>VLOOKUP(A802,XYZ!A801:G1604,2,FALSE)</f>
        <v>2.2360679774997898</v>
      </c>
      <c r="P802" t="str">
        <f t="shared" si="75"/>
        <v>Z</v>
      </c>
      <c r="Q802" t="str">
        <f t="shared" si="76"/>
        <v>CCCZ</v>
      </c>
    </row>
    <row r="803" spans="1:17" x14ac:dyDescent="0.15">
      <c r="A803" t="s">
        <v>1069</v>
      </c>
      <c r="B803" s="9">
        <v>0.05</v>
      </c>
      <c r="C803" s="13">
        <v>0</v>
      </c>
      <c r="D803" s="13">
        <v>1</v>
      </c>
      <c r="E803" s="9" t="s">
        <v>1242</v>
      </c>
      <c r="F803">
        <v>56.050000000000004</v>
      </c>
      <c r="G803" s="11">
        <v>1.5227165776105446E-4</v>
      </c>
      <c r="H803" s="12">
        <v>0.99325601959923282</v>
      </c>
      <c r="I803" t="s">
        <v>1242</v>
      </c>
      <c r="J803">
        <v>0.3</v>
      </c>
      <c r="K803" s="11">
        <f t="shared" si="72"/>
        <v>3.1077887699499493E-5</v>
      </c>
      <c r="L803" s="12">
        <f t="shared" si="77"/>
        <v>0.99997513768982993</v>
      </c>
      <c r="M803" t="str">
        <f t="shared" si="73"/>
        <v>C</v>
      </c>
      <c r="N803" t="str">
        <f t="shared" si="74"/>
        <v>CCC</v>
      </c>
      <c r="O803" s="11">
        <f>VLOOKUP(A803,XYZ!A802:G1605,2,FALSE)</f>
        <v>2.2360679774997898</v>
      </c>
      <c r="P803" t="str">
        <f t="shared" si="75"/>
        <v>Z</v>
      </c>
      <c r="Q803" t="str">
        <f t="shared" si="76"/>
        <v>CCCZ</v>
      </c>
    </row>
    <row r="804" spans="1:17" x14ac:dyDescent="0.15">
      <c r="A804" t="s">
        <v>1011</v>
      </c>
      <c r="B804" s="9">
        <v>0.04</v>
      </c>
      <c r="C804" s="13">
        <v>0</v>
      </c>
      <c r="D804" s="13">
        <v>1</v>
      </c>
      <c r="E804" s="9" t="s">
        <v>1242</v>
      </c>
      <c r="F804">
        <v>25.8</v>
      </c>
      <c r="G804" s="11">
        <v>7.0091146658968868E-5</v>
      </c>
      <c r="H804" s="12">
        <v>0.99952696626138671</v>
      </c>
      <c r="I804" t="s">
        <v>1242</v>
      </c>
      <c r="J804">
        <v>0.24</v>
      </c>
      <c r="K804" s="11">
        <f t="shared" si="72"/>
        <v>2.4862310159599593E-5</v>
      </c>
      <c r="L804" s="12">
        <f t="shared" si="77"/>
        <v>0.99999999999998956</v>
      </c>
      <c r="M804" t="str">
        <f t="shared" si="73"/>
        <v>C</v>
      </c>
      <c r="N804" t="str">
        <f t="shared" si="74"/>
        <v>CCC</v>
      </c>
      <c r="O804" s="11">
        <f>VLOOKUP(A804,XYZ!A803:G1606,2,FALSE)</f>
        <v>2.2360679774997898</v>
      </c>
      <c r="P804" t="str">
        <f t="shared" si="75"/>
        <v>Z</v>
      </c>
      <c r="Q804" t="str">
        <f t="shared" si="76"/>
        <v>CCCZ</v>
      </c>
    </row>
  </sheetData>
  <sortState xmlns:xlrd2="http://schemas.microsoft.com/office/spreadsheetml/2017/richdata2" ref="A2:J805">
    <sortCondition descending="1" ref="J1:J80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36AA-7514-3845-9A4B-C541DAC4B52A}">
  <dimension ref="A1:G804"/>
  <sheetViews>
    <sheetView topLeftCell="A121" workbookViewId="0">
      <selection activeCell="B2" sqref="B2:B804"/>
    </sheetView>
  </sheetViews>
  <sheetFormatPr baseColWidth="10" defaultRowHeight="13" x14ac:dyDescent="0.15"/>
  <cols>
    <col min="1" max="1" width="103.33203125" bestFit="1" customWidth="1"/>
  </cols>
  <sheetData>
    <row r="1" spans="1:7" x14ac:dyDescent="0.15">
      <c r="A1" s="14" t="s">
        <v>1234</v>
      </c>
      <c r="B1" s="9" t="s">
        <v>1245</v>
      </c>
      <c r="C1" s="16">
        <v>44774</v>
      </c>
      <c r="D1" s="16">
        <v>44775</v>
      </c>
      <c r="E1" s="16">
        <v>44776</v>
      </c>
      <c r="F1" s="16">
        <v>44777</v>
      </c>
      <c r="G1" s="16">
        <v>44778</v>
      </c>
    </row>
    <row r="2" spans="1:7" x14ac:dyDescent="0.15">
      <c r="A2" t="s">
        <v>378</v>
      </c>
      <c r="B2" s="11">
        <f>_xlfn.STDEV.S(C2:G2)/AVERAGE(C2:G2)</f>
        <v>0.89693827541040638</v>
      </c>
      <c r="C2">
        <f>SUMIFS('data (1)'!$M:$M,'data (1)'!$A:$A,XYZ!C$1,'data (1)'!$J:$J,XYZ!$A2)</f>
        <v>24</v>
      </c>
      <c r="D2">
        <f>SUMIFS('data (1)'!$M:$M,'data (1)'!$A:$A,XYZ!D$1,'data (1)'!$J:$J,XYZ!$A2)</f>
        <v>0</v>
      </c>
      <c r="E2">
        <f>SUMIFS('data (1)'!$M:$M,'data (1)'!$A:$A,XYZ!E$1,'data (1)'!$J:$J,XYZ!$A2)</f>
        <v>4</v>
      </c>
      <c r="F2">
        <f>SUMIFS('data (1)'!$M:$M,'data (1)'!$A:$A,XYZ!F$1,'data (1)'!$J:$J,XYZ!$A2)</f>
        <v>12</v>
      </c>
      <c r="G2">
        <f>SUMIFS('data (1)'!$M:$M,'data (1)'!$A:$A,XYZ!G$1,'data (1)'!$J:$J,XYZ!$A2)</f>
        <v>28</v>
      </c>
    </row>
    <row r="3" spans="1:7" x14ac:dyDescent="0.15">
      <c r="A3" t="s">
        <v>419</v>
      </c>
      <c r="B3" s="11">
        <f t="shared" ref="B3:B66" si="0">_xlfn.STDEV.S(C3:G3)/AVERAGE(C3:G3)</f>
        <v>0.69985421222376509</v>
      </c>
      <c r="C3">
        <f>SUMIFS('data (1)'!$M:$M,'data (1)'!$A:$A,XYZ!C$1,'data (1)'!$J:$J,XYZ!$A3)</f>
        <v>2</v>
      </c>
      <c r="D3">
        <f>SUMIFS('data (1)'!$M:$M,'data (1)'!$A:$A,XYZ!D$1,'data (1)'!$J:$J,XYZ!$A3)</f>
        <v>10</v>
      </c>
      <c r="E3">
        <f>SUMIFS('data (1)'!$M:$M,'data (1)'!$A:$A,XYZ!E$1,'data (1)'!$J:$J,XYZ!$A3)</f>
        <v>5</v>
      </c>
      <c r="F3">
        <f>SUMIFS('data (1)'!$M:$M,'data (1)'!$A:$A,XYZ!F$1,'data (1)'!$J:$J,XYZ!$A3)</f>
        <v>4</v>
      </c>
      <c r="G3">
        <f>SUMIFS('data (1)'!$M:$M,'data (1)'!$A:$A,XYZ!G$1,'data (1)'!$J:$J,XYZ!$A3)</f>
        <v>14</v>
      </c>
    </row>
    <row r="4" spans="1:7" x14ac:dyDescent="0.15">
      <c r="A4" t="s">
        <v>94</v>
      </c>
      <c r="B4" s="11">
        <f t="shared" si="0"/>
        <v>0.61418151625658901</v>
      </c>
      <c r="C4">
        <f>SUMIFS('data (1)'!$M:$M,'data (1)'!$A:$A,XYZ!C$1,'data (1)'!$J:$J,XYZ!$A4)</f>
        <v>10</v>
      </c>
      <c r="D4">
        <f>SUMIFS('data (1)'!$M:$M,'data (1)'!$A:$A,XYZ!D$1,'data (1)'!$J:$J,XYZ!$A4)</f>
        <v>3</v>
      </c>
      <c r="E4">
        <f>SUMIFS('data (1)'!$M:$M,'data (1)'!$A:$A,XYZ!E$1,'data (1)'!$J:$J,XYZ!$A4)</f>
        <v>3</v>
      </c>
      <c r="F4">
        <f>SUMIFS('data (1)'!$M:$M,'data (1)'!$A:$A,XYZ!F$1,'data (1)'!$J:$J,XYZ!$A4)</f>
        <v>3</v>
      </c>
      <c r="G4">
        <f>SUMIFS('data (1)'!$M:$M,'data (1)'!$A:$A,XYZ!G$1,'data (1)'!$J:$J,XYZ!$A4)</f>
        <v>7</v>
      </c>
    </row>
    <row r="5" spans="1:7" x14ac:dyDescent="0.15">
      <c r="A5" t="s">
        <v>418</v>
      </c>
      <c r="B5" s="11">
        <f t="shared" si="0"/>
        <v>0.70710678118654757</v>
      </c>
      <c r="C5">
        <f>SUMIFS('data (1)'!$M:$M,'data (1)'!$A:$A,XYZ!C$1,'data (1)'!$J:$J,XYZ!$A5)</f>
        <v>2</v>
      </c>
      <c r="D5">
        <f>SUMIFS('data (1)'!$M:$M,'data (1)'!$A:$A,XYZ!D$1,'data (1)'!$J:$J,XYZ!$A5)</f>
        <v>5</v>
      </c>
      <c r="E5">
        <f>SUMIFS('data (1)'!$M:$M,'data (1)'!$A:$A,XYZ!E$1,'data (1)'!$J:$J,XYZ!$A5)</f>
        <v>4</v>
      </c>
      <c r="F5">
        <f>SUMIFS('data (1)'!$M:$M,'data (1)'!$A:$A,XYZ!F$1,'data (1)'!$J:$J,XYZ!$A5)</f>
        <v>11</v>
      </c>
      <c r="G5">
        <f>SUMIFS('data (1)'!$M:$M,'data (1)'!$A:$A,XYZ!G$1,'data (1)'!$J:$J,XYZ!$A5)</f>
        <v>3</v>
      </c>
    </row>
    <row r="6" spans="1:7" x14ac:dyDescent="0.15">
      <c r="A6" t="s">
        <v>586</v>
      </c>
      <c r="B6" s="11">
        <f t="shared" si="0"/>
        <v>2.2360679774997894</v>
      </c>
      <c r="C6">
        <f>SUMIFS('data (1)'!$M:$M,'data (1)'!$A:$A,XYZ!C$1,'data (1)'!$J:$J,XYZ!$A6)</f>
        <v>0</v>
      </c>
      <c r="D6">
        <f>SUMIFS('data (1)'!$M:$M,'data (1)'!$A:$A,XYZ!D$1,'data (1)'!$J:$J,XYZ!$A6)</f>
        <v>22</v>
      </c>
      <c r="E6">
        <f>SUMIFS('data (1)'!$M:$M,'data (1)'!$A:$A,XYZ!E$1,'data (1)'!$J:$J,XYZ!$A6)</f>
        <v>0</v>
      </c>
      <c r="F6">
        <f>SUMIFS('data (1)'!$M:$M,'data (1)'!$A:$A,XYZ!F$1,'data (1)'!$J:$J,XYZ!$A6)</f>
        <v>0</v>
      </c>
      <c r="G6">
        <f>SUMIFS('data (1)'!$M:$M,'data (1)'!$A:$A,XYZ!G$1,'data (1)'!$J:$J,XYZ!$A6)</f>
        <v>0</v>
      </c>
    </row>
    <row r="7" spans="1:7" x14ac:dyDescent="0.15">
      <c r="A7" t="s">
        <v>166</v>
      </c>
      <c r="B7" s="11">
        <f t="shared" si="0"/>
        <v>0.44605149670891486</v>
      </c>
      <c r="C7">
        <f>SUMIFS('data (1)'!$M:$M,'data (1)'!$A:$A,XYZ!C$1,'data (1)'!$J:$J,XYZ!$A7)</f>
        <v>3</v>
      </c>
      <c r="D7">
        <f>SUMIFS('data (1)'!$M:$M,'data (1)'!$A:$A,XYZ!D$1,'data (1)'!$J:$J,XYZ!$A7)</f>
        <v>3</v>
      </c>
      <c r="E7">
        <f>SUMIFS('data (1)'!$M:$M,'data (1)'!$A:$A,XYZ!E$1,'data (1)'!$J:$J,XYZ!$A7)</f>
        <v>6</v>
      </c>
      <c r="F7">
        <f>SUMIFS('data (1)'!$M:$M,'data (1)'!$A:$A,XYZ!F$1,'data (1)'!$J:$J,XYZ!$A7)</f>
        <v>3</v>
      </c>
      <c r="G7">
        <f>SUMIFS('data (1)'!$M:$M,'data (1)'!$A:$A,XYZ!G$1,'data (1)'!$J:$J,XYZ!$A7)</f>
        <v>2</v>
      </c>
    </row>
    <row r="8" spans="1:7" x14ac:dyDescent="0.15">
      <c r="A8" t="s">
        <v>334</v>
      </c>
      <c r="B8" s="11">
        <f t="shared" si="0"/>
        <v>0.85266688473666585</v>
      </c>
      <c r="C8">
        <f>SUMIFS('data (1)'!$M:$M,'data (1)'!$A:$A,XYZ!C$1,'data (1)'!$J:$J,XYZ!$A8)</f>
        <v>4</v>
      </c>
      <c r="D8">
        <f>SUMIFS('data (1)'!$M:$M,'data (1)'!$A:$A,XYZ!D$1,'data (1)'!$J:$J,XYZ!$A8)</f>
        <v>0</v>
      </c>
      <c r="E8">
        <f>SUMIFS('data (1)'!$M:$M,'data (1)'!$A:$A,XYZ!E$1,'data (1)'!$J:$J,XYZ!$A8)</f>
        <v>6</v>
      </c>
      <c r="F8">
        <f>SUMIFS('data (1)'!$M:$M,'data (1)'!$A:$A,XYZ!F$1,'data (1)'!$J:$J,XYZ!$A8)</f>
        <v>3</v>
      </c>
      <c r="G8">
        <f>SUMIFS('data (1)'!$M:$M,'data (1)'!$A:$A,XYZ!G$1,'data (1)'!$J:$J,XYZ!$A8)</f>
        <v>1</v>
      </c>
    </row>
    <row r="9" spans="1:7" x14ac:dyDescent="0.15">
      <c r="A9" t="s">
        <v>1046</v>
      </c>
      <c r="B9" s="11">
        <f t="shared" si="0"/>
        <v>1.5649215928719031</v>
      </c>
      <c r="C9">
        <f>SUMIFS('data (1)'!$M:$M,'data (1)'!$A:$A,XYZ!C$1,'data (1)'!$J:$J,XYZ!$A9)</f>
        <v>0</v>
      </c>
      <c r="D9">
        <f>SUMIFS('data (1)'!$M:$M,'data (1)'!$A:$A,XYZ!D$1,'data (1)'!$J:$J,XYZ!$A9)</f>
        <v>0</v>
      </c>
      <c r="E9">
        <f>SUMIFS('data (1)'!$M:$M,'data (1)'!$A:$A,XYZ!E$1,'data (1)'!$J:$J,XYZ!$A9)</f>
        <v>0</v>
      </c>
      <c r="F9">
        <f>SUMIFS('data (1)'!$M:$M,'data (1)'!$A:$A,XYZ!F$1,'data (1)'!$J:$J,XYZ!$A9)</f>
        <v>10</v>
      </c>
      <c r="G9">
        <f>SUMIFS('data (1)'!$M:$M,'data (1)'!$A:$A,XYZ!G$1,'data (1)'!$J:$J,XYZ!$A9)</f>
        <v>4</v>
      </c>
    </row>
    <row r="10" spans="1:7" x14ac:dyDescent="0.15">
      <c r="A10" t="s">
        <v>1143</v>
      </c>
      <c r="B10" s="11">
        <f t="shared" si="0"/>
        <v>2.2360679774997894</v>
      </c>
      <c r="C10">
        <f>SUMIFS('data (1)'!$M:$M,'data (1)'!$A:$A,XYZ!C$1,'data (1)'!$J:$J,XYZ!$A10)</f>
        <v>0</v>
      </c>
      <c r="D10">
        <f>SUMIFS('data (1)'!$M:$M,'data (1)'!$A:$A,XYZ!D$1,'data (1)'!$J:$J,XYZ!$A10)</f>
        <v>0</v>
      </c>
      <c r="E10">
        <f>SUMIFS('data (1)'!$M:$M,'data (1)'!$A:$A,XYZ!E$1,'data (1)'!$J:$J,XYZ!$A10)</f>
        <v>0</v>
      </c>
      <c r="F10">
        <f>SUMIFS('data (1)'!$M:$M,'data (1)'!$A:$A,XYZ!F$1,'data (1)'!$J:$J,XYZ!$A10)</f>
        <v>0</v>
      </c>
      <c r="G10">
        <f>SUMIFS('data (1)'!$M:$M,'data (1)'!$A:$A,XYZ!G$1,'data (1)'!$J:$J,XYZ!$A10)</f>
        <v>13</v>
      </c>
    </row>
    <row r="11" spans="1:7" x14ac:dyDescent="0.15">
      <c r="A11" t="s">
        <v>239</v>
      </c>
      <c r="B11" s="11">
        <f t="shared" si="0"/>
        <v>1.0029542161850229</v>
      </c>
      <c r="C11">
        <f>SUMIFS('data (1)'!$M:$M,'data (1)'!$A:$A,XYZ!C$1,'data (1)'!$J:$J,XYZ!$A11)</f>
        <v>4</v>
      </c>
      <c r="D11">
        <f>SUMIFS('data (1)'!$M:$M,'data (1)'!$A:$A,XYZ!D$1,'data (1)'!$J:$J,XYZ!$A11)</f>
        <v>6</v>
      </c>
      <c r="E11">
        <f>SUMIFS('data (1)'!$M:$M,'data (1)'!$A:$A,XYZ!E$1,'data (1)'!$J:$J,XYZ!$A11)</f>
        <v>3</v>
      </c>
      <c r="F11">
        <f>SUMIFS('data (1)'!$M:$M,'data (1)'!$A:$A,XYZ!F$1,'data (1)'!$J:$J,XYZ!$A11)</f>
        <v>0</v>
      </c>
      <c r="G11">
        <f>SUMIFS('data (1)'!$M:$M,'data (1)'!$A:$A,XYZ!G$1,'data (1)'!$J:$J,XYZ!$A11)</f>
        <v>0</v>
      </c>
    </row>
    <row r="12" spans="1:7" x14ac:dyDescent="0.15">
      <c r="A12" t="s">
        <v>594</v>
      </c>
      <c r="B12" s="11">
        <f t="shared" si="0"/>
        <v>0.88545111024779533</v>
      </c>
      <c r="C12">
        <f>SUMIFS('data (1)'!$M:$M,'data (1)'!$A:$A,XYZ!C$1,'data (1)'!$J:$J,XYZ!$A12)</f>
        <v>0</v>
      </c>
      <c r="D12">
        <f>SUMIFS('data (1)'!$M:$M,'data (1)'!$A:$A,XYZ!D$1,'data (1)'!$J:$J,XYZ!$A12)</f>
        <v>5</v>
      </c>
      <c r="E12">
        <f>SUMIFS('data (1)'!$M:$M,'data (1)'!$A:$A,XYZ!E$1,'data (1)'!$J:$J,XYZ!$A12)</f>
        <v>2</v>
      </c>
      <c r="F12">
        <f>SUMIFS('data (1)'!$M:$M,'data (1)'!$A:$A,XYZ!F$1,'data (1)'!$J:$J,XYZ!$A12)</f>
        <v>1</v>
      </c>
      <c r="G12">
        <f>SUMIFS('data (1)'!$M:$M,'data (1)'!$A:$A,XYZ!G$1,'data (1)'!$J:$J,XYZ!$A12)</f>
        <v>5</v>
      </c>
    </row>
    <row r="13" spans="1:7" x14ac:dyDescent="0.15">
      <c r="A13" t="s">
        <v>451</v>
      </c>
      <c r="B13" s="11">
        <f t="shared" si="0"/>
        <v>1.6676525683599077</v>
      </c>
      <c r="C13">
        <f>SUMIFS('data (1)'!$M:$M,'data (1)'!$A:$A,XYZ!C$1,'data (1)'!$J:$J,XYZ!$A13)</f>
        <v>10</v>
      </c>
      <c r="D13">
        <f>SUMIFS('data (1)'!$M:$M,'data (1)'!$A:$A,XYZ!D$1,'data (1)'!$J:$J,XYZ!$A13)</f>
        <v>0</v>
      </c>
      <c r="E13">
        <f>SUMIFS('data (1)'!$M:$M,'data (1)'!$A:$A,XYZ!E$1,'data (1)'!$J:$J,XYZ!$A13)</f>
        <v>0</v>
      </c>
      <c r="F13">
        <f>SUMIFS('data (1)'!$M:$M,'data (1)'!$A:$A,XYZ!F$1,'data (1)'!$J:$J,XYZ!$A13)</f>
        <v>3</v>
      </c>
      <c r="G13">
        <f>SUMIFS('data (1)'!$M:$M,'data (1)'!$A:$A,XYZ!G$1,'data (1)'!$J:$J,XYZ!$A13)</f>
        <v>0</v>
      </c>
    </row>
    <row r="14" spans="1:7" x14ac:dyDescent="0.15">
      <c r="A14" t="s">
        <v>143</v>
      </c>
      <c r="B14" s="11">
        <f t="shared" si="0"/>
        <v>0.37267799624996489</v>
      </c>
      <c r="C14">
        <f>SUMIFS('data (1)'!$M:$M,'data (1)'!$A:$A,XYZ!C$1,'data (1)'!$J:$J,XYZ!$A14)</f>
        <v>3</v>
      </c>
      <c r="D14">
        <f>SUMIFS('data (1)'!$M:$M,'data (1)'!$A:$A,XYZ!D$1,'data (1)'!$J:$J,XYZ!$A14)</f>
        <v>1</v>
      </c>
      <c r="E14">
        <f>SUMIFS('data (1)'!$M:$M,'data (1)'!$A:$A,XYZ!E$1,'data (1)'!$J:$J,XYZ!$A14)</f>
        <v>3</v>
      </c>
      <c r="F14">
        <f>SUMIFS('data (1)'!$M:$M,'data (1)'!$A:$A,XYZ!F$1,'data (1)'!$J:$J,XYZ!$A14)</f>
        <v>2</v>
      </c>
      <c r="G14">
        <f>SUMIFS('data (1)'!$M:$M,'data (1)'!$A:$A,XYZ!G$1,'data (1)'!$J:$J,XYZ!$A14)</f>
        <v>3</v>
      </c>
    </row>
    <row r="15" spans="1:7" x14ac:dyDescent="0.15">
      <c r="A15" t="s">
        <v>517</v>
      </c>
      <c r="B15" s="11">
        <f t="shared" si="0"/>
        <v>0.67419986246324204</v>
      </c>
      <c r="C15">
        <f>SUMIFS('data (1)'!$M:$M,'data (1)'!$A:$A,XYZ!C$1,'data (1)'!$J:$J,XYZ!$A15)</f>
        <v>0</v>
      </c>
      <c r="D15">
        <f>SUMIFS('data (1)'!$M:$M,'data (1)'!$A:$A,XYZ!D$1,'data (1)'!$J:$J,XYZ!$A15)</f>
        <v>4</v>
      </c>
      <c r="E15">
        <f>SUMIFS('data (1)'!$M:$M,'data (1)'!$A:$A,XYZ!E$1,'data (1)'!$J:$J,XYZ!$A15)</f>
        <v>2</v>
      </c>
      <c r="F15">
        <f>SUMIFS('data (1)'!$M:$M,'data (1)'!$A:$A,XYZ!F$1,'data (1)'!$J:$J,XYZ!$A15)</f>
        <v>2</v>
      </c>
      <c r="G15">
        <f>SUMIFS('data (1)'!$M:$M,'data (1)'!$A:$A,XYZ!G$1,'data (1)'!$J:$J,XYZ!$A15)</f>
        <v>3</v>
      </c>
    </row>
    <row r="16" spans="1:7" x14ac:dyDescent="0.15">
      <c r="A16" t="s">
        <v>92</v>
      </c>
      <c r="B16" s="11">
        <f t="shared" si="0"/>
        <v>1.4868570212541929</v>
      </c>
      <c r="C16">
        <f>SUMIFS('data (1)'!$M:$M,'data (1)'!$A:$A,XYZ!C$1,'data (1)'!$J:$J,XYZ!$A16)</f>
        <v>8</v>
      </c>
      <c r="D16">
        <f>SUMIFS('data (1)'!$M:$M,'data (1)'!$A:$A,XYZ!D$1,'data (1)'!$J:$J,XYZ!$A16)</f>
        <v>1</v>
      </c>
      <c r="E16">
        <f>SUMIFS('data (1)'!$M:$M,'data (1)'!$A:$A,XYZ!E$1,'data (1)'!$J:$J,XYZ!$A16)</f>
        <v>1</v>
      </c>
      <c r="F16">
        <f>SUMIFS('data (1)'!$M:$M,'data (1)'!$A:$A,XYZ!F$1,'data (1)'!$J:$J,XYZ!$A16)</f>
        <v>1</v>
      </c>
      <c r="G16">
        <f>SUMIFS('data (1)'!$M:$M,'data (1)'!$A:$A,XYZ!G$1,'data (1)'!$J:$J,XYZ!$A16)</f>
        <v>0</v>
      </c>
    </row>
    <row r="17" spans="1:7" x14ac:dyDescent="0.15">
      <c r="A17" t="s">
        <v>225</v>
      </c>
      <c r="B17" s="11">
        <f t="shared" si="0"/>
        <v>1.036523113726489</v>
      </c>
      <c r="C17">
        <f>SUMIFS('data (1)'!$M:$M,'data (1)'!$A:$A,XYZ!C$1,'data (1)'!$J:$J,XYZ!$A17)</f>
        <v>1</v>
      </c>
      <c r="D17">
        <f>SUMIFS('data (1)'!$M:$M,'data (1)'!$A:$A,XYZ!D$1,'data (1)'!$J:$J,XYZ!$A17)</f>
        <v>2</v>
      </c>
      <c r="E17">
        <f>SUMIFS('data (1)'!$M:$M,'data (1)'!$A:$A,XYZ!E$1,'data (1)'!$J:$J,XYZ!$A17)</f>
        <v>2</v>
      </c>
      <c r="F17">
        <f>SUMIFS('data (1)'!$M:$M,'data (1)'!$A:$A,XYZ!F$1,'data (1)'!$J:$J,XYZ!$A17)</f>
        <v>6</v>
      </c>
      <c r="G17">
        <f>SUMIFS('data (1)'!$M:$M,'data (1)'!$A:$A,XYZ!G$1,'data (1)'!$J:$J,XYZ!$A17)</f>
        <v>0</v>
      </c>
    </row>
    <row r="18" spans="1:7" x14ac:dyDescent="0.15">
      <c r="A18" t="s">
        <v>101</v>
      </c>
      <c r="B18" s="11">
        <f t="shared" si="0"/>
        <v>0.61237243569579447</v>
      </c>
      <c r="C18">
        <f>SUMIFS('data (1)'!$M:$M,'data (1)'!$A:$A,XYZ!C$1,'data (1)'!$J:$J,XYZ!$A18)</f>
        <v>2</v>
      </c>
      <c r="D18">
        <f>SUMIFS('data (1)'!$M:$M,'data (1)'!$A:$A,XYZ!D$1,'data (1)'!$J:$J,XYZ!$A18)</f>
        <v>2</v>
      </c>
      <c r="E18">
        <f>SUMIFS('data (1)'!$M:$M,'data (1)'!$A:$A,XYZ!E$1,'data (1)'!$J:$J,XYZ!$A18)</f>
        <v>1</v>
      </c>
      <c r="F18">
        <f>SUMIFS('data (1)'!$M:$M,'data (1)'!$A:$A,XYZ!F$1,'data (1)'!$J:$J,XYZ!$A18)</f>
        <v>4</v>
      </c>
      <c r="G18">
        <f>SUMIFS('data (1)'!$M:$M,'data (1)'!$A:$A,XYZ!G$1,'data (1)'!$J:$J,XYZ!$A18)</f>
        <v>1</v>
      </c>
    </row>
    <row r="19" spans="1:7" x14ac:dyDescent="0.15">
      <c r="A19" t="s">
        <v>369</v>
      </c>
      <c r="B19" s="11">
        <f t="shared" si="0"/>
        <v>0.61237243569579447</v>
      </c>
      <c r="C19">
        <f>SUMIFS('data (1)'!$M:$M,'data (1)'!$A:$A,XYZ!C$1,'data (1)'!$J:$J,XYZ!$A19)</f>
        <v>2</v>
      </c>
      <c r="D19">
        <f>SUMIFS('data (1)'!$M:$M,'data (1)'!$A:$A,XYZ!D$1,'data (1)'!$J:$J,XYZ!$A19)</f>
        <v>2</v>
      </c>
      <c r="E19">
        <f>SUMIFS('data (1)'!$M:$M,'data (1)'!$A:$A,XYZ!E$1,'data (1)'!$J:$J,XYZ!$A19)</f>
        <v>1</v>
      </c>
      <c r="F19">
        <f>SUMIFS('data (1)'!$M:$M,'data (1)'!$A:$A,XYZ!F$1,'data (1)'!$J:$J,XYZ!$A19)</f>
        <v>1</v>
      </c>
      <c r="G19">
        <f>SUMIFS('data (1)'!$M:$M,'data (1)'!$A:$A,XYZ!G$1,'data (1)'!$J:$J,XYZ!$A19)</f>
        <v>4</v>
      </c>
    </row>
    <row r="20" spans="1:7" x14ac:dyDescent="0.15">
      <c r="A20" t="s">
        <v>854</v>
      </c>
      <c r="B20" s="11">
        <f t="shared" si="0"/>
        <v>2.2360679774997898</v>
      </c>
      <c r="C20">
        <f>SUMIFS('data (1)'!$M:$M,'data (1)'!$A:$A,XYZ!C$1,'data (1)'!$J:$J,XYZ!$A20)</f>
        <v>0</v>
      </c>
      <c r="D20">
        <f>SUMIFS('data (1)'!$M:$M,'data (1)'!$A:$A,XYZ!D$1,'data (1)'!$J:$J,XYZ!$A20)</f>
        <v>0</v>
      </c>
      <c r="E20">
        <f>SUMIFS('data (1)'!$M:$M,'data (1)'!$A:$A,XYZ!E$1,'data (1)'!$J:$J,XYZ!$A20)</f>
        <v>10</v>
      </c>
      <c r="F20">
        <f>SUMIFS('data (1)'!$M:$M,'data (1)'!$A:$A,XYZ!F$1,'data (1)'!$J:$J,XYZ!$A20)</f>
        <v>0</v>
      </c>
      <c r="G20">
        <f>SUMIFS('data (1)'!$M:$M,'data (1)'!$A:$A,XYZ!G$1,'data (1)'!$J:$J,XYZ!$A20)</f>
        <v>0</v>
      </c>
    </row>
    <row r="21" spans="1:7" x14ac:dyDescent="0.15">
      <c r="A21" t="s">
        <v>81</v>
      </c>
      <c r="B21" s="11">
        <f t="shared" si="0"/>
        <v>0.99380798999990649</v>
      </c>
      <c r="C21">
        <f>SUMIFS('data (1)'!$M:$M,'data (1)'!$A:$A,XYZ!C$1,'data (1)'!$J:$J,XYZ!$A21)</f>
        <v>1</v>
      </c>
      <c r="D21">
        <f>SUMIFS('data (1)'!$M:$M,'data (1)'!$A:$A,XYZ!D$1,'data (1)'!$J:$J,XYZ!$A21)</f>
        <v>5</v>
      </c>
      <c r="E21">
        <f>SUMIFS('data (1)'!$M:$M,'data (1)'!$A:$A,XYZ!E$1,'data (1)'!$J:$J,XYZ!$A21)</f>
        <v>1</v>
      </c>
      <c r="F21">
        <f>SUMIFS('data (1)'!$M:$M,'data (1)'!$A:$A,XYZ!F$1,'data (1)'!$J:$J,XYZ!$A21)</f>
        <v>1</v>
      </c>
      <c r="G21">
        <f>SUMIFS('data (1)'!$M:$M,'data (1)'!$A:$A,XYZ!G$1,'data (1)'!$J:$J,XYZ!$A21)</f>
        <v>1</v>
      </c>
    </row>
    <row r="22" spans="1:7" x14ac:dyDescent="0.15">
      <c r="A22" t="s">
        <v>156</v>
      </c>
      <c r="B22" s="11">
        <f t="shared" si="0"/>
        <v>0.99380798999990649</v>
      </c>
      <c r="C22">
        <f>SUMIFS('data (1)'!$M:$M,'data (1)'!$A:$A,XYZ!C$1,'data (1)'!$J:$J,XYZ!$A22)</f>
        <v>2</v>
      </c>
      <c r="D22">
        <f>SUMIFS('data (1)'!$M:$M,'data (1)'!$A:$A,XYZ!D$1,'data (1)'!$J:$J,XYZ!$A22)</f>
        <v>0</v>
      </c>
      <c r="E22">
        <f>SUMIFS('data (1)'!$M:$M,'data (1)'!$A:$A,XYZ!E$1,'data (1)'!$J:$J,XYZ!$A22)</f>
        <v>3</v>
      </c>
      <c r="F22">
        <f>SUMIFS('data (1)'!$M:$M,'data (1)'!$A:$A,XYZ!F$1,'data (1)'!$J:$J,XYZ!$A22)</f>
        <v>4</v>
      </c>
      <c r="G22">
        <f>SUMIFS('data (1)'!$M:$M,'data (1)'!$A:$A,XYZ!G$1,'data (1)'!$J:$J,XYZ!$A22)</f>
        <v>0</v>
      </c>
    </row>
    <row r="23" spans="1:7" x14ac:dyDescent="0.15">
      <c r="A23" t="s">
        <v>254</v>
      </c>
      <c r="B23" s="11">
        <f t="shared" si="0"/>
        <v>0.72435582280029431</v>
      </c>
      <c r="C23">
        <f>SUMIFS('data (1)'!$M:$M,'data (1)'!$A:$A,XYZ!C$1,'data (1)'!$J:$J,XYZ!$A23)</f>
        <v>2</v>
      </c>
      <c r="D23">
        <f>SUMIFS('data (1)'!$M:$M,'data (1)'!$A:$A,XYZ!D$1,'data (1)'!$J:$J,XYZ!$A23)</f>
        <v>1</v>
      </c>
      <c r="E23">
        <f>SUMIFS('data (1)'!$M:$M,'data (1)'!$A:$A,XYZ!E$1,'data (1)'!$J:$J,XYZ!$A23)</f>
        <v>0</v>
      </c>
      <c r="F23">
        <f>SUMIFS('data (1)'!$M:$M,'data (1)'!$A:$A,XYZ!F$1,'data (1)'!$J:$J,XYZ!$A23)</f>
        <v>3</v>
      </c>
      <c r="G23">
        <f>SUMIFS('data (1)'!$M:$M,'data (1)'!$A:$A,XYZ!G$1,'data (1)'!$J:$J,XYZ!$A23)</f>
        <v>3</v>
      </c>
    </row>
    <row r="24" spans="1:7" x14ac:dyDescent="0.15">
      <c r="A24" t="s">
        <v>744</v>
      </c>
      <c r="B24" s="11">
        <f t="shared" si="0"/>
        <v>2.2360679774997894</v>
      </c>
      <c r="C24">
        <f>SUMIFS('data (1)'!$M:$M,'data (1)'!$A:$A,XYZ!C$1,'data (1)'!$J:$J,XYZ!$A24)</f>
        <v>0</v>
      </c>
      <c r="D24">
        <f>SUMIFS('data (1)'!$M:$M,'data (1)'!$A:$A,XYZ!D$1,'data (1)'!$J:$J,XYZ!$A24)</f>
        <v>0</v>
      </c>
      <c r="E24">
        <f>SUMIFS('data (1)'!$M:$M,'data (1)'!$A:$A,XYZ!E$1,'data (1)'!$J:$J,XYZ!$A24)</f>
        <v>9</v>
      </c>
      <c r="F24">
        <f>SUMIFS('data (1)'!$M:$M,'data (1)'!$A:$A,XYZ!F$1,'data (1)'!$J:$J,XYZ!$A24)</f>
        <v>0</v>
      </c>
      <c r="G24">
        <f>SUMIFS('data (1)'!$M:$M,'data (1)'!$A:$A,XYZ!G$1,'data (1)'!$J:$J,XYZ!$A24)</f>
        <v>0</v>
      </c>
    </row>
    <row r="25" spans="1:7" x14ac:dyDescent="0.15">
      <c r="A25" t="s">
        <v>119</v>
      </c>
      <c r="B25" s="11">
        <f t="shared" si="0"/>
        <v>1.2960275845829823</v>
      </c>
      <c r="C25">
        <f>SUMIFS('data (1)'!$M:$M,'data (1)'!$A:$A,XYZ!C$1,'data (1)'!$J:$J,XYZ!$A25)</f>
        <v>2</v>
      </c>
      <c r="D25">
        <f>SUMIFS('data (1)'!$M:$M,'data (1)'!$A:$A,XYZ!D$1,'data (1)'!$J:$J,XYZ!$A25)</f>
        <v>0</v>
      </c>
      <c r="E25">
        <f>SUMIFS('data (1)'!$M:$M,'data (1)'!$A:$A,XYZ!E$1,'data (1)'!$J:$J,XYZ!$A25)</f>
        <v>5</v>
      </c>
      <c r="F25">
        <f>SUMIFS('data (1)'!$M:$M,'data (1)'!$A:$A,XYZ!F$1,'data (1)'!$J:$J,XYZ!$A25)</f>
        <v>1</v>
      </c>
      <c r="G25">
        <f>SUMIFS('data (1)'!$M:$M,'data (1)'!$A:$A,XYZ!G$1,'data (1)'!$J:$J,XYZ!$A25)</f>
        <v>0</v>
      </c>
    </row>
    <row r="26" spans="1:7" x14ac:dyDescent="0.15">
      <c r="A26" t="s">
        <v>627</v>
      </c>
      <c r="B26" s="11">
        <f t="shared" si="0"/>
        <v>0.71260964068696109</v>
      </c>
      <c r="C26">
        <f>SUMIFS('data (1)'!$M:$M,'data (1)'!$A:$A,XYZ!C$1,'data (1)'!$J:$J,XYZ!$A26)</f>
        <v>0</v>
      </c>
      <c r="D26">
        <f>SUMIFS('data (1)'!$M:$M,'data (1)'!$A:$A,XYZ!D$1,'data (1)'!$J:$J,XYZ!$A26)</f>
        <v>2</v>
      </c>
      <c r="E26">
        <f>SUMIFS('data (1)'!$M:$M,'data (1)'!$A:$A,XYZ!E$1,'data (1)'!$J:$J,XYZ!$A26)</f>
        <v>1</v>
      </c>
      <c r="F26">
        <f>SUMIFS('data (1)'!$M:$M,'data (1)'!$A:$A,XYZ!F$1,'data (1)'!$J:$J,XYZ!$A26)</f>
        <v>2</v>
      </c>
      <c r="G26">
        <f>SUMIFS('data (1)'!$M:$M,'data (1)'!$A:$A,XYZ!G$1,'data (1)'!$J:$J,XYZ!$A26)</f>
        <v>3</v>
      </c>
    </row>
    <row r="27" spans="1:7" x14ac:dyDescent="0.15">
      <c r="A27" t="s">
        <v>469</v>
      </c>
      <c r="B27" s="11">
        <f t="shared" si="0"/>
        <v>1.5687375497513916</v>
      </c>
      <c r="C27">
        <f>SUMIFS('data (1)'!$M:$M,'data (1)'!$A:$A,XYZ!C$1,'data (1)'!$J:$J,XYZ!$A27)</f>
        <v>1</v>
      </c>
      <c r="D27">
        <f>SUMIFS('data (1)'!$M:$M,'data (1)'!$A:$A,XYZ!D$1,'data (1)'!$J:$J,XYZ!$A27)</f>
        <v>1</v>
      </c>
      <c r="E27">
        <f>SUMIFS('data (1)'!$M:$M,'data (1)'!$A:$A,XYZ!E$1,'data (1)'!$J:$J,XYZ!$A27)</f>
        <v>0</v>
      </c>
      <c r="F27">
        <f>SUMIFS('data (1)'!$M:$M,'data (1)'!$A:$A,XYZ!F$1,'data (1)'!$J:$J,XYZ!$A27)</f>
        <v>6</v>
      </c>
      <c r="G27">
        <f>SUMIFS('data (1)'!$M:$M,'data (1)'!$A:$A,XYZ!G$1,'data (1)'!$J:$J,XYZ!$A27)</f>
        <v>0</v>
      </c>
    </row>
    <row r="28" spans="1:7" x14ac:dyDescent="0.15">
      <c r="A28" t="s">
        <v>251</v>
      </c>
      <c r="B28" s="11">
        <f t="shared" si="0"/>
        <v>0.63887656499993983</v>
      </c>
      <c r="C28">
        <f>SUMIFS('data (1)'!$M:$M,'data (1)'!$A:$A,XYZ!C$1,'data (1)'!$J:$J,XYZ!$A28)</f>
        <v>2</v>
      </c>
      <c r="D28">
        <f>SUMIFS('data (1)'!$M:$M,'data (1)'!$A:$A,XYZ!D$1,'data (1)'!$J:$J,XYZ!$A28)</f>
        <v>2</v>
      </c>
      <c r="E28">
        <f>SUMIFS('data (1)'!$M:$M,'data (1)'!$A:$A,XYZ!E$1,'data (1)'!$J:$J,XYZ!$A28)</f>
        <v>2</v>
      </c>
      <c r="F28">
        <f>SUMIFS('data (1)'!$M:$M,'data (1)'!$A:$A,XYZ!F$1,'data (1)'!$J:$J,XYZ!$A28)</f>
        <v>0</v>
      </c>
      <c r="G28">
        <f>SUMIFS('data (1)'!$M:$M,'data (1)'!$A:$A,XYZ!G$1,'data (1)'!$J:$J,XYZ!$A28)</f>
        <v>1</v>
      </c>
    </row>
    <row r="29" spans="1:7" x14ac:dyDescent="0.15">
      <c r="A29" t="s">
        <v>217</v>
      </c>
      <c r="B29" s="11">
        <f t="shared" si="0"/>
        <v>1.8626292586293283</v>
      </c>
      <c r="C29">
        <f>SUMIFS('data (1)'!$M:$M,'data (1)'!$A:$A,XYZ!C$1,'data (1)'!$J:$J,XYZ!$A29)</f>
        <v>6</v>
      </c>
      <c r="D29">
        <f>SUMIFS('data (1)'!$M:$M,'data (1)'!$A:$A,XYZ!D$1,'data (1)'!$J:$J,XYZ!$A29)</f>
        <v>0</v>
      </c>
      <c r="E29">
        <f>SUMIFS('data (1)'!$M:$M,'data (1)'!$A:$A,XYZ!E$1,'data (1)'!$J:$J,XYZ!$A29)</f>
        <v>0</v>
      </c>
      <c r="F29">
        <f>SUMIFS('data (1)'!$M:$M,'data (1)'!$A:$A,XYZ!F$1,'data (1)'!$J:$J,XYZ!$A29)</f>
        <v>1</v>
      </c>
      <c r="G29">
        <f>SUMIFS('data (1)'!$M:$M,'data (1)'!$A:$A,XYZ!G$1,'data (1)'!$J:$J,XYZ!$A29)</f>
        <v>0</v>
      </c>
    </row>
    <row r="30" spans="1:7" x14ac:dyDescent="0.15">
      <c r="A30" t="s">
        <v>98</v>
      </c>
      <c r="B30" s="11">
        <f t="shared" si="0"/>
        <v>0.95831484749990992</v>
      </c>
      <c r="C30">
        <f>SUMIFS('data (1)'!$M:$M,'data (1)'!$A:$A,XYZ!C$1,'data (1)'!$J:$J,XYZ!$A30)</f>
        <v>2</v>
      </c>
      <c r="D30">
        <f>SUMIFS('data (1)'!$M:$M,'data (1)'!$A:$A,XYZ!D$1,'data (1)'!$J:$J,XYZ!$A30)</f>
        <v>2</v>
      </c>
      <c r="E30">
        <f>SUMIFS('data (1)'!$M:$M,'data (1)'!$A:$A,XYZ!E$1,'data (1)'!$J:$J,XYZ!$A30)</f>
        <v>0</v>
      </c>
      <c r="F30">
        <f>SUMIFS('data (1)'!$M:$M,'data (1)'!$A:$A,XYZ!F$1,'data (1)'!$J:$J,XYZ!$A30)</f>
        <v>0</v>
      </c>
      <c r="G30">
        <f>SUMIFS('data (1)'!$M:$M,'data (1)'!$A:$A,XYZ!G$1,'data (1)'!$J:$J,XYZ!$A30)</f>
        <v>3</v>
      </c>
    </row>
    <row r="31" spans="1:7" x14ac:dyDescent="0.15">
      <c r="A31" t="s">
        <v>172</v>
      </c>
      <c r="B31" s="11">
        <f t="shared" si="0"/>
        <v>1.3923991921155663</v>
      </c>
      <c r="C31">
        <f>SUMIFS('data (1)'!$M:$M,'data (1)'!$A:$A,XYZ!C$1,'data (1)'!$J:$J,XYZ!$A31)</f>
        <v>3</v>
      </c>
      <c r="D31">
        <f>SUMIFS('data (1)'!$M:$M,'data (1)'!$A:$A,XYZ!D$1,'data (1)'!$J:$J,XYZ!$A31)</f>
        <v>0</v>
      </c>
      <c r="E31">
        <f>SUMIFS('data (1)'!$M:$M,'data (1)'!$A:$A,XYZ!E$1,'data (1)'!$J:$J,XYZ!$A31)</f>
        <v>0</v>
      </c>
      <c r="F31">
        <f>SUMIFS('data (1)'!$M:$M,'data (1)'!$A:$A,XYZ!F$1,'data (1)'!$J:$J,XYZ!$A31)</f>
        <v>0</v>
      </c>
      <c r="G31">
        <f>SUMIFS('data (1)'!$M:$M,'data (1)'!$A:$A,XYZ!G$1,'data (1)'!$J:$J,XYZ!$A31)</f>
        <v>4</v>
      </c>
    </row>
    <row r="32" spans="1:7" x14ac:dyDescent="0.15">
      <c r="A32" t="s">
        <v>468</v>
      </c>
      <c r="B32" s="11">
        <f t="shared" si="0"/>
        <v>0.81441101792795567</v>
      </c>
      <c r="C32">
        <f>SUMIFS('data (1)'!$M:$M,'data (1)'!$A:$A,XYZ!C$1,'data (1)'!$J:$J,XYZ!$A32)</f>
        <v>2</v>
      </c>
      <c r="D32">
        <f>SUMIFS('data (1)'!$M:$M,'data (1)'!$A:$A,XYZ!D$1,'data (1)'!$J:$J,XYZ!$A32)</f>
        <v>1</v>
      </c>
      <c r="E32">
        <f>SUMIFS('data (1)'!$M:$M,'data (1)'!$A:$A,XYZ!E$1,'data (1)'!$J:$J,XYZ!$A32)</f>
        <v>3</v>
      </c>
      <c r="F32">
        <f>SUMIFS('data (1)'!$M:$M,'data (1)'!$A:$A,XYZ!F$1,'data (1)'!$J:$J,XYZ!$A32)</f>
        <v>0</v>
      </c>
      <c r="G32">
        <f>SUMIFS('data (1)'!$M:$M,'data (1)'!$A:$A,XYZ!G$1,'data (1)'!$J:$J,XYZ!$A32)</f>
        <v>1</v>
      </c>
    </row>
    <row r="33" spans="1:7" x14ac:dyDescent="0.15">
      <c r="A33" t="s">
        <v>250</v>
      </c>
      <c r="B33" s="11">
        <f t="shared" si="0"/>
        <v>0.63887656499993983</v>
      </c>
      <c r="C33">
        <f>SUMIFS('data (1)'!$M:$M,'data (1)'!$A:$A,XYZ!C$1,'data (1)'!$J:$J,XYZ!$A33)</f>
        <v>2</v>
      </c>
      <c r="D33">
        <f>SUMIFS('data (1)'!$M:$M,'data (1)'!$A:$A,XYZ!D$1,'data (1)'!$J:$J,XYZ!$A33)</f>
        <v>0</v>
      </c>
      <c r="E33">
        <f>SUMIFS('data (1)'!$M:$M,'data (1)'!$A:$A,XYZ!E$1,'data (1)'!$J:$J,XYZ!$A33)</f>
        <v>1</v>
      </c>
      <c r="F33">
        <f>SUMIFS('data (1)'!$M:$M,'data (1)'!$A:$A,XYZ!F$1,'data (1)'!$J:$J,XYZ!$A33)</f>
        <v>2</v>
      </c>
      <c r="G33">
        <f>SUMIFS('data (1)'!$M:$M,'data (1)'!$A:$A,XYZ!G$1,'data (1)'!$J:$J,XYZ!$A33)</f>
        <v>2</v>
      </c>
    </row>
    <row r="34" spans="1:7" x14ac:dyDescent="0.15">
      <c r="A34" t="s">
        <v>828</v>
      </c>
      <c r="B34" s="11">
        <f t="shared" si="0"/>
        <v>1.0865337342004415</v>
      </c>
      <c r="C34">
        <f>SUMIFS('data (1)'!$M:$M,'data (1)'!$A:$A,XYZ!C$1,'data (1)'!$J:$J,XYZ!$A34)</f>
        <v>0</v>
      </c>
      <c r="D34">
        <f>SUMIFS('data (1)'!$M:$M,'data (1)'!$A:$A,XYZ!D$1,'data (1)'!$J:$J,XYZ!$A34)</f>
        <v>0</v>
      </c>
      <c r="E34">
        <f>SUMIFS('data (1)'!$M:$M,'data (1)'!$A:$A,XYZ!E$1,'data (1)'!$J:$J,XYZ!$A34)</f>
        <v>2</v>
      </c>
      <c r="F34">
        <f>SUMIFS('data (1)'!$M:$M,'data (1)'!$A:$A,XYZ!F$1,'data (1)'!$J:$J,XYZ!$A34)</f>
        <v>3</v>
      </c>
      <c r="G34">
        <f>SUMIFS('data (1)'!$M:$M,'data (1)'!$A:$A,XYZ!G$1,'data (1)'!$J:$J,XYZ!$A34)</f>
        <v>1</v>
      </c>
    </row>
    <row r="35" spans="1:7" x14ac:dyDescent="0.15">
      <c r="A35" t="s">
        <v>115</v>
      </c>
      <c r="B35" s="11">
        <f t="shared" si="0"/>
        <v>1.0865337342004415</v>
      </c>
      <c r="C35">
        <f>SUMIFS('data (1)'!$M:$M,'data (1)'!$A:$A,XYZ!C$1,'data (1)'!$J:$J,XYZ!$A35)</f>
        <v>2</v>
      </c>
      <c r="D35">
        <f>SUMIFS('data (1)'!$M:$M,'data (1)'!$A:$A,XYZ!D$1,'data (1)'!$J:$J,XYZ!$A35)</f>
        <v>0</v>
      </c>
      <c r="E35">
        <f>SUMIFS('data (1)'!$M:$M,'data (1)'!$A:$A,XYZ!E$1,'data (1)'!$J:$J,XYZ!$A35)</f>
        <v>3</v>
      </c>
      <c r="F35">
        <f>SUMIFS('data (1)'!$M:$M,'data (1)'!$A:$A,XYZ!F$1,'data (1)'!$J:$J,XYZ!$A35)</f>
        <v>1</v>
      </c>
      <c r="G35">
        <f>SUMIFS('data (1)'!$M:$M,'data (1)'!$A:$A,XYZ!G$1,'data (1)'!$J:$J,XYZ!$A35)</f>
        <v>0</v>
      </c>
    </row>
    <row r="36" spans="1:7" x14ac:dyDescent="0.15">
      <c r="A36" t="s">
        <v>302</v>
      </c>
      <c r="B36" s="11">
        <f t="shared" si="0"/>
        <v>1.0865337342004415</v>
      </c>
      <c r="C36">
        <f>SUMIFS('data (1)'!$M:$M,'data (1)'!$A:$A,XYZ!C$1,'data (1)'!$J:$J,XYZ!$A36)</f>
        <v>2</v>
      </c>
      <c r="D36">
        <f>SUMIFS('data (1)'!$M:$M,'data (1)'!$A:$A,XYZ!D$1,'data (1)'!$J:$J,XYZ!$A36)</f>
        <v>3</v>
      </c>
      <c r="E36">
        <f>SUMIFS('data (1)'!$M:$M,'data (1)'!$A:$A,XYZ!E$1,'data (1)'!$J:$J,XYZ!$A36)</f>
        <v>1</v>
      </c>
      <c r="F36">
        <f>SUMIFS('data (1)'!$M:$M,'data (1)'!$A:$A,XYZ!F$1,'data (1)'!$J:$J,XYZ!$A36)</f>
        <v>0</v>
      </c>
      <c r="G36">
        <f>SUMIFS('data (1)'!$M:$M,'data (1)'!$A:$A,XYZ!G$1,'data (1)'!$J:$J,XYZ!$A36)</f>
        <v>0</v>
      </c>
    </row>
    <row r="37" spans="1:7" x14ac:dyDescent="0.15">
      <c r="A37" t="s">
        <v>411</v>
      </c>
      <c r="B37" s="11">
        <f t="shared" si="0"/>
        <v>0.69721668877839638</v>
      </c>
      <c r="C37">
        <f>SUMIFS('data (1)'!$M:$M,'data (1)'!$A:$A,XYZ!C$1,'data (1)'!$J:$J,XYZ!$A37)</f>
        <v>1</v>
      </c>
      <c r="D37">
        <f>SUMIFS('data (1)'!$M:$M,'data (1)'!$A:$A,XYZ!D$1,'data (1)'!$J:$J,XYZ!$A37)</f>
        <v>0</v>
      </c>
      <c r="E37">
        <f>SUMIFS('data (1)'!$M:$M,'data (1)'!$A:$A,XYZ!E$1,'data (1)'!$J:$J,XYZ!$A37)</f>
        <v>2</v>
      </c>
      <c r="F37">
        <f>SUMIFS('data (1)'!$M:$M,'data (1)'!$A:$A,XYZ!F$1,'data (1)'!$J:$J,XYZ!$A37)</f>
        <v>1</v>
      </c>
      <c r="G37">
        <f>SUMIFS('data (1)'!$M:$M,'data (1)'!$A:$A,XYZ!G$1,'data (1)'!$J:$J,XYZ!$A37)</f>
        <v>2</v>
      </c>
    </row>
    <row r="38" spans="1:7" x14ac:dyDescent="0.15">
      <c r="A38" t="s">
        <v>270</v>
      </c>
      <c r="B38" s="11">
        <f t="shared" si="0"/>
        <v>1.4907119849998598</v>
      </c>
      <c r="C38">
        <f>SUMIFS('data (1)'!$M:$M,'data (1)'!$A:$A,XYZ!C$1,'data (1)'!$J:$J,XYZ!$A38)</f>
        <v>4</v>
      </c>
      <c r="D38">
        <f>SUMIFS('data (1)'!$M:$M,'data (1)'!$A:$A,XYZ!D$1,'data (1)'!$J:$J,XYZ!$A38)</f>
        <v>0</v>
      </c>
      <c r="E38">
        <f>SUMIFS('data (1)'!$M:$M,'data (1)'!$A:$A,XYZ!E$1,'data (1)'!$J:$J,XYZ!$A38)</f>
        <v>0</v>
      </c>
      <c r="F38">
        <f>SUMIFS('data (1)'!$M:$M,'data (1)'!$A:$A,XYZ!F$1,'data (1)'!$J:$J,XYZ!$A38)</f>
        <v>0</v>
      </c>
      <c r="G38">
        <f>SUMIFS('data (1)'!$M:$M,'data (1)'!$A:$A,XYZ!G$1,'data (1)'!$J:$J,XYZ!$A38)</f>
        <v>2</v>
      </c>
    </row>
    <row r="39" spans="1:7" x14ac:dyDescent="0.15">
      <c r="A39" t="s">
        <v>262</v>
      </c>
      <c r="B39" s="11">
        <f t="shared" si="0"/>
        <v>1.0865337342004415</v>
      </c>
      <c r="C39">
        <f>SUMIFS('data (1)'!$M:$M,'data (1)'!$A:$A,XYZ!C$1,'data (1)'!$J:$J,XYZ!$A39)</f>
        <v>1</v>
      </c>
      <c r="D39">
        <f>SUMIFS('data (1)'!$M:$M,'data (1)'!$A:$A,XYZ!D$1,'data (1)'!$J:$J,XYZ!$A39)</f>
        <v>3</v>
      </c>
      <c r="E39">
        <f>SUMIFS('data (1)'!$M:$M,'data (1)'!$A:$A,XYZ!E$1,'data (1)'!$J:$J,XYZ!$A39)</f>
        <v>0</v>
      </c>
      <c r="F39">
        <f>SUMIFS('data (1)'!$M:$M,'data (1)'!$A:$A,XYZ!F$1,'data (1)'!$J:$J,XYZ!$A39)</f>
        <v>2</v>
      </c>
      <c r="G39">
        <f>SUMIFS('data (1)'!$M:$M,'data (1)'!$A:$A,XYZ!G$1,'data (1)'!$J:$J,XYZ!$A39)</f>
        <v>0</v>
      </c>
    </row>
    <row r="40" spans="1:7" x14ac:dyDescent="0.15">
      <c r="A40" t="s">
        <v>215</v>
      </c>
      <c r="B40" s="11">
        <f t="shared" si="0"/>
        <v>1.4907119849998598</v>
      </c>
      <c r="C40">
        <f>SUMIFS('data (1)'!$M:$M,'data (1)'!$A:$A,XYZ!C$1,'data (1)'!$J:$J,XYZ!$A40)</f>
        <v>4</v>
      </c>
      <c r="D40">
        <f>SUMIFS('data (1)'!$M:$M,'data (1)'!$A:$A,XYZ!D$1,'data (1)'!$J:$J,XYZ!$A40)</f>
        <v>2</v>
      </c>
      <c r="E40">
        <f>SUMIFS('data (1)'!$M:$M,'data (1)'!$A:$A,XYZ!E$1,'data (1)'!$J:$J,XYZ!$A40)</f>
        <v>0</v>
      </c>
      <c r="F40">
        <f>SUMIFS('data (1)'!$M:$M,'data (1)'!$A:$A,XYZ!F$1,'data (1)'!$J:$J,XYZ!$A40)</f>
        <v>0</v>
      </c>
      <c r="G40">
        <f>SUMIFS('data (1)'!$M:$M,'data (1)'!$A:$A,XYZ!G$1,'data (1)'!$J:$J,XYZ!$A40)</f>
        <v>0</v>
      </c>
    </row>
    <row r="41" spans="1:7" x14ac:dyDescent="0.15">
      <c r="A41" t="s">
        <v>273</v>
      </c>
      <c r="B41" s="11">
        <f t="shared" si="0"/>
        <v>0.69721668877839638</v>
      </c>
      <c r="C41">
        <f>SUMIFS('data (1)'!$M:$M,'data (1)'!$A:$A,XYZ!C$1,'data (1)'!$J:$J,XYZ!$A41)</f>
        <v>2</v>
      </c>
      <c r="D41">
        <f>SUMIFS('data (1)'!$M:$M,'data (1)'!$A:$A,XYZ!D$1,'data (1)'!$J:$J,XYZ!$A41)</f>
        <v>2</v>
      </c>
      <c r="E41">
        <f>SUMIFS('data (1)'!$M:$M,'data (1)'!$A:$A,XYZ!E$1,'data (1)'!$J:$J,XYZ!$A41)</f>
        <v>1</v>
      </c>
      <c r="F41">
        <f>SUMIFS('data (1)'!$M:$M,'data (1)'!$A:$A,XYZ!F$1,'data (1)'!$J:$J,XYZ!$A41)</f>
        <v>1</v>
      </c>
      <c r="G41">
        <f>SUMIFS('data (1)'!$M:$M,'data (1)'!$A:$A,XYZ!G$1,'data (1)'!$J:$J,XYZ!$A41)</f>
        <v>0</v>
      </c>
    </row>
    <row r="42" spans="1:7" x14ac:dyDescent="0.15">
      <c r="A42" t="s">
        <v>176</v>
      </c>
      <c r="B42" s="11">
        <f t="shared" si="0"/>
        <v>1.0865337342004415</v>
      </c>
      <c r="C42">
        <f>SUMIFS('data (1)'!$M:$M,'data (1)'!$A:$A,XYZ!C$1,'data (1)'!$J:$J,XYZ!$A42)</f>
        <v>1</v>
      </c>
      <c r="D42">
        <f>SUMIFS('data (1)'!$M:$M,'data (1)'!$A:$A,XYZ!D$1,'data (1)'!$J:$J,XYZ!$A42)</f>
        <v>0</v>
      </c>
      <c r="E42">
        <f>SUMIFS('data (1)'!$M:$M,'data (1)'!$A:$A,XYZ!E$1,'data (1)'!$J:$J,XYZ!$A42)</f>
        <v>3</v>
      </c>
      <c r="F42">
        <f>SUMIFS('data (1)'!$M:$M,'data (1)'!$A:$A,XYZ!F$1,'data (1)'!$J:$J,XYZ!$A42)</f>
        <v>0</v>
      </c>
      <c r="G42">
        <f>SUMIFS('data (1)'!$M:$M,'data (1)'!$A:$A,XYZ!G$1,'data (1)'!$J:$J,XYZ!$A42)</f>
        <v>2</v>
      </c>
    </row>
    <row r="43" spans="1:7" x14ac:dyDescent="0.15">
      <c r="A43" t="s">
        <v>358</v>
      </c>
      <c r="B43" s="11">
        <f t="shared" si="0"/>
        <v>0.37267799624996489</v>
      </c>
      <c r="C43">
        <f>SUMIFS('data (1)'!$M:$M,'data (1)'!$A:$A,XYZ!C$1,'data (1)'!$J:$J,XYZ!$A43)</f>
        <v>1</v>
      </c>
      <c r="D43">
        <f>SUMIFS('data (1)'!$M:$M,'data (1)'!$A:$A,XYZ!D$1,'data (1)'!$J:$J,XYZ!$A43)</f>
        <v>1</v>
      </c>
      <c r="E43">
        <f>SUMIFS('data (1)'!$M:$M,'data (1)'!$A:$A,XYZ!E$1,'data (1)'!$J:$J,XYZ!$A43)</f>
        <v>1</v>
      </c>
      <c r="F43">
        <f>SUMIFS('data (1)'!$M:$M,'data (1)'!$A:$A,XYZ!F$1,'data (1)'!$J:$J,XYZ!$A43)</f>
        <v>2</v>
      </c>
      <c r="G43">
        <f>SUMIFS('data (1)'!$M:$M,'data (1)'!$A:$A,XYZ!G$1,'data (1)'!$J:$J,XYZ!$A43)</f>
        <v>1</v>
      </c>
    </row>
    <row r="44" spans="1:7" x14ac:dyDescent="0.15">
      <c r="A44" t="s">
        <v>198</v>
      </c>
      <c r="B44" s="11">
        <f t="shared" si="0"/>
        <v>0.70710678118654757</v>
      </c>
      <c r="C44">
        <f>SUMIFS('data (1)'!$M:$M,'data (1)'!$A:$A,XYZ!C$1,'data (1)'!$J:$J,XYZ!$A44)</f>
        <v>1</v>
      </c>
      <c r="D44">
        <f>SUMIFS('data (1)'!$M:$M,'data (1)'!$A:$A,XYZ!D$1,'data (1)'!$J:$J,XYZ!$A44)</f>
        <v>1</v>
      </c>
      <c r="E44">
        <f>SUMIFS('data (1)'!$M:$M,'data (1)'!$A:$A,XYZ!E$1,'data (1)'!$J:$J,XYZ!$A44)</f>
        <v>0</v>
      </c>
      <c r="F44">
        <f>SUMIFS('data (1)'!$M:$M,'data (1)'!$A:$A,XYZ!F$1,'data (1)'!$J:$J,XYZ!$A44)</f>
        <v>2</v>
      </c>
      <c r="G44">
        <f>SUMIFS('data (1)'!$M:$M,'data (1)'!$A:$A,XYZ!G$1,'data (1)'!$J:$J,XYZ!$A44)</f>
        <v>1</v>
      </c>
    </row>
    <row r="45" spans="1:7" x14ac:dyDescent="0.15">
      <c r="A45" t="s">
        <v>495</v>
      </c>
      <c r="B45" s="11">
        <f t="shared" si="0"/>
        <v>1</v>
      </c>
      <c r="C45">
        <f>SUMIFS('data (1)'!$M:$M,'data (1)'!$A:$A,XYZ!C$1,'data (1)'!$J:$J,XYZ!$A45)</f>
        <v>0</v>
      </c>
      <c r="D45">
        <f>SUMIFS('data (1)'!$M:$M,'data (1)'!$A:$A,XYZ!D$1,'data (1)'!$J:$J,XYZ!$A45)</f>
        <v>1</v>
      </c>
      <c r="E45">
        <f>SUMIFS('data (1)'!$M:$M,'data (1)'!$A:$A,XYZ!E$1,'data (1)'!$J:$J,XYZ!$A45)</f>
        <v>2</v>
      </c>
      <c r="F45">
        <f>SUMIFS('data (1)'!$M:$M,'data (1)'!$A:$A,XYZ!F$1,'data (1)'!$J:$J,XYZ!$A45)</f>
        <v>2</v>
      </c>
      <c r="G45">
        <f>SUMIFS('data (1)'!$M:$M,'data (1)'!$A:$A,XYZ!G$1,'data (1)'!$J:$J,XYZ!$A45)</f>
        <v>0</v>
      </c>
    </row>
    <row r="46" spans="1:7" x14ac:dyDescent="0.15">
      <c r="A46" t="s">
        <v>722</v>
      </c>
      <c r="B46" s="11">
        <f t="shared" si="0"/>
        <v>1</v>
      </c>
      <c r="C46">
        <f>SUMIFS('data (1)'!$M:$M,'data (1)'!$A:$A,XYZ!C$1,'data (1)'!$J:$J,XYZ!$A46)</f>
        <v>0</v>
      </c>
      <c r="D46">
        <f>SUMIFS('data (1)'!$M:$M,'data (1)'!$A:$A,XYZ!D$1,'data (1)'!$J:$J,XYZ!$A46)</f>
        <v>0</v>
      </c>
      <c r="E46">
        <f>SUMIFS('data (1)'!$M:$M,'data (1)'!$A:$A,XYZ!E$1,'data (1)'!$J:$J,XYZ!$A46)</f>
        <v>2</v>
      </c>
      <c r="F46">
        <f>SUMIFS('data (1)'!$M:$M,'data (1)'!$A:$A,XYZ!F$1,'data (1)'!$J:$J,XYZ!$A46)</f>
        <v>2</v>
      </c>
      <c r="G46">
        <f>SUMIFS('data (1)'!$M:$M,'data (1)'!$A:$A,XYZ!G$1,'data (1)'!$J:$J,XYZ!$A46)</f>
        <v>1</v>
      </c>
    </row>
    <row r="47" spans="1:7" x14ac:dyDescent="0.15">
      <c r="A47" t="s">
        <v>260</v>
      </c>
      <c r="B47" s="11">
        <f t="shared" si="0"/>
        <v>0.70710678118654757</v>
      </c>
      <c r="C47">
        <f>SUMIFS('data (1)'!$M:$M,'data (1)'!$A:$A,XYZ!C$1,'data (1)'!$J:$J,XYZ!$A47)</f>
        <v>1</v>
      </c>
      <c r="D47">
        <f>SUMIFS('data (1)'!$M:$M,'data (1)'!$A:$A,XYZ!D$1,'data (1)'!$J:$J,XYZ!$A47)</f>
        <v>1</v>
      </c>
      <c r="E47">
        <f>SUMIFS('data (1)'!$M:$M,'data (1)'!$A:$A,XYZ!E$1,'data (1)'!$J:$J,XYZ!$A47)</f>
        <v>1</v>
      </c>
      <c r="F47">
        <f>SUMIFS('data (1)'!$M:$M,'data (1)'!$A:$A,XYZ!F$1,'data (1)'!$J:$J,XYZ!$A47)</f>
        <v>0</v>
      </c>
      <c r="G47">
        <f>SUMIFS('data (1)'!$M:$M,'data (1)'!$A:$A,XYZ!G$1,'data (1)'!$J:$J,XYZ!$A47)</f>
        <v>2</v>
      </c>
    </row>
    <row r="48" spans="1:7" x14ac:dyDescent="0.15">
      <c r="A48" t="s">
        <v>229</v>
      </c>
      <c r="B48" s="11">
        <f t="shared" si="0"/>
        <v>1</v>
      </c>
      <c r="C48">
        <f>SUMIFS('data (1)'!$M:$M,'data (1)'!$A:$A,XYZ!C$1,'data (1)'!$J:$J,XYZ!$A48)</f>
        <v>1</v>
      </c>
      <c r="D48">
        <f>SUMIFS('data (1)'!$M:$M,'data (1)'!$A:$A,XYZ!D$1,'data (1)'!$J:$J,XYZ!$A48)</f>
        <v>0</v>
      </c>
      <c r="E48">
        <f>SUMIFS('data (1)'!$M:$M,'data (1)'!$A:$A,XYZ!E$1,'data (1)'!$J:$J,XYZ!$A48)</f>
        <v>2</v>
      </c>
      <c r="F48">
        <f>SUMIFS('data (1)'!$M:$M,'data (1)'!$A:$A,XYZ!F$1,'data (1)'!$J:$J,XYZ!$A48)</f>
        <v>2</v>
      </c>
      <c r="G48">
        <f>SUMIFS('data (1)'!$M:$M,'data (1)'!$A:$A,XYZ!G$1,'data (1)'!$J:$J,XYZ!$A48)</f>
        <v>0</v>
      </c>
    </row>
    <row r="49" spans="1:7" x14ac:dyDescent="0.15">
      <c r="A49" t="s">
        <v>555</v>
      </c>
      <c r="B49" s="11">
        <f t="shared" si="0"/>
        <v>1.4142135623730951</v>
      </c>
      <c r="C49">
        <f>SUMIFS('data (1)'!$M:$M,'data (1)'!$A:$A,XYZ!C$1,'data (1)'!$J:$J,XYZ!$A49)</f>
        <v>0</v>
      </c>
      <c r="D49">
        <f>SUMIFS('data (1)'!$M:$M,'data (1)'!$A:$A,XYZ!D$1,'data (1)'!$J:$J,XYZ!$A49)</f>
        <v>2</v>
      </c>
      <c r="E49">
        <f>SUMIFS('data (1)'!$M:$M,'data (1)'!$A:$A,XYZ!E$1,'data (1)'!$J:$J,XYZ!$A49)</f>
        <v>3</v>
      </c>
      <c r="F49">
        <f>SUMIFS('data (1)'!$M:$M,'data (1)'!$A:$A,XYZ!F$1,'data (1)'!$J:$J,XYZ!$A49)</f>
        <v>0</v>
      </c>
      <c r="G49">
        <f>SUMIFS('data (1)'!$M:$M,'data (1)'!$A:$A,XYZ!G$1,'data (1)'!$J:$J,XYZ!$A49)</f>
        <v>0</v>
      </c>
    </row>
    <row r="50" spans="1:7" x14ac:dyDescent="0.15">
      <c r="A50" t="s">
        <v>866</v>
      </c>
      <c r="B50" s="11">
        <f t="shared" si="0"/>
        <v>1.4142135623730951</v>
      </c>
      <c r="C50">
        <f>SUMIFS('data (1)'!$M:$M,'data (1)'!$A:$A,XYZ!C$1,'data (1)'!$J:$J,XYZ!$A50)</f>
        <v>0</v>
      </c>
      <c r="D50">
        <f>SUMIFS('data (1)'!$M:$M,'data (1)'!$A:$A,XYZ!D$1,'data (1)'!$J:$J,XYZ!$A50)</f>
        <v>0</v>
      </c>
      <c r="E50">
        <f>SUMIFS('data (1)'!$M:$M,'data (1)'!$A:$A,XYZ!E$1,'data (1)'!$J:$J,XYZ!$A50)</f>
        <v>3</v>
      </c>
      <c r="F50">
        <f>SUMIFS('data (1)'!$M:$M,'data (1)'!$A:$A,XYZ!F$1,'data (1)'!$J:$J,XYZ!$A50)</f>
        <v>0</v>
      </c>
      <c r="G50">
        <f>SUMIFS('data (1)'!$M:$M,'data (1)'!$A:$A,XYZ!G$1,'data (1)'!$J:$J,XYZ!$A50)</f>
        <v>2</v>
      </c>
    </row>
    <row r="51" spans="1:7" x14ac:dyDescent="0.15">
      <c r="A51" t="s">
        <v>520</v>
      </c>
      <c r="B51" s="11">
        <f t="shared" si="0"/>
        <v>1.4142135623730951</v>
      </c>
      <c r="C51">
        <f>SUMIFS('data (1)'!$M:$M,'data (1)'!$A:$A,XYZ!C$1,'data (1)'!$J:$J,XYZ!$A51)</f>
        <v>0</v>
      </c>
      <c r="D51">
        <f>SUMIFS('data (1)'!$M:$M,'data (1)'!$A:$A,XYZ!D$1,'data (1)'!$J:$J,XYZ!$A51)</f>
        <v>2</v>
      </c>
      <c r="E51">
        <f>SUMIFS('data (1)'!$M:$M,'data (1)'!$A:$A,XYZ!E$1,'data (1)'!$J:$J,XYZ!$A51)</f>
        <v>0</v>
      </c>
      <c r="F51">
        <f>SUMIFS('data (1)'!$M:$M,'data (1)'!$A:$A,XYZ!F$1,'data (1)'!$J:$J,XYZ!$A51)</f>
        <v>3</v>
      </c>
      <c r="G51">
        <f>SUMIFS('data (1)'!$M:$M,'data (1)'!$A:$A,XYZ!G$1,'data (1)'!$J:$J,XYZ!$A51)</f>
        <v>0</v>
      </c>
    </row>
    <row r="52" spans="1:7" x14ac:dyDescent="0.15">
      <c r="A52" t="s">
        <v>670</v>
      </c>
      <c r="B52" s="11">
        <f t="shared" si="0"/>
        <v>2.2360679774997898</v>
      </c>
      <c r="C52">
        <f>SUMIFS('data (1)'!$M:$M,'data (1)'!$A:$A,XYZ!C$1,'data (1)'!$J:$J,XYZ!$A52)</f>
        <v>0</v>
      </c>
      <c r="D52">
        <f>SUMIFS('data (1)'!$M:$M,'data (1)'!$A:$A,XYZ!D$1,'data (1)'!$J:$J,XYZ!$A52)</f>
        <v>5</v>
      </c>
      <c r="E52">
        <f>SUMIFS('data (1)'!$M:$M,'data (1)'!$A:$A,XYZ!E$1,'data (1)'!$J:$J,XYZ!$A52)</f>
        <v>0</v>
      </c>
      <c r="F52">
        <f>SUMIFS('data (1)'!$M:$M,'data (1)'!$A:$A,XYZ!F$1,'data (1)'!$J:$J,XYZ!$A52)</f>
        <v>0</v>
      </c>
      <c r="G52">
        <f>SUMIFS('data (1)'!$M:$M,'data (1)'!$A:$A,XYZ!G$1,'data (1)'!$J:$J,XYZ!$A52)</f>
        <v>0</v>
      </c>
    </row>
    <row r="53" spans="1:7" x14ac:dyDescent="0.15">
      <c r="A53" t="s">
        <v>674</v>
      </c>
      <c r="B53" s="11">
        <f t="shared" si="0"/>
        <v>1</v>
      </c>
      <c r="C53">
        <f>SUMIFS('data (1)'!$M:$M,'data (1)'!$A:$A,XYZ!C$1,'data (1)'!$J:$J,XYZ!$A53)</f>
        <v>0</v>
      </c>
      <c r="D53">
        <f>SUMIFS('data (1)'!$M:$M,'data (1)'!$A:$A,XYZ!D$1,'data (1)'!$J:$J,XYZ!$A53)</f>
        <v>1</v>
      </c>
      <c r="E53">
        <f>SUMIFS('data (1)'!$M:$M,'data (1)'!$A:$A,XYZ!E$1,'data (1)'!$J:$J,XYZ!$A53)</f>
        <v>2</v>
      </c>
      <c r="F53">
        <f>SUMIFS('data (1)'!$M:$M,'data (1)'!$A:$A,XYZ!F$1,'data (1)'!$J:$J,XYZ!$A53)</f>
        <v>0</v>
      </c>
      <c r="G53">
        <f>SUMIFS('data (1)'!$M:$M,'data (1)'!$A:$A,XYZ!G$1,'data (1)'!$J:$J,XYZ!$A53)</f>
        <v>2</v>
      </c>
    </row>
    <row r="54" spans="1:7" x14ac:dyDescent="0.15">
      <c r="A54" t="s">
        <v>979</v>
      </c>
      <c r="B54" s="11">
        <f t="shared" si="0"/>
        <v>1.4142135623730951</v>
      </c>
      <c r="C54">
        <f>SUMIFS('data (1)'!$M:$M,'data (1)'!$A:$A,XYZ!C$1,'data (1)'!$J:$J,XYZ!$A54)</f>
        <v>0</v>
      </c>
      <c r="D54">
        <f>SUMIFS('data (1)'!$M:$M,'data (1)'!$A:$A,XYZ!D$1,'data (1)'!$J:$J,XYZ!$A54)</f>
        <v>0</v>
      </c>
      <c r="E54">
        <f>SUMIFS('data (1)'!$M:$M,'data (1)'!$A:$A,XYZ!E$1,'data (1)'!$J:$J,XYZ!$A54)</f>
        <v>0</v>
      </c>
      <c r="F54">
        <f>SUMIFS('data (1)'!$M:$M,'data (1)'!$A:$A,XYZ!F$1,'data (1)'!$J:$J,XYZ!$A54)</f>
        <v>3</v>
      </c>
      <c r="G54">
        <f>SUMIFS('data (1)'!$M:$M,'data (1)'!$A:$A,XYZ!G$1,'data (1)'!$J:$J,XYZ!$A54)</f>
        <v>2</v>
      </c>
    </row>
    <row r="55" spans="1:7" x14ac:dyDescent="0.15">
      <c r="A55" t="s">
        <v>595</v>
      </c>
      <c r="B55" s="11">
        <f t="shared" si="0"/>
        <v>2.2360679774997898</v>
      </c>
      <c r="C55">
        <f>SUMIFS('data (1)'!$M:$M,'data (1)'!$A:$A,XYZ!C$1,'data (1)'!$J:$J,XYZ!$A55)</f>
        <v>0</v>
      </c>
      <c r="D55">
        <f>SUMIFS('data (1)'!$M:$M,'data (1)'!$A:$A,XYZ!D$1,'data (1)'!$J:$J,XYZ!$A55)</f>
        <v>5</v>
      </c>
      <c r="E55">
        <f>SUMIFS('data (1)'!$M:$M,'data (1)'!$A:$A,XYZ!E$1,'data (1)'!$J:$J,XYZ!$A55)</f>
        <v>0</v>
      </c>
      <c r="F55">
        <f>SUMIFS('data (1)'!$M:$M,'data (1)'!$A:$A,XYZ!F$1,'data (1)'!$J:$J,XYZ!$A55)</f>
        <v>0</v>
      </c>
      <c r="G55">
        <f>SUMIFS('data (1)'!$M:$M,'data (1)'!$A:$A,XYZ!G$1,'data (1)'!$J:$J,XYZ!$A55)</f>
        <v>0</v>
      </c>
    </row>
    <row r="56" spans="1:7" x14ac:dyDescent="0.15">
      <c r="A56" t="s">
        <v>1110</v>
      </c>
      <c r="B56" s="11">
        <f t="shared" si="0"/>
        <v>2.2360679774997898</v>
      </c>
      <c r="C56">
        <f>SUMIFS('data (1)'!$M:$M,'data (1)'!$A:$A,XYZ!C$1,'data (1)'!$J:$J,XYZ!$A56)</f>
        <v>0</v>
      </c>
      <c r="D56">
        <f>SUMIFS('data (1)'!$M:$M,'data (1)'!$A:$A,XYZ!D$1,'data (1)'!$J:$J,XYZ!$A56)</f>
        <v>0</v>
      </c>
      <c r="E56">
        <f>SUMIFS('data (1)'!$M:$M,'data (1)'!$A:$A,XYZ!E$1,'data (1)'!$J:$J,XYZ!$A56)</f>
        <v>0</v>
      </c>
      <c r="F56">
        <f>SUMIFS('data (1)'!$M:$M,'data (1)'!$A:$A,XYZ!F$1,'data (1)'!$J:$J,XYZ!$A56)</f>
        <v>0</v>
      </c>
      <c r="G56">
        <f>SUMIFS('data (1)'!$M:$M,'data (1)'!$A:$A,XYZ!G$1,'data (1)'!$J:$J,XYZ!$A56)</f>
        <v>5</v>
      </c>
    </row>
    <row r="57" spans="1:7" x14ac:dyDescent="0.15">
      <c r="A57" t="s">
        <v>762</v>
      </c>
      <c r="B57" s="11">
        <f t="shared" si="0"/>
        <v>1.6298006013006621</v>
      </c>
      <c r="C57">
        <f>SUMIFS('data (1)'!$M:$M,'data (1)'!$A:$A,XYZ!C$1,'data (1)'!$J:$J,XYZ!$A57)</f>
        <v>0</v>
      </c>
      <c r="D57">
        <f>SUMIFS('data (1)'!$M:$M,'data (1)'!$A:$A,XYZ!D$1,'data (1)'!$J:$J,XYZ!$A57)</f>
        <v>0</v>
      </c>
      <c r="E57">
        <f>SUMIFS('data (1)'!$M:$M,'data (1)'!$A:$A,XYZ!E$1,'data (1)'!$J:$J,XYZ!$A57)</f>
        <v>3</v>
      </c>
      <c r="F57">
        <f>SUMIFS('data (1)'!$M:$M,'data (1)'!$A:$A,XYZ!F$1,'data (1)'!$J:$J,XYZ!$A57)</f>
        <v>1</v>
      </c>
      <c r="G57">
        <f>SUMIFS('data (1)'!$M:$M,'data (1)'!$A:$A,XYZ!G$1,'data (1)'!$J:$J,XYZ!$A57)</f>
        <v>0</v>
      </c>
    </row>
    <row r="58" spans="1:7" x14ac:dyDescent="0.15">
      <c r="A58" t="s">
        <v>427</v>
      </c>
      <c r="B58" s="11">
        <f t="shared" si="0"/>
        <v>1.0458250331675945</v>
      </c>
      <c r="C58">
        <f>SUMIFS('data (1)'!$M:$M,'data (1)'!$A:$A,XYZ!C$1,'data (1)'!$J:$J,XYZ!$A58)</f>
        <v>1</v>
      </c>
      <c r="D58">
        <f>SUMIFS('data (1)'!$M:$M,'data (1)'!$A:$A,XYZ!D$1,'data (1)'!$J:$J,XYZ!$A58)</f>
        <v>0</v>
      </c>
      <c r="E58">
        <f>SUMIFS('data (1)'!$M:$M,'data (1)'!$A:$A,XYZ!E$1,'data (1)'!$J:$J,XYZ!$A58)</f>
        <v>1</v>
      </c>
      <c r="F58">
        <f>SUMIFS('data (1)'!$M:$M,'data (1)'!$A:$A,XYZ!F$1,'data (1)'!$J:$J,XYZ!$A58)</f>
        <v>0</v>
      </c>
      <c r="G58">
        <f>SUMIFS('data (1)'!$M:$M,'data (1)'!$A:$A,XYZ!G$1,'data (1)'!$J:$J,XYZ!$A58)</f>
        <v>2</v>
      </c>
    </row>
    <row r="59" spans="1:7" x14ac:dyDescent="0.15">
      <c r="A59" t="s">
        <v>31</v>
      </c>
      <c r="B59" s="11">
        <f t="shared" si="0"/>
        <v>1.0458250331675945</v>
      </c>
      <c r="C59">
        <f>SUMIFS('data (1)'!$M:$M,'data (1)'!$A:$A,XYZ!C$1,'data (1)'!$J:$J,XYZ!$A59)</f>
        <v>1</v>
      </c>
      <c r="D59">
        <f>SUMIFS('data (1)'!$M:$M,'data (1)'!$A:$A,XYZ!D$1,'data (1)'!$J:$J,XYZ!$A59)</f>
        <v>2</v>
      </c>
      <c r="E59">
        <f>SUMIFS('data (1)'!$M:$M,'data (1)'!$A:$A,XYZ!E$1,'data (1)'!$J:$J,XYZ!$A59)</f>
        <v>0</v>
      </c>
      <c r="F59">
        <f>SUMIFS('data (1)'!$M:$M,'data (1)'!$A:$A,XYZ!F$1,'data (1)'!$J:$J,XYZ!$A59)</f>
        <v>0</v>
      </c>
      <c r="G59">
        <f>SUMIFS('data (1)'!$M:$M,'data (1)'!$A:$A,XYZ!G$1,'data (1)'!$J:$J,XYZ!$A59)</f>
        <v>1</v>
      </c>
    </row>
    <row r="60" spans="1:7" x14ac:dyDescent="0.15">
      <c r="A60" t="s">
        <v>36</v>
      </c>
      <c r="B60" s="11">
        <f t="shared" si="0"/>
        <v>0.55901699437494734</v>
      </c>
      <c r="C60">
        <f>SUMIFS('data (1)'!$M:$M,'data (1)'!$A:$A,XYZ!C$1,'data (1)'!$J:$J,XYZ!$A60)</f>
        <v>1</v>
      </c>
      <c r="D60">
        <f>SUMIFS('data (1)'!$M:$M,'data (1)'!$A:$A,XYZ!D$1,'data (1)'!$J:$J,XYZ!$A60)</f>
        <v>1</v>
      </c>
      <c r="E60">
        <f>SUMIFS('data (1)'!$M:$M,'data (1)'!$A:$A,XYZ!E$1,'data (1)'!$J:$J,XYZ!$A60)</f>
        <v>0</v>
      </c>
      <c r="F60">
        <f>SUMIFS('data (1)'!$M:$M,'data (1)'!$A:$A,XYZ!F$1,'data (1)'!$J:$J,XYZ!$A60)</f>
        <v>1</v>
      </c>
      <c r="G60">
        <f>SUMIFS('data (1)'!$M:$M,'data (1)'!$A:$A,XYZ!G$1,'data (1)'!$J:$J,XYZ!$A60)</f>
        <v>1</v>
      </c>
    </row>
    <row r="61" spans="1:7" x14ac:dyDescent="0.15">
      <c r="A61" t="s">
        <v>642</v>
      </c>
      <c r="B61" s="11">
        <f t="shared" si="0"/>
        <v>1.0458250331675945</v>
      </c>
      <c r="C61">
        <f>SUMIFS('data (1)'!$M:$M,'data (1)'!$A:$A,XYZ!C$1,'data (1)'!$J:$J,XYZ!$A61)</f>
        <v>0</v>
      </c>
      <c r="D61">
        <f>SUMIFS('data (1)'!$M:$M,'data (1)'!$A:$A,XYZ!D$1,'data (1)'!$J:$J,XYZ!$A61)</f>
        <v>1</v>
      </c>
      <c r="E61">
        <f>SUMIFS('data (1)'!$M:$M,'data (1)'!$A:$A,XYZ!E$1,'data (1)'!$J:$J,XYZ!$A61)</f>
        <v>1</v>
      </c>
      <c r="F61">
        <f>SUMIFS('data (1)'!$M:$M,'data (1)'!$A:$A,XYZ!F$1,'data (1)'!$J:$J,XYZ!$A61)</f>
        <v>2</v>
      </c>
      <c r="G61">
        <f>SUMIFS('data (1)'!$M:$M,'data (1)'!$A:$A,XYZ!G$1,'data (1)'!$J:$J,XYZ!$A61)</f>
        <v>0</v>
      </c>
    </row>
    <row r="62" spans="1:7" x14ac:dyDescent="0.15">
      <c r="A62" t="s">
        <v>231</v>
      </c>
      <c r="B62" s="11">
        <f t="shared" si="0"/>
        <v>1.0458250331675945</v>
      </c>
      <c r="C62">
        <f>SUMIFS('data (1)'!$M:$M,'data (1)'!$A:$A,XYZ!C$1,'data (1)'!$J:$J,XYZ!$A62)</f>
        <v>1</v>
      </c>
      <c r="D62">
        <f>SUMIFS('data (1)'!$M:$M,'data (1)'!$A:$A,XYZ!D$1,'data (1)'!$J:$J,XYZ!$A62)</f>
        <v>0</v>
      </c>
      <c r="E62">
        <f>SUMIFS('data (1)'!$M:$M,'data (1)'!$A:$A,XYZ!E$1,'data (1)'!$J:$J,XYZ!$A62)</f>
        <v>0</v>
      </c>
      <c r="F62">
        <f>SUMIFS('data (1)'!$M:$M,'data (1)'!$A:$A,XYZ!F$1,'data (1)'!$J:$J,XYZ!$A62)</f>
        <v>1</v>
      </c>
      <c r="G62">
        <f>SUMIFS('data (1)'!$M:$M,'data (1)'!$A:$A,XYZ!G$1,'data (1)'!$J:$J,XYZ!$A62)</f>
        <v>2</v>
      </c>
    </row>
    <row r="63" spans="1:7" x14ac:dyDescent="0.15">
      <c r="A63" t="s">
        <v>68</v>
      </c>
      <c r="B63" s="11">
        <f t="shared" si="0"/>
        <v>1.0458250331675945</v>
      </c>
      <c r="C63">
        <f>SUMIFS('data (1)'!$M:$M,'data (1)'!$A:$A,XYZ!C$1,'data (1)'!$J:$J,XYZ!$A63)</f>
        <v>1</v>
      </c>
      <c r="D63">
        <f>SUMIFS('data (1)'!$M:$M,'data (1)'!$A:$A,XYZ!D$1,'data (1)'!$J:$J,XYZ!$A63)</f>
        <v>1</v>
      </c>
      <c r="E63">
        <f>SUMIFS('data (1)'!$M:$M,'data (1)'!$A:$A,XYZ!E$1,'data (1)'!$J:$J,XYZ!$A63)</f>
        <v>2</v>
      </c>
      <c r="F63">
        <f>SUMIFS('data (1)'!$M:$M,'data (1)'!$A:$A,XYZ!F$1,'data (1)'!$J:$J,XYZ!$A63)</f>
        <v>0</v>
      </c>
      <c r="G63">
        <f>SUMIFS('data (1)'!$M:$M,'data (1)'!$A:$A,XYZ!G$1,'data (1)'!$J:$J,XYZ!$A63)</f>
        <v>0</v>
      </c>
    </row>
    <row r="64" spans="1:7" x14ac:dyDescent="0.15">
      <c r="A64" t="s">
        <v>241</v>
      </c>
      <c r="B64" s="11">
        <f t="shared" si="0"/>
        <v>0.55901699437494734</v>
      </c>
      <c r="C64">
        <f>SUMIFS('data (1)'!$M:$M,'data (1)'!$A:$A,XYZ!C$1,'data (1)'!$J:$J,XYZ!$A64)</f>
        <v>1</v>
      </c>
      <c r="D64">
        <f>SUMIFS('data (1)'!$M:$M,'data (1)'!$A:$A,XYZ!D$1,'data (1)'!$J:$J,XYZ!$A64)</f>
        <v>1</v>
      </c>
      <c r="E64">
        <f>SUMIFS('data (1)'!$M:$M,'data (1)'!$A:$A,XYZ!E$1,'data (1)'!$J:$J,XYZ!$A64)</f>
        <v>0</v>
      </c>
      <c r="F64">
        <f>SUMIFS('data (1)'!$M:$M,'data (1)'!$A:$A,XYZ!F$1,'data (1)'!$J:$J,XYZ!$A64)</f>
        <v>1</v>
      </c>
      <c r="G64">
        <f>SUMIFS('data (1)'!$M:$M,'data (1)'!$A:$A,XYZ!G$1,'data (1)'!$J:$J,XYZ!$A64)</f>
        <v>1</v>
      </c>
    </row>
    <row r="65" spans="1:7" x14ac:dyDescent="0.15">
      <c r="A65" t="s">
        <v>160</v>
      </c>
      <c r="B65" s="11">
        <f t="shared" si="0"/>
        <v>1.3693063937629151</v>
      </c>
      <c r="C65">
        <f>SUMIFS('data (1)'!$M:$M,'data (1)'!$A:$A,XYZ!C$1,'data (1)'!$J:$J,XYZ!$A65)</f>
        <v>2</v>
      </c>
      <c r="D65">
        <f>SUMIFS('data (1)'!$M:$M,'data (1)'!$A:$A,XYZ!D$1,'data (1)'!$J:$J,XYZ!$A65)</f>
        <v>0</v>
      </c>
      <c r="E65">
        <f>SUMIFS('data (1)'!$M:$M,'data (1)'!$A:$A,XYZ!E$1,'data (1)'!$J:$J,XYZ!$A65)</f>
        <v>2</v>
      </c>
      <c r="F65">
        <f>SUMIFS('data (1)'!$M:$M,'data (1)'!$A:$A,XYZ!F$1,'data (1)'!$J:$J,XYZ!$A65)</f>
        <v>0</v>
      </c>
      <c r="G65">
        <f>SUMIFS('data (1)'!$M:$M,'data (1)'!$A:$A,XYZ!G$1,'data (1)'!$J:$J,XYZ!$A65)</f>
        <v>0</v>
      </c>
    </row>
    <row r="66" spans="1:7" x14ac:dyDescent="0.15">
      <c r="A66" t="s">
        <v>745</v>
      </c>
      <c r="B66" s="11">
        <f t="shared" si="0"/>
        <v>2.2360679774997894</v>
      </c>
      <c r="C66">
        <f>SUMIFS('data (1)'!$M:$M,'data (1)'!$A:$A,XYZ!C$1,'data (1)'!$J:$J,XYZ!$A66)</f>
        <v>0</v>
      </c>
      <c r="D66">
        <f>SUMIFS('data (1)'!$M:$M,'data (1)'!$A:$A,XYZ!D$1,'data (1)'!$J:$J,XYZ!$A66)</f>
        <v>0</v>
      </c>
      <c r="E66">
        <f>SUMIFS('data (1)'!$M:$M,'data (1)'!$A:$A,XYZ!E$1,'data (1)'!$J:$J,XYZ!$A66)</f>
        <v>4</v>
      </c>
      <c r="F66">
        <f>SUMIFS('data (1)'!$M:$M,'data (1)'!$A:$A,XYZ!F$1,'data (1)'!$J:$J,XYZ!$A66)</f>
        <v>0</v>
      </c>
      <c r="G66">
        <f>SUMIFS('data (1)'!$M:$M,'data (1)'!$A:$A,XYZ!G$1,'data (1)'!$J:$J,XYZ!$A66)</f>
        <v>0</v>
      </c>
    </row>
    <row r="67" spans="1:7" x14ac:dyDescent="0.15">
      <c r="A67" t="s">
        <v>47</v>
      </c>
      <c r="B67" s="11">
        <f t="shared" ref="B67:B130" si="1">_xlfn.STDEV.S(C67:G67)/AVERAGE(C67:G67)</f>
        <v>1.0458250331675945</v>
      </c>
      <c r="C67">
        <f>SUMIFS('data (1)'!$M:$M,'data (1)'!$A:$A,XYZ!C$1,'data (1)'!$J:$J,XYZ!$A67)</f>
        <v>1</v>
      </c>
      <c r="D67">
        <f>SUMIFS('data (1)'!$M:$M,'data (1)'!$A:$A,XYZ!D$1,'data (1)'!$J:$J,XYZ!$A67)</f>
        <v>2</v>
      </c>
      <c r="E67">
        <f>SUMIFS('data (1)'!$M:$M,'data (1)'!$A:$A,XYZ!E$1,'data (1)'!$J:$J,XYZ!$A67)</f>
        <v>0</v>
      </c>
      <c r="F67">
        <f>SUMIFS('data (1)'!$M:$M,'data (1)'!$A:$A,XYZ!F$1,'data (1)'!$J:$J,XYZ!$A67)</f>
        <v>0</v>
      </c>
      <c r="G67">
        <f>SUMIFS('data (1)'!$M:$M,'data (1)'!$A:$A,XYZ!G$1,'data (1)'!$J:$J,XYZ!$A67)</f>
        <v>1</v>
      </c>
    </row>
    <row r="68" spans="1:7" x14ac:dyDescent="0.15">
      <c r="A68" t="s">
        <v>989</v>
      </c>
      <c r="B68" s="11">
        <f t="shared" si="1"/>
        <v>1.3693063937629151</v>
      </c>
      <c r="C68">
        <f>SUMIFS('data (1)'!$M:$M,'data (1)'!$A:$A,XYZ!C$1,'data (1)'!$J:$J,XYZ!$A68)</f>
        <v>0</v>
      </c>
      <c r="D68">
        <f>SUMIFS('data (1)'!$M:$M,'data (1)'!$A:$A,XYZ!D$1,'data (1)'!$J:$J,XYZ!$A68)</f>
        <v>0</v>
      </c>
      <c r="E68">
        <f>SUMIFS('data (1)'!$M:$M,'data (1)'!$A:$A,XYZ!E$1,'data (1)'!$J:$J,XYZ!$A68)</f>
        <v>0</v>
      </c>
      <c r="F68">
        <f>SUMIFS('data (1)'!$M:$M,'data (1)'!$A:$A,XYZ!F$1,'data (1)'!$J:$J,XYZ!$A68)</f>
        <v>2</v>
      </c>
      <c r="G68">
        <f>SUMIFS('data (1)'!$M:$M,'data (1)'!$A:$A,XYZ!G$1,'data (1)'!$J:$J,XYZ!$A68)</f>
        <v>2</v>
      </c>
    </row>
    <row r="69" spans="1:7" x14ac:dyDescent="0.15">
      <c r="A69" t="s">
        <v>268</v>
      </c>
      <c r="B69" s="11">
        <f t="shared" si="1"/>
        <v>0.55901699437494734</v>
      </c>
      <c r="C69">
        <f>SUMIFS('data (1)'!$M:$M,'data (1)'!$A:$A,XYZ!C$1,'data (1)'!$J:$J,XYZ!$A69)</f>
        <v>1</v>
      </c>
      <c r="D69">
        <f>SUMIFS('data (1)'!$M:$M,'data (1)'!$A:$A,XYZ!D$1,'data (1)'!$J:$J,XYZ!$A69)</f>
        <v>1</v>
      </c>
      <c r="E69">
        <f>SUMIFS('data (1)'!$M:$M,'data (1)'!$A:$A,XYZ!E$1,'data (1)'!$J:$J,XYZ!$A69)</f>
        <v>1</v>
      </c>
      <c r="F69">
        <f>SUMIFS('data (1)'!$M:$M,'data (1)'!$A:$A,XYZ!F$1,'data (1)'!$J:$J,XYZ!$A69)</f>
        <v>0</v>
      </c>
      <c r="G69">
        <f>SUMIFS('data (1)'!$M:$M,'data (1)'!$A:$A,XYZ!G$1,'data (1)'!$J:$J,XYZ!$A69)</f>
        <v>1</v>
      </c>
    </row>
    <row r="70" spans="1:7" x14ac:dyDescent="0.15">
      <c r="A70" t="s">
        <v>667</v>
      </c>
      <c r="B70" s="11">
        <f t="shared" si="1"/>
        <v>1.6298006013006621</v>
      </c>
      <c r="C70">
        <f>SUMIFS('data (1)'!$M:$M,'data (1)'!$A:$A,XYZ!C$1,'data (1)'!$J:$J,XYZ!$A70)</f>
        <v>0</v>
      </c>
      <c r="D70">
        <f>SUMIFS('data (1)'!$M:$M,'data (1)'!$A:$A,XYZ!D$1,'data (1)'!$J:$J,XYZ!$A70)</f>
        <v>1</v>
      </c>
      <c r="E70">
        <f>SUMIFS('data (1)'!$M:$M,'data (1)'!$A:$A,XYZ!E$1,'data (1)'!$J:$J,XYZ!$A70)</f>
        <v>0</v>
      </c>
      <c r="F70">
        <f>SUMIFS('data (1)'!$M:$M,'data (1)'!$A:$A,XYZ!F$1,'data (1)'!$J:$J,XYZ!$A70)</f>
        <v>3</v>
      </c>
      <c r="G70">
        <f>SUMIFS('data (1)'!$M:$M,'data (1)'!$A:$A,XYZ!G$1,'data (1)'!$J:$J,XYZ!$A70)</f>
        <v>0</v>
      </c>
    </row>
    <row r="71" spans="1:7" x14ac:dyDescent="0.15">
      <c r="A71" t="s">
        <v>807</v>
      </c>
      <c r="B71" s="11">
        <f t="shared" si="1"/>
        <v>1.0458250331675945</v>
      </c>
      <c r="C71">
        <f>SUMIFS('data (1)'!$M:$M,'data (1)'!$A:$A,XYZ!C$1,'data (1)'!$J:$J,XYZ!$A71)</f>
        <v>0</v>
      </c>
      <c r="D71">
        <f>SUMIFS('data (1)'!$M:$M,'data (1)'!$A:$A,XYZ!D$1,'data (1)'!$J:$J,XYZ!$A71)</f>
        <v>0</v>
      </c>
      <c r="E71">
        <f>SUMIFS('data (1)'!$M:$M,'data (1)'!$A:$A,XYZ!E$1,'data (1)'!$J:$J,XYZ!$A71)</f>
        <v>2</v>
      </c>
      <c r="F71">
        <f>SUMIFS('data (1)'!$M:$M,'data (1)'!$A:$A,XYZ!F$1,'data (1)'!$J:$J,XYZ!$A71)</f>
        <v>1</v>
      </c>
      <c r="G71">
        <f>SUMIFS('data (1)'!$M:$M,'data (1)'!$A:$A,XYZ!G$1,'data (1)'!$J:$J,XYZ!$A71)</f>
        <v>1</v>
      </c>
    </row>
    <row r="72" spans="1:7" x14ac:dyDescent="0.15">
      <c r="A72" t="s">
        <v>767</v>
      </c>
      <c r="B72" s="11">
        <f t="shared" si="1"/>
        <v>1.0458250331675945</v>
      </c>
      <c r="C72">
        <f>SUMIFS('data (1)'!$M:$M,'data (1)'!$A:$A,XYZ!C$1,'data (1)'!$J:$J,XYZ!$A72)</f>
        <v>0</v>
      </c>
      <c r="D72">
        <f>SUMIFS('data (1)'!$M:$M,'data (1)'!$A:$A,XYZ!D$1,'data (1)'!$J:$J,XYZ!$A72)</f>
        <v>0</v>
      </c>
      <c r="E72">
        <f>SUMIFS('data (1)'!$M:$M,'data (1)'!$A:$A,XYZ!E$1,'data (1)'!$J:$J,XYZ!$A72)</f>
        <v>2</v>
      </c>
      <c r="F72">
        <f>SUMIFS('data (1)'!$M:$M,'data (1)'!$A:$A,XYZ!F$1,'data (1)'!$J:$J,XYZ!$A72)</f>
        <v>1</v>
      </c>
      <c r="G72">
        <f>SUMIFS('data (1)'!$M:$M,'data (1)'!$A:$A,XYZ!G$1,'data (1)'!$J:$J,XYZ!$A72)</f>
        <v>1</v>
      </c>
    </row>
    <row r="73" spans="1:7" x14ac:dyDescent="0.15">
      <c r="A73" t="s">
        <v>121</v>
      </c>
      <c r="B73" s="11">
        <f t="shared" si="1"/>
        <v>1.0458250331675945</v>
      </c>
      <c r="C73">
        <f>SUMIFS('data (1)'!$M:$M,'data (1)'!$A:$A,XYZ!C$1,'data (1)'!$J:$J,XYZ!$A73)</f>
        <v>2</v>
      </c>
      <c r="D73">
        <f>SUMIFS('data (1)'!$M:$M,'data (1)'!$A:$A,XYZ!D$1,'data (1)'!$J:$J,XYZ!$A73)</f>
        <v>0</v>
      </c>
      <c r="E73">
        <f>SUMIFS('data (1)'!$M:$M,'data (1)'!$A:$A,XYZ!E$1,'data (1)'!$J:$J,XYZ!$A73)</f>
        <v>1</v>
      </c>
      <c r="F73">
        <f>SUMIFS('data (1)'!$M:$M,'data (1)'!$A:$A,XYZ!F$1,'data (1)'!$J:$J,XYZ!$A73)</f>
        <v>0</v>
      </c>
      <c r="G73">
        <f>SUMIFS('data (1)'!$M:$M,'data (1)'!$A:$A,XYZ!G$1,'data (1)'!$J:$J,XYZ!$A73)</f>
        <v>1</v>
      </c>
    </row>
    <row r="74" spans="1:7" x14ac:dyDescent="0.15">
      <c r="A74" t="s">
        <v>75</v>
      </c>
      <c r="B74" s="11">
        <f t="shared" si="1"/>
        <v>1.6298006013006621</v>
      </c>
      <c r="C74">
        <f>SUMIFS('data (1)'!$M:$M,'data (1)'!$A:$A,XYZ!C$1,'data (1)'!$J:$J,XYZ!$A74)</f>
        <v>3</v>
      </c>
      <c r="D74">
        <f>SUMIFS('data (1)'!$M:$M,'data (1)'!$A:$A,XYZ!D$1,'data (1)'!$J:$J,XYZ!$A74)</f>
        <v>1</v>
      </c>
      <c r="E74">
        <f>SUMIFS('data (1)'!$M:$M,'data (1)'!$A:$A,XYZ!E$1,'data (1)'!$J:$J,XYZ!$A74)</f>
        <v>0</v>
      </c>
      <c r="F74">
        <f>SUMIFS('data (1)'!$M:$M,'data (1)'!$A:$A,XYZ!F$1,'data (1)'!$J:$J,XYZ!$A74)</f>
        <v>0</v>
      </c>
      <c r="G74">
        <f>SUMIFS('data (1)'!$M:$M,'data (1)'!$A:$A,XYZ!G$1,'data (1)'!$J:$J,XYZ!$A74)</f>
        <v>0</v>
      </c>
    </row>
    <row r="75" spans="1:7" x14ac:dyDescent="0.15">
      <c r="A75" t="s">
        <v>384</v>
      </c>
      <c r="B75" s="11">
        <f t="shared" si="1"/>
        <v>0.55901699437494734</v>
      </c>
      <c r="C75">
        <f>SUMIFS('data (1)'!$M:$M,'data (1)'!$A:$A,XYZ!C$1,'data (1)'!$J:$J,XYZ!$A75)</f>
        <v>1</v>
      </c>
      <c r="D75">
        <f>SUMIFS('data (1)'!$M:$M,'data (1)'!$A:$A,XYZ!D$1,'data (1)'!$J:$J,XYZ!$A75)</f>
        <v>1</v>
      </c>
      <c r="E75">
        <f>SUMIFS('data (1)'!$M:$M,'data (1)'!$A:$A,XYZ!E$1,'data (1)'!$J:$J,XYZ!$A75)</f>
        <v>1</v>
      </c>
      <c r="F75">
        <f>SUMIFS('data (1)'!$M:$M,'data (1)'!$A:$A,XYZ!F$1,'data (1)'!$J:$J,XYZ!$A75)</f>
        <v>0</v>
      </c>
      <c r="G75">
        <f>SUMIFS('data (1)'!$M:$M,'data (1)'!$A:$A,XYZ!G$1,'data (1)'!$J:$J,XYZ!$A75)</f>
        <v>1</v>
      </c>
    </row>
    <row r="76" spans="1:7" x14ac:dyDescent="0.15">
      <c r="A76" t="s">
        <v>986</v>
      </c>
      <c r="B76" s="11">
        <f t="shared" si="1"/>
        <v>1.6298006013006621</v>
      </c>
      <c r="C76">
        <f>SUMIFS('data (1)'!$M:$M,'data (1)'!$A:$A,XYZ!C$1,'data (1)'!$J:$J,XYZ!$A76)</f>
        <v>0</v>
      </c>
      <c r="D76">
        <f>SUMIFS('data (1)'!$M:$M,'data (1)'!$A:$A,XYZ!D$1,'data (1)'!$J:$J,XYZ!$A76)</f>
        <v>0</v>
      </c>
      <c r="E76">
        <f>SUMIFS('data (1)'!$M:$M,'data (1)'!$A:$A,XYZ!E$1,'data (1)'!$J:$J,XYZ!$A76)</f>
        <v>0</v>
      </c>
      <c r="F76">
        <f>SUMIFS('data (1)'!$M:$M,'data (1)'!$A:$A,XYZ!F$1,'data (1)'!$J:$J,XYZ!$A76)</f>
        <v>3</v>
      </c>
      <c r="G76">
        <f>SUMIFS('data (1)'!$M:$M,'data (1)'!$A:$A,XYZ!G$1,'data (1)'!$J:$J,XYZ!$A76)</f>
        <v>1</v>
      </c>
    </row>
    <row r="77" spans="1:7" x14ac:dyDescent="0.15">
      <c r="A77" t="s">
        <v>1227</v>
      </c>
      <c r="B77" s="11">
        <f t="shared" si="1"/>
        <v>2.2360679774997894</v>
      </c>
      <c r="C77">
        <f>SUMIFS('data (1)'!$M:$M,'data (1)'!$A:$A,XYZ!C$1,'data (1)'!$J:$J,XYZ!$A77)</f>
        <v>0</v>
      </c>
      <c r="D77">
        <f>SUMIFS('data (1)'!$M:$M,'data (1)'!$A:$A,XYZ!D$1,'data (1)'!$J:$J,XYZ!$A77)</f>
        <v>0</v>
      </c>
      <c r="E77">
        <f>SUMIFS('data (1)'!$M:$M,'data (1)'!$A:$A,XYZ!E$1,'data (1)'!$J:$J,XYZ!$A77)</f>
        <v>0</v>
      </c>
      <c r="F77">
        <f>SUMIFS('data (1)'!$M:$M,'data (1)'!$A:$A,XYZ!F$1,'data (1)'!$J:$J,XYZ!$A77)</f>
        <v>0</v>
      </c>
      <c r="G77">
        <f>SUMIFS('data (1)'!$M:$M,'data (1)'!$A:$A,XYZ!G$1,'data (1)'!$J:$J,XYZ!$A77)</f>
        <v>4</v>
      </c>
    </row>
    <row r="78" spans="1:7" x14ac:dyDescent="0.15">
      <c r="A78" t="s">
        <v>834</v>
      </c>
      <c r="B78" s="11">
        <f t="shared" si="1"/>
        <v>1.0458250331675945</v>
      </c>
      <c r="C78">
        <f>SUMIFS('data (1)'!$M:$M,'data (1)'!$A:$A,XYZ!C$1,'data (1)'!$J:$J,XYZ!$A78)</f>
        <v>0</v>
      </c>
      <c r="D78">
        <f>SUMIFS('data (1)'!$M:$M,'data (1)'!$A:$A,XYZ!D$1,'data (1)'!$J:$J,XYZ!$A78)</f>
        <v>0</v>
      </c>
      <c r="E78">
        <f>SUMIFS('data (1)'!$M:$M,'data (1)'!$A:$A,XYZ!E$1,'data (1)'!$J:$J,XYZ!$A78)</f>
        <v>1</v>
      </c>
      <c r="F78">
        <f>SUMIFS('data (1)'!$M:$M,'data (1)'!$A:$A,XYZ!F$1,'data (1)'!$J:$J,XYZ!$A78)</f>
        <v>2</v>
      </c>
      <c r="G78">
        <f>SUMIFS('data (1)'!$M:$M,'data (1)'!$A:$A,XYZ!G$1,'data (1)'!$J:$J,XYZ!$A78)</f>
        <v>1</v>
      </c>
    </row>
    <row r="79" spans="1:7" x14ac:dyDescent="0.15">
      <c r="A79" t="s">
        <v>551</v>
      </c>
      <c r="B79" s="11">
        <f t="shared" si="1"/>
        <v>2.2360679774997898</v>
      </c>
      <c r="C79">
        <f>SUMIFS('data (1)'!$M:$M,'data (1)'!$A:$A,XYZ!C$1,'data (1)'!$J:$J,XYZ!$A79)</f>
        <v>0</v>
      </c>
      <c r="D79">
        <f>SUMIFS('data (1)'!$M:$M,'data (1)'!$A:$A,XYZ!D$1,'data (1)'!$J:$J,XYZ!$A79)</f>
        <v>3</v>
      </c>
      <c r="E79">
        <f>SUMIFS('data (1)'!$M:$M,'data (1)'!$A:$A,XYZ!E$1,'data (1)'!$J:$J,XYZ!$A79)</f>
        <v>0</v>
      </c>
      <c r="F79">
        <f>SUMIFS('data (1)'!$M:$M,'data (1)'!$A:$A,XYZ!F$1,'data (1)'!$J:$J,XYZ!$A79)</f>
        <v>0</v>
      </c>
      <c r="G79">
        <f>SUMIFS('data (1)'!$M:$M,'data (1)'!$A:$A,XYZ!G$1,'data (1)'!$J:$J,XYZ!$A79)</f>
        <v>0</v>
      </c>
    </row>
    <row r="80" spans="1:7" x14ac:dyDescent="0.15">
      <c r="A80" t="s">
        <v>128</v>
      </c>
      <c r="B80" s="11">
        <f t="shared" si="1"/>
        <v>0.91287092917527679</v>
      </c>
      <c r="C80">
        <f>SUMIFS('data (1)'!$M:$M,'data (1)'!$A:$A,XYZ!C$1,'data (1)'!$J:$J,XYZ!$A80)</f>
        <v>1</v>
      </c>
      <c r="D80">
        <f>SUMIFS('data (1)'!$M:$M,'data (1)'!$A:$A,XYZ!D$1,'data (1)'!$J:$J,XYZ!$A80)</f>
        <v>0</v>
      </c>
      <c r="E80">
        <f>SUMIFS('data (1)'!$M:$M,'data (1)'!$A:$A,XYZ!E$1,'data (1)'!$J:$J,XYZ!$A80)</f>
        <v>1</v>
      </c>
      <c r="F80">
        <f>SUMIFS('data (1)'!$M:$M,'data (1)'!$A:$A,XYZ!F$1,'data (1)'!$J:$J,XYZ!$A80)</f>
        <v>1</v>
      </c>
      <c r="G80">
        <f>SUMIFS('data (1)'!$M:$M,'data (1)'!$A:$A,XYZ!G$1,'data (1)'!$J:$J,XYZ!$A80)</f>
        <v>0</v>
      </c>
    </row>
    <row r="81" spans="1:7" x14ac:dyDescent="0.15">
      <c r="A81" t="s">
        <v>571</v>
      </c>
      <c r="B81" s="11">
        <f t="shared" si="1"/>
        <v>0.91287092917527679</v>
      </c>
      <c r="C81">
        <f>SUMIFS('data (1)'!$M:$M,'data (1)'!$A:$A,XYZ!C$1,'data (1)'!$J:$J,XYZ!$A81)</f>
        <v>0</v>
      </c>
      <c r="D81">
        <f>SUMIFS('data (1)'!$M:$M,'data (1)'!$A:$A,XYZ!D$1,'data (1)'!$J:$J,XYZ!$A81)</f>
        <v>1</v>
      </c>
      <c r="E81">
        <f>SUMIFS('data (1)'!$M:$M,'data (1)'!$A:$A,XYZ!E$1,'data (1)'!$J:$J,XYZ!$A81)</f>
        <v>1</v>
      </c>
      <c r="F81">
        <f>SUMIFS('data (1)'!$M:$M,'data (1)'!$A:$A,XYZ!F$1,'data (1)'!$J:$J,XYZ!$A81)</f>
        <v>1</v>
      </c>
      <c r="G81">
        <f>SUMIFS('data (1)'!$M:$M,'data (1)'!$A:$A,XYZ!G$1,'data (1)'!$J:$J,XYZ!$A81)</f>
        <v>0</v>
      </c>
    </row>
    <row r="82" spans="1:7" x14ac:dyDescent="0.15">
      <c r="A82" t="s">
        <v>829</v>
      </c>
      <c r="B82" s="11">
        <f t="shared" si="1"/>
        <v>1.4907119849998598</v>
      </c>
      <c r="C82">
        <f>SUMIFS('data (1)'!$M:$M,'data (1)'!$A:$A,XYZ!C$1,'data (1)'!$J:$J,XYZ!$A82)</f>
        <v>0</v>
      </c>
      <c r="D82">
        <f>SUMIFS('data (1)'!$M:$M,'data (1)'!$A:$A,XYZ!D$1,'data (1)'!$J:$J,XYZ!$A82)</f>
        <v>0</v>
      </c>
      <c r="E82">
        <f>SUMIFS('data (1)'!$M:$M,'data (1)'!$A:$A,XYZ!E$1,'data (1)'!$J:$J,XYZ!$A82)</f>
        <v>2</v>
      </c>
      <c r="F82">
        <f>SUMIFS('data (1)'!$M:$M,'data (1)'!$A:$A,XYZ!F$1,'data (1)'!$J:$J,XYZ!$A82)</f>
        <v>1</v>
      </c>
      <c r="G82">
        <f>SUMIFS('data (1)'!$M:$M,'data (1)'!$A:$A,XYZ!G$1,'data (1)'!$J:$J,XYZ!$A82)</f>
        <v>0</v>
      </c>
    </row>
    <row r="83" spans="1:7" x14ac:dyDescent="0.15">
      <c r="A83" t="s">
        <v>998</v>
      </c>
      <c r="B83" s="11">
        <f t="shared" si="1"/>
        <v>1.4907119849998598</v>
      </c>
      <c r="C83">
        <f>SUMIFS('data (1)'!$M:$M,'data (1)'!$A:$A,XYZ!C$1,'data (1)'!$J:$J,XYZ!$A83)</f>
        <v>0</v>
      </c>
      <c r="D83">
        <f>SUMIFS('data (1)'!$M:$M,'data (1)'!$A:$A,XYZ!D$1,'data (1)'!$J:$J,XYZ!$A83)</f>
        <v>0</v>
      </c>
      <c r="E83">
        <f>SUMIFS('data (1)'!$M:$M,'data (1)'!$A:$A,XYZ!E$1,'data (1)'!$J:$J,XYZ!$A83)</f>
        <v>0</v>
      </c>
      <c r="F83">
        <f>SUMIFS('data (1)'!$M:$M,'data (1)'!$A:$A,XYZ!F$1,'data (1)'!$J:$J,XYZ!$A83)</f>
        <v>2</v>
      </c>
      <c r="G83">
        <f>SUMIFS('data (1)'!$M:$M,'data (1)'!$A:$A,XYZ!G$1,'data (1)'!$J:$J,XYZ!$A83)</f>
        <v>1</v>
      </c>
    </row>
    <row r="84" spans="1:7" x14ac:dyDescent="0.15">
      <c r="A84" t="s">
        <v>307</v>
      </c>
      <c r="B84" s="11">
        <f t="shared" si="1"/>
        <v>1.4907119849998598</v>
      </c>
      <c r="C84">
        <f>SUMIFS('data (1)'!$M:$M,'data (1)'!$A:$A,XYZ!C$1,'data (1)'!$J:$J,XYZ!$A84)</f>
        <v>1</v>
      </c>
      <c r="D84">
        <f>SUMIFS('data (1)'!$M:$M,'data (1)'!$A:$A,XYZ!D$1,'data (1)'!$J:$J,XYZ!$A84)</f>
        <v>2</v>
      </c>
      <c r="E84">
        <f>SUMIFS('data (1)'!$M:$M,'data (1)'!$A:$A,XYZ!E$1,'data (1)'!$J:$J,XYZ!$A84)</f>
        <v>0</v>
      </c>
      <c r="F84">
        <f>SUMIFS('data (1)'!$M:$M,'data (1)'!$A:$A,XYZ!F$1,'data (1)'!$J:$J,XYZ!$A84)</f>
        <v>0</v>
      </c>
      <c r="G84">
        <f>SUMIFS('data (1)'!$M:$M,'data (1)'!$A:$A,XYZ!G$1,'data (1)'!$J:$J,XYZ!$A84)</f>
        <v>0</v>
      </c>
    </row>
    <row r="85" spans="1:7" x14ac:dyDescent="0.15">
      <c r="A85" t="s">
        <v>553</v>
      </c>
      <c r="B85" s="11">
        <f t="shared" si="1"/>
        <v>0.91287092917527679</v>
      </c>
      <c r="C85">
        <f>SUMIFS('data (1)'!$M:$M,'data (1)'!$A:$A,XYZ!C$1,'data (1)'!$J:$J,XYZ!$A85)</f>
        <v>0</v>
      </c>
      <c r="D85">
        <f>SUMIFS('data (1)'!$M:$M,'data (1)'!$A:$A,XYZ!D$1,'data (1)'!$J:$J,XYZ!$A85)</f>
        <v>1</v>
      </c>
      <c r="E85">
        <f>SUMIFS('data (1)'!$M:$M,'data (1)'!$A:$A,XYZ!E$1,'data (1)'!$J:$J,XYZ!$A85)</f>
        <v>1</v>
      </c>
      <c r="F85">
        <f>SUMIFS('data (1)'!$M:$M,'data (1)'!$A:$A,XYZ!F$1,'data (1)'!$J:$J,XYZ!$A85)</f>
        <v>0</v>
      </c>
      <c r="G85">
        <f>SUMIFS('data (1)'!$M:$M,'data (1)'!$A:$A,XYZ!G$1,'data (1)'!$J:$J,XYZ!$A85)</f>
        <v>1</v>
      </c>
    </row>
    <row r="86" spans="1:7" x14ac:dyDescent="0.15">
      <c r="A86" t="s">
        <v>385</v>
      </c>
      <c r="B86" s="11">
        <f t="shared" si="1"/>
        <v>0.91287092917527679</v>
      </c>
      <c r="C86">
        <f>SUMIFS('data (1)'!$M:$M,'data (1)'!$A:$A,XYZ!C$1,'data (1)'!$J:$J,XYZ!$A86)</f>
        <v>1</v>
      </c>
      <c r="D86">
        <f>SUMIFS('data (1)'!$M:$M,'data (1)'!$A:$A,XYZ!D$1,'data (1)'!$J:$J,XYZ!$A86)</f>
        <v>1</v>
      </c>
      <c r="E86">
        <f>SUMIFS('data (1)'!$M:$M,'data (1)'!$A:$A,XYZ!E$1,'data (1)'!$J:$J,XYZ!$A86)</f>
        <v>1</v>
      </c>
      <c r="F86">
        <f>SUMIFS('data (1)'!$M:$M,'data (1)'!$A:$A,XYZ!F$1,'data (1)'!$J:$J,XYZ!$A86)</f>
        <v>0</v>
      </c>
      <c r="G86">
        <f>SUMIFS('data (1)'!$M:$M,'data (1)'!$A:$A,XYZ!G$1,'data (1)'!$J:$J,XYZ!$A86)</f>
        <v>0</v>
      </c>
    </row>
    <row r="87" spans="1:7" x14ac:dyDescent="0.15">
      <c r="A87" t="s">
        <v>821</v>
      </c>
      <c r="B87" s="11">
        <f t="shared" si="1"/>
        <v>1.4907119849998598</v>
      </c>
      <c r="C87">
        <f>SUMIFS('data (1)'!$M:$M,'data (1)'!$A:$A,XYZ!C$1,'data (1)'!$J:$J,XYZ!$A87)</f>
        <v>0</v>
      </c>
      <c r="D87">
        <f>SUMIFS('data (1)'!$M:$M,'data (1)'!$A:$A,XYZ!D$1,'data (1)'!$J:$J,XYZ!$A87)</f>
        <v>0</v>
      </c>
      <c r="E87">
        <f>SUMIFS('data (1)'!$M:$M,'data (1)'!$A:$A,XYZ!E$1,'data (1)'!$J:$J,XYZ!$A87)</f>
        <v>1</v>
      </c>
      <c r="F87">
        <f>SUMIFS('data (1)'!$M:$M,'data (1)'!$A:$A,XYZ!F$1,'data (1)'!$J:$J,XYZ!$A87)</f>
        <v>0</v>
      </c>
      <c r="G87">
        <f>SUMIFS('data (1)'!$M:$M,'data (1)'!$A:$A,XYZ!G$1,'data (1)'!$J:$J,XYZ!$A87)</f>
        <v>2</v>
      </c>
    </row>
    <row r="88" spans="1:7" x14ac:dyDescent="0.15">
      <c r="A88" t="s">
        <v>312</v>
      </c>
      <c r="B88" s="11">
        <f t="shared" si="1"/>
        <v>0.91287092917527679</v>
      </c>
      <c r="C88">
        <f>SUMIFS('data (1)'!$M:$M,'data (1)'!$A:$A,XYZ!C$1,'data (1)'!$J:$J,XYZ!$A88)</f>
        <v>1</v>
      </c>
      <c r="D88">
        <f>SUMIFS('data (1)'!$M:$M,'data (1)'!$A:$A,XYZ!D$1,'data (1)'!$J:$J,XYZ!$A88)</f>
        <v>0</v>
      </c>
      <c r="E88">
        <f>SUMIFS('data (1)'!$M:$M,'data (1)'!$A:$A,XYZ!E$1,'data (1)'!$J:$J,XYZ!$A88)</f>
        <v>0</v>
      </c>
      <c r="F88">
        <f>SUMIFS('data (1)'!$M:$M,'data (1)'!$A:$A,XYZ!F$1,'data (1)'!$J:$J,XYZ!$A88)</f>
        <v>1</v>
      </c>
      <c r="G88">
        <f>SUMIFS('data (1)'!$M:$M,'data (1)'!$A:$A,XYZ!G$1,'data (1)'!$J:$J,XYZ!$A88)</f>
        <v>1</v>
      </c>
    </row>
    <row r="89" spans="1:7" x14ac:dyDescent="0.15">
      <c r="A89" t="s">
        <v>433</v>
      </c>
      <c r="B89" s="11">
        <f t="shared" si="1"/>
        <v>1.4907119849998598</v>
      </c>
      <c r="C89">
        <f>SUMIFS('data (1)'!$M:$M,'data (1)'!$A:$A,XYZ!C$1,'data (1)'!$J:$J,XYZ!$A89)</f>
        <v>2</v>
      </c>
      <c r="D89">
        <f>SUMIFS('data (1)'!$M:$M,'data (1)'!$A:$A,XYZ!D$1,'data (1)'!$J:$J,XYZ!$A89)</f>
        <v>0</v>
      </c>
      <c r="E89">
        <f>SUMIFS('data (1)'!$M:$M,'data (1)'!$A:$A,XYZ!E$1,'data (1)'!$J:$J,XYZ!$A89)</f>
        <v>1</v>
      </c>
      <c r="F89">
        <f>SUMIFS('data (1)'!$M:$M,'data (1)'!$A:$A,XYZ!F$1,'data (1)'!$J:$J,XYZ!$A89)</f>
        <v>0</v>
      </c>
      <c r="G89">
        <f>SUMIFS('data (1)'!$M:$M,'data (1)'!$A:$A,XYZ!G$1,'data (1)'!$J:$J,XYZ!$A89)</f>
        <v>0</v>
      </c>
    </row>
    <row r="90" spans="1:7" x14ac:dyDescent="0.15">
      <c r="A90" t="s">
        <v>392</v>
      </c>
      <c r="B90" s="11">
        <f t="shared" si="1"/>
        <v>1.4907119849998598</v>
      </c>
      <c r="C90">
        <f>SUMIFS('data (1)'!$M:$M,'data (1)'!$A:$A,XYZ!C$1,'data (1)'!$J:$J,XYZ!$A90)</f>
        <v>1</v>
      </c>
      <c r="D90">
        <f>SUMIFS('data (1)'!$M:$M,'data (1)'!$A:$A,XYZ!D$1,'data (1)'!$J:$J,XYZ!$A90)</f>
        <v>0</v>
      </c>
      <c r="E90">
        <f>SUMIFS('data (1)'!$M:$M,'data (1)'!$A:$A,XYZ!E$1,'data (1)'!$J:$J,XYZ!$A90)</f>
        <v>0</v>
      </c>
      <c r="F90">
        <f>SUMIFS('data (1)'!$M:$M,'data (1)'!$A:$A,XYZ!F$1,'data (1)'!$J:$J,XYZ!$A90)</f>
        <v>0</v>
      </c>
      <c r="G90">
        <f>SUMIFS('data (1)'!$M:$M,'data (1)'!$A:$A,XYZ!G$1,'data (1)'!$J:$J,XYZ!$A90)</f>
        <v>2</v>
      </c>
    </row>
    <row r="91" spans="1:7" x14ac:dyDescent="0.15">
      <c r="A91" t="s">
        <v>364</v>
      </c>
      <c r="B91" s="11">
        <f t="shared" si="1"/>
        <v>1.4907119849998598</v>
      </c>
      <c r="C91">
        <f>SUMIFS('data (1)'!$M:$M,'data (1)'!$A:$A,XYZ!C$1,'data (1)'!$J:$J,XYZ!$A91)</f>
        <v>2</v>
      </c>
      <c r="D91">
        <f>SUMIFS('data (1)'!$M:$M,'data (1)'!$A:$A,XYZ!D$1,'data (1)'!$J:$J,XYZ!$A91)</f>
        <v>0</v>
      </c>
      <c r="E91">
        <f>SUMIFS('data (1)'!$M:$M,'data (1)'!$A:$A,XYZ!E$1,'data (1)'!$J:$J,XYZ!$A91)</f>
        <v>0</v>
      </c>
      <c r="F91">
        <f>SUMIFS('data (1)'!$M:$M,'data (1)'!$A:$A,XYZ!F$1,'data (1)'!$J:$J,XYZ!$A91)</f>
        <v>0</v>
      </c>
      <c r="G91">
        <f>SUMIFS('data (1)'!$M:$M,'data (1)'!$A:$A,XYZ!G$1,'data (1)'!$J:$J,XYZ!$A91)</f>
        <v>1</v>
      </c>
    </row>
    <row r="92" spans="1:7" x14ac:dyDescent="0.15">
      <c r="A92" t="s">
        <v>395</v>
      </c>
      <c r="B92" s="11">
        <f t="shared" si="1"/>
        <v>1.4907119849998598</v>
      </c>
      <c r="C92">
        <f>SUMIFS('data (1)'!$M:$M,'data (1)'!$A:$A,XYZ!C$1,'data (1)'!$J:$J,XYZ!$A92)</f>
        <v>2</v>
      </c>
      <c r="D92">
        <f>SUMIFS('data (1)'!$M:$M,'data (1)'!$A:$A,XYZ!D$1,'data (1)'!$J:$J,XYZ!$A92)</f>
        <v>0</v>
      </c>
      <c r="E92">
        <f>SUMIFS('data (1)'!$M:$M,'data (1)'!$A:$A,XYZ!E$1,'data (1)'!$J:$J,XYZ!$A92)</f>
        <v>0</v>
      </c>
      <c r="F92">
        <f>SUMIFS('data (1)'!$M:$M,'data (1)'!$A:$A,XYZ!F$1,'data (1)'!$J:$J,XYZ!$A92)</f>
        <v>1</v>
      </c>
      <c r="G92">
        <f>SUMIFS('data (1)'!$M:$M,'data (1)'!$A:$A,XYZ!G$1,'data (1)'!$J:$J,XYZ!$A92)</f>
        <v>0</v>
      </c>
    </row>
    <row r="93" spans="1:7" x14ac:dyDescent="0.15">
      <c r="A93" t="s">
        <v>107</v>
      </c>
      <c r="B93" s="11">
        <f t="shared" si="1"/>
        <v>1.4907119849998598</v>
      </c>
      <c r="C93">
        <f>SUMIFS('data (1)'!$M:$M,'data (1)'!$A:$A,XYZ!C$1,'data (1)'!$J:$J,XYZ!$A93)</f>
        <v>1</v>
      </c>
      <c r="D93">
        <f>SUMIFS('data (1)'!$M:$M,'data (1)'!$A:$A,XYZ!D$1,'data (1)'!$J:$J,XYZ!$A93)</f>
        <v>0</v>
      </c>
      <c r="E93">
        <f>SUMIFS('data (1)'!$M:$M,'data (1)'!$A:$A,XYZ!E$1,'data (1)'!$J:$J,XYZ!$A93)</f>
        <v>0</v>
      </c>
      <c r="F93">
        <f>SUMIFS('data (1)'!$M:$M,'data (1)'!$A:$A,XYZ!F$1,'data (1)'!$J:$J,XYZ!$A93)</f>
        <v>2</v>
      </c>
      <c r="G93">
        <f>SUMIFS('data (1)'!$M:$M,'data (1)'!$A:$A,XYZ!G$1,'data (1)'!$J:$J,XYZ!$A93)</f>
        <v>0</v>
      </c>
    </row>
    <row r="94" spans="1:7" x14ac:dyDescent="0.15">
      <c r="A94" t="s">
        <v>337</v>
      </c>
      <c r="B94" s="11">
        <f t="shared" si="1"/>
        <v>2.2360679774997898</v>
      </c>
      <c r="C94">
        <f>SUMIFS('data (1)'!$M:$M,'data (1)'!$A:$A,XYZ!C$1,'data (1)'!$J:$J,XYZ!$A94)</f>
        <v>3</v>
      </c>
      <c r="D94">
        <f>SUMIFS('data (1)'!$M:$M,'data (1)'!$A:$A,XYZ!D$1,'data (1)'!$J:$J,XYZ!$A94)</f>
        <v>0</v>
      </c>
      <c r="E94">
        <f>SUMIFS('data (1)'!$M:$M,'data (1)'!$A:$A,XYZ!E$1,'data (1)'!$J:$J,XYZ!$A94)</f>
        <v>0</v>
      </c>
      <c r="F94">
        <f>SUMIFS('data (1)'!$M:$M,'data (1)'!$A:$A,XYZ!F$1,'data (1)'!$J:$J,XYZ!$A94)</f>
        <v>0</v>
      </c>
      <c r="G94">
        <f>SUMIFS('data (1)'!$M:$M,'data (1)'!$A:$A,XYZ!G$1,'data (1)'!$J:$J,XYZ!$A94)</f>
        <v>0</v>
      </c>
    </row>
    <row r="95" spans="1:7" x14ac:dyDescent="0.15">
      <c r="A95" t="s">
        <v>434</v>
      </c>
      <c r="B95" s="11">
        <f t="shared" si="1"/>
        <v>2.2360679774997898</v>
      </c>
      <c r="C95">
        <f>SUMIFS('data (1)'!$M:$M,'data (1)'!$A:$A,XYZ!C$1,'data (1)'!$J:$J,XYZ!$A95)</f>
        <v>3</v>
      </c>
      <c r="D95">
        <f>SUMIFS('data (1)'!$M:$M,'data (1)'!$A:$A,XYZ!D$1,'data (1)'!$J:$J,XYZ!$A95)</f>
        <v>0</v>
      </c>
      <c r="E95">
        <f>SUMIFS('data (1)'!$M:$M,'data (1)'!$A:$A,XYZ!E$1,'data (1)'!$J:$J,XYZ!$A95)</f>
        <v>0</v>
      </c>
      <c r="F95">
        <f>SUMIFS('data (1)'!$M:$M,'data (1)'!$A:$A,XYZ!F$1,'data (1)'!$J:$J,XYZ!$A95)</f>
        <v>0</v>
      </c>
      <c r="G95">
        <f>SUMIFS('data (1)'!$M:$M,'data (1)'!$A:$A,XYZ!G$1,'data (1)'!$J:$J,XYZ!$A95)</f>
        <v>0</v>
      </c>
    </row>
    <row r="96" spans="1:7" x14ac:dyDescent="0.15">
      <c r="A96" t="s">
        <v>138</v>
      </c>
      <c r="B96" s="11">
        <f t="shared" si="1"/>
        <v>0.91287092917527679</v>
      </c>
      <c r="C96">
        <f>SUMIFS('data (1)'!$M:$M,'data (1)'!$A:$A,XYZ!C$1,'data (1)'!$J:$J,XYZ!$A96)</f>
        <v>1</v>
      </c>
      <c r="D96">
        <f>SUMIFS('data (1)'!$M:$M,'data (1)'!$A:$A,XYZ!D$1,'data (1)'!$J:$J,XYZ!$A96)</f>
        <v>1</v>
      </c>
      <c r="E96">
        <f>SUMIFS('data (1)'!$M:$M,'data (1)'!$A:$A,XYZ!E$1,'data (1)'!$J:$J,XYZ!$A96)</f>
        <v>0</v>
      </c>
      <c r="F96">
        <f>SUMIFS('data (1)'!$M:$M,'data (1)'!$A:$A,XYZ!F$1,'data (1)'!$J:$J,XYZ!$A96)</f>
        <v>0</v>
      </c>
      <c r="G96">
        <f>SUMIFS('data (1)'!$M:$M,'data (1)'!$A:$A,XYZ!G$1,'data (1)'!$J:$J,XYZ!$A96)</f>
        <v>1</v>
      </c>
    </row>
    <row r="97" spans="1:7" x14ac:dyDescent="0.15">
      <c r="A97" t="s">
        <v>1013</v>
      </c>
      <c r="B97" s="11">
        <f t="shared" si="1"/>
        <v>1.4907119849998598</v>
      </c>
      <c r="C97">
        <f>SUMIFS('data (1)'!$M:$M,'data (1)'!$A:$A,XYZ!C$1,'data (1)'!$J:$J,XYZ!$A97)</f>
        <v>0</v>
      </c>
      <c r="D97">
        <f>SUMIFS('data (1)'!$M:$M,'data (1)'!$A:$A,XYZ!D$1,'data (1)'!$J:$J,XYZ!$A97)</f>
        <v>0</v>
      </c>
      <c r="E97">
        <f>SUMIFS('data (1)'!$M:$M,'data (1)'!$A:$A,XYZ!E$1,'data (1)'!$J:$J,XYZ!$A97)</f>
        <v>0</v>
      </c>
      <c r="F97">
        <f>SUMIFS('data (1)'!$M:$M,'data (1)'!$A:$A,XYZ!F$1,'data (1)'!$J:$J,XYZ!$A97)</f>
        <v>1</v>
      </c>
      <c r="G97">
        <f>SUMIFS('data (1)'!$M:$M,'data (1)'!$A:$A,XYZ!G$1,'data (1)'!$J:$J,XYZ!$A97)</f>
        <v>2</v>
      </c>
    </row>
    <row r="98" spans="1:7" x14ac:dyDescent="0.15">
      <c r="A98" t="s">
        <v>235</v>
      </c>
      <c r="B98" s="11">
        <f t="shared" si="1"/>
        <v>0.91287092917527679</v>
      </c>
      <c r="C98">
        <f>SUMIFS('data (1)'!$M:$M,'data (1)'!$A:$A,XYZ!C$1,'data (1)'!$J:$J,XYZ!$A98)</f>
        <v>1</v>
      </c>
      <c r="D98">
        <f>SUMIFS('data (1)'!$M:$M,'data (1)'!$A:$A,XYZ!D$1,'data (1)'!$J:$J,XYZ!$A98)</f>
        <v>0</v>
      </c>
      <c r="E98">
        <f>SUMIFS('data (1)'!$M:$M,'data (1)'!$A:$A,XYZ!E$1,'data (1)'!$J:$J,XYZ!$A98)</f>
        <v>0</v>
      </c>
      <c r="F98">
        <f>SUMIFS('data (1)'!$M:$M,'data (1)'!$A:$A,XYZ!F$1,'data (1)'!$J:$J,XYZ!$A98)</f>
        <v>1</v>
      </c>
      <c r="G98">
        <f>SUMIFS('data (1)'!$M:$M,'data (1)'!$A:$A,XYZ!G$1,'data (1)'!$J:$J,XYZ!$A98)</f>
        <v>1</v>
      </c>
    </row>
    <row r="99" spans="1:7" x14ac:dyDescent="0.15">
      <c r="A99" t="s">
        <v>180</v>
      </c>
      <c r="B99" s="11">
        <f t="shared" si="1"/>
        <v>1.4907119849998598</v>
      </c>
      <c r="C99">
        <f>SUMIFS('data (1)'!$M:$M,'data (1)'!$A:$A,XYZ!C$1,'data (1)'!$J:$J,XYZ!$A99)</f>
        <v>2</v>
      </c>
      <c r="D99">
        <f>SUMIFS('data (1)'!$M:$M,'data (1)'!$A:$A,XYZ!D$1,'data (1)'!$J:$J,XYZ!$A99)</f>
        <v>0</v>
      </c>
      <c r="E99">
        <f>SUMIFS('data (1)'!$M:$M,'data (1)'!$A:$A,XYZ!E$1,'data (1)'!$J:$J,XYZ!$A99)</f>
        <v>0</v>
      </c>
      <c r="F99">
        <f>SUMIFS('data (1)'!$M:$M,'data (1)'!$A:$A,XYZ!F$1,'data (1)'!$J:$J,XYZ!$A99)</f>
        <v>1</v>
      </c>
      <c r="G99">
        <f>SUMIFS('data (1)'!$M:$M,'data (1)'!$A:$A,XYZ!G$1,'data (1)'!$J:$J,XYZ!$A99)</f>
        <v>0</v>
      </c>
    </row>
    <row r="100" spans="1:7" x14ac:dyDescent="0.15">
      <c r="A100" t="s">
        <v>592</v>
      </c>
      <c r="B100" s="11">
        <f t="shared" si="1"/>
        <v>0.91287092917527679</v>
      </c>
      <c r="C100">
        <f>SUMIFS('data (1)'!$M:$M,'data (1)'!$A:$A,XYZ!C$1,'data (1)'!$J:$J,XYZ!$A100)</f>
        <v>0</v>
      </c>
      <c r="D100">
        <f>SUMIFS('data (1)'!$M:$M,'data (1)'!$A:$A,XYZ!D$1,'data (1)'!$J:$J,XYZ!$A100)</f>
        <v>1</v>
      </c>
      <c r="E100">
        <f>SUMIFS('data (1)'!$M:$M,'data (1)'!$A:$A,XYZ!E$1,'data (1)'!$J:$J,XYZ!$A100)</f>
        <v>1</v>
      </c>
      <c r="F100">
        <f>SUMIFS('data (1)'!$M:$M,'data (1)'!$A:$A,XYZ!F$1,'data (1)'!$J:$J,XYZ!$A100)</f>
        <v>1</v>
      </c>
      <c r="G100">
        <f>SUMIFS('data (1)'!$M:$M,'data (1)'!$A:$A,XYZ!G$1,'data (1)'!$J:$J,XYZ!$A100)</f>
        <v>0</v>
      </c>
    </row>
    <row r="101" spans="1:7" x14ac:dyDescent="0.15">
      <c r="A101" t="s">
        <v>288</v>
      </c>
      <c r="B101" s="11">
        <f t="shared" si="1"/>
        <v>1.4907119849998598</v>
      </c>
      <c r="C101">
        <f>SUMIFS('data (1)'!$M:$M,'data (1)'!$A:$A,XYZ!C$1,'data (1)'!$J:$J,XYZ!$A101)</f>
        <v>2</v>
      </c>
      <c r="D101">
        <f>SUMIFS('data (1)'!$M:$M,'data (1)'!$A:$A,XYZ!D$1,'data (1)'!$J:$J,XYZ!$A101)</f>
        <v>0</v>
      </c>
      <c r="E101">
        <f>SUMIFS('data (1)'!$M:$M,'data (1)'!$A:$A,XYZ!E$1,'data (1)'!$J:$J,XYZ!$A101)</f>
        <v>0</v>
      </c>
      <c r="F101">
        <f>SUMIFS('data (1)'!$M:$M,'data (1)'!$A:$A,XYZ!F$1,'data (1)'!$J:$J,XYZ!$A101)</f>
        <v>0</v>
      </c>
      <c r="G101">
        <f>SUMIFS('data (1)'!$M:$M,'data (1)'!$A:$A,XYZ!G$1,'data (1)'!$J:$J,XYZ!$A101)</f>
        <v>1</v>
      </c>
    </row>
    <row r="102" spans="1:7" x14ac:dyDescent="0.15">
      <c r="A102" t="s">
        <v>150</v>
      </c>
      <c r="B102" s="11">
        <f t="shared" si="1"/>
        <v>1.4907119849998598</v>
      </c>
      <c r="C102">
        <f>SUMIFS('data (1)'!$M:$M,'data (1)'!$A:$A,XYZ!C$1,'data (1)'!$J:$J,XYZ!$A102)</f>
        <v>1</v>
      </c>
      <c r="D102">
        <f>SUMIFS('data (1)'!$M:$M,'data (1)'!$A:$A,XYZ!D$1,'data (1)'!$J:$J,XYZ!$A102)</f>
        <v>2</v>
      </c>
      <c r="E102">
        <f>SUMIFS('data (1)'!$M:$M,'data (1)'!$A:$A,XYZ!E$1,'data (1)'!$J:$J,XYZ!$A102)</f>
        <v>0</v>
      </c>
      <c r="F102">
        <f>SUMIFS('data (1)'!$M:$M,'data (1)'!$A:$A,XYZ!F$1,'data (1)'!$J:$J,XYZ!$A102)</f>
        <v>0</v>
      </c>
      <c r="G102">
        <f>SUMIFS('data (1)'!$M:$M,'data (1)'!$A:$A,XYZ!G$1,'data (1)'!$J:$J,XYZ!$A102)</f>
        <v>0</v>
      </c>
    </row>
    <row r="103" spans="1:7" x14ac:dyDescent="0.15">
      <c r="A103" t="s">
        <v>522</v>
      </c>
      <c r="B103" s="11">
        <f t="shared" si="1"/>
        <v>1.4907119849998598</v>
      </c>
      <c r="C103">
        <f>SUMIFS('data (1)'!$M:$M,'data (1)'!$A:$A,XYZ!C$1,'data (1)'!$J:$J,XYZ!$A103)</f>
        <v>0</v>
      </c>
      <c r="D103">
        <f>SUMIFS('data (1)'!$M:$M,'data (1)'!$A:$A,XYZ!D$1,'data (1)'!$J:$J,XYZ!$A103)</f>
        <v>2</v>
      </c>
      <c r="E103">
        <f>SUMIFS('data (1)'!$M:$M,'data (1)'!$A:$A,XYZ!E$1,'data (1)'!$J:$J,XYZ!$A103)</f>
        <v>0</v>
      </c>
      <c r="F103">
        <f>SUMIFS('data (1)'!$M:$M,'data (1)'!$A:$A,XYZ!F$1,'data (1)'!$J:$J,XYZ!$A103)</f>
        <v>0</v>
      </c>
      <c r="G103">
        <f>SUMIFS('data (1)'!$M:$M,'data (1)'!$A:$A,XYZ!G$1,'data (1)'!$J:$J,XYZ!$A103)</f>
        <v>1</v>
      </c>
    </row>
    <row r="104" spans="1:7" x14ac:dyDescent="0.15">
      <c r="A104" t="s">
        <v>149</v>
      </c>
      <c r="B104" s="11">
        <f t="shared" si="1"/>
        <v>1.4907119849998598</v>
      </c>
      <c r="C104">
        <f>SUMIFS('data (1)'!$M:$M,'data (1)'!$A:$A,XYZ!C$1,'data (1)'!$J:$J,XYZ!$A104)</f>
        <v>2</v>
      </c>
      <c r="D104">
        <f>SUMIFS('data (1)'!$M:$M,'data (1)'!$A:$A,XYZ!D$1,'data (1)'!$J:$J,XYZ!$A104)</f>
        <v>0</v>
      </c>
      <c r="E104">
        <f>SUMIFS('data (1)'!$M:$M,'data (1)'!$A:$A,XYZ!E$1,'data (1)'!$J:$J,XYZ!$A104)</f>
        <v>0</v>
      </c>
      <c r="F104">
        <f>SUMIFS('data (1)'!$M:$M,'data (1)'!$A:$A,XYZ!F$1,'data (1)'!$J:$J,XYZ!$A104)</f>
        <v>1</v>
      </c>
      <c r="G104">
        <f>SUMIFS('data (1)'!$M:$M,'data (1)'!$A:$A,XYZ!G$1,'data (1)'!$J:$J,XYZ!$A104)</f>
        <v>0</v>
      </c>
    </row>
    <row r="105" spans="1:7" x14ac:dyDescent="0.15">
      <c r="A105" t="s">
        <v>610</v>
      </c>
      <c r="B105" s="11">
        <f t="shared" si="1"/>
        <v>1.4907119849998598</v>
      </c>
      <c r="C105">
        <f>SUMIFS('data (1)'!$M:$M,'data (1)'!$A:$A,XYZ!C$1,'data (1)'!$J:$J,XYZ!$A105)</f>
        <v>0</v>
      </c>
      <c r="D105">
        <f>SUMIFS('data (1)'!$M:$M,'data (1)'!$A:$A,XYZ!D$1,'data (1)'!$J:$J,XYZ!$A105)</f>
        <v>1</v>
      </c>
      <c r="E105">
        <f>SUMIFS('data (1)'!$M:$M,'data (1)'!$A:$A,XYZ!E$1,'data (1)'!$J:$J,XYZ!$A105)</f>
        <v>0</v>
      </c>
      <c r="F105">
        <f>SUMIFS('data (1)'!$M:$M,'data (1)'!$A:$A,XYZ!F$1,'data (1)'!$J:$J,XYZ!$A105)</f>
        <v>2</v>
      </c>
      <c r="G105">
        <f>SUMIFS('data (1)'!$M:$M,'data (1)'!$A:$A,XYZ!G$1,'data (1)'!$J:$J,XYZ!$A105)</f>
        <v>0</v>
      </c>
    </row>
    <row r="106" spans="1:7" x14ac:dyDescent="0.15">
      <c r="A106" t="s">
        <v>281</v>
      </c>
      <c r="B106" s="11">
        <f t="shared" si="1"/>
        <v>0.91287092917527679</v>
      </c>
      <c r="C106">
        <f>SUMIFS('data (1)'!$M:$M,'data (1)'!$A:$A,XYZ!C$1,'data (1)'!$J:$J,XYZ!$A106)</f>
        <v>1</v>
      </c>
      <c r="D106">
        <f>SUMIFS('data (1)'!$M:$M,'data (1)'!$A:$A,XYZ!D$1,'data (1)'!$J:$J,XYZ!$A106)</f>
        <v>0</v>
      </c>
      <c r="E106">
        <f>SUMIFS('data (1)'!$M:$M,'data (1)'!$A:$A,XYZ!E$1,'data (1)'!$J:$J,XYZ!$A106)</f>
        <v>0</v>
      </c>
      <c r="F106">
        <f>SUMIFS('data (1)'!$M:$M,'data (1)'!$A:$A,XYZ!F$1,'data (1)'!$J:$J,XYZ!$A106)</f>
        <v>1</v>
      </c>
      <c r="G106">
        <f>SUMIFS('data (1)'!$M:$M,'data (1)'!$A:$A,XYZ!G$1,'data (1)'!$J:$J,XYZ!$A106)</f>
        <v>1</v>
      </c>
    </row>
    <row r="107" spans="1:7" x14ac:dyDescent="0.15">
      <c r="A107" t="s">
        <v>1074</v>
      </c>
      <c r="B107" s="11">
        <f t="shared" si="1"/>
        <v>2.2360679774997898</v>
      </c>
      <c r="C107">
        <f>SUMIFS('data (1)'!$M:$M,'data (1)'!$A:$A,XYZ!C$1,'data (1)'!$J:$J,XYZ!$A107)</f>
        <v>0</v>
      </c>
      <c r="D107">
        <f>SUMIFS('data (1)'!$M:$M,'data (1)'!$A:$A,XYZ!D$1,'data (1)'!$J:$J,XYZ!$A107)</f>
        <v>0</v>
      </c>
      <c r="E107">
        <f>SUMIFS('data (1)'!$M:$M,'data (1)'!$A:$A,XYZ!E$1,'data (1)'!$J:$J,XYZ!$A107)</f>
        <v>0</v>
      </c>
      <c r="F107">
        <f>SUMIFS('data (1)'!$M:$M,'data (1)'!$A:$A,XYZ!F$1,'data (1)'!$J:$J,XYZ!$A107)</f>
        <v>3</v>
      </c>
      <c r="G107">
        <f>SUMIFS('data (1)'!$M:$M,'data (1)'!$A:$A,XYZ!G$1,'data (1)'!$J:$J,XYZ!$A107)</f>
        <v>0</v>
      </c>
    </row>
    <row r="108" spans="1:7" x14ac:dyDescent="0.15">
      <c r="A108" t="s">
        <v>944</v>
      </c>
      <c r="B108" s="11">
        <f t="shared" si="1"/>
        <v>1.4907119849998598</v>
      </c>
      <c r="C108">
        <f>SUMIFS('data (1)'!$M:$M,'data (1)'!$A:$A,XYZ!C$1,'data (1)'!$J:$J,XYZ!$A108)</f>
        <v>0</v>
      </c>
      <c r="D108">
        <f>SUMIFS('data (1)'!$M:$M,'data (1)'!$A:$A,XYZ!D$1,'data (1)'!$J:$J,XYZ!$A108)</f>
        <v>0</v>
      </c>
      <c r="E108">
        <f>SUMIFS('data (1)'!$M:$M,'data (1)'!$A:$A,XYZ!E$1,'data (1)'!$J:$J,XYZ!$A108)</f>
        <v>0</v>
      </c>
      <c r="F108">
        <f>SUMIFS('data (1)'!$M:$M,'data (1)'!$A:$A,XYZ!F$1,'data (1)'!$J:$J,XYZ!$A108)</f>
        <v>2</v>
      </c>
      <c r="G108">
        <f>SUMIFS('data (1)'!$M:$M,'data (1)'!$A:$A,XYZ!G$1,'data (1)'!$J:$J,XYZ!$A108)</f>
        <v>1</v>
      </c>
    </row>
    <row r="109" spans="1:7" x14ac:dyDescent="0.15">
      <c r="A109" t="s">
        <v>55</v>
      </c>
      <c r="B109" s="11">
        <f t="shared" si="1"/>
        <v>1.4907119849998598</v>
      </c>
      <c r="C109">
        <f>SUMIFS('data (1)'!$M:$M,'data (1)'!$A:$A,XYZ!C$1,'data (1)'!$J:$J,XYZ!$A109)</f>
        <v>2</v>
      </c>
      <c r="D109">
        <f>SUMIFS('data (1)'!$M:$M,'data (1)'!$A:$A,XYZ!D$1,'data (1)'!$J:$J,XYZ!$A109)</f>
        <v>1</v>
      </c>
      <c r="E109">
        <f>SUMIFS('data (1)'!$M:$M,'data (1)'!$A:$A,XYZ!E$1,'data (1)'!$J:$J,XYZ!$A109)</f>
        <v>0</v>
      </c>
      <c r="F109">
        <f>SUMIFS('data (1)'!$M:$M,'data (1)'!$A:$A,XYZ!F$1,'data (1)'!$J:$J,XYZ!$A109)</f>
        <v>0</v>
      </c>
      <c r="G109">
        <f>SUMIFS('data (1)'!$M:$M,'data (1)'!$A:$A,XYZ!G$1,'data (1)'!$J:$J,XYZ!$A109)</f>
        <v>0</v>
      </c>
    </row>
    <row r="110" spans="1:7" x14ac:dyDescent="0.15">
      <c r="A110" t="s">
        <v>293</v>
      </c>
      <c r="B110" s="11">
        <f t="shared" si="1"/>
        <v>0.91287092917527679</v>
      </c>
      <c r="C110">
        <f>SUMIFS('data (1)'!$M:$M,'data (1)'!$A:$A,XYZ!C$1,'data (1)'!$J:$J,XYZ!$A110)</f>
        <v>1</v>
      </c>
      <c r="D110">
        <f>SUMIFS('data (1)'!$M:$M,'data (1)'!$A:$A,XYZ!D$1,'data (1)'!$J:$J,XYZ!$A110)</f>
        <v>1</v>
      </c>
      <c r="E110">
        <f>SUMIFS('data (1)'!$M:$M,'data (1)'!$A:$A,XYZ!E$1,'data (1)'!$J:$J,XYZ!$A110)</f>
        <v>0</v>
      </c>
      <c r="F110">
        <f>SUMIFS('data (1)'!$M:$M,'data (1)'!$A:$A,XYZ!F$1,'data (1)'!$J:$J,XYZ!$A110)</f>
        <v>1</v>
      </c>
      <c r="G110">
        <f>SUMIFS('data (1)'!$M:$M,'data (1)'!$A:$A,XYZ!G$1,'data (1)'!$J:$J,XYZ!$A110)</f>
        <v>0</v>
      </c>
    </row>
    <row r="111" spans="1:7" x14ac:dyDescent="0.15">
      <c r="A111" t="s">
        <v>885</v>
      </c>
      <c r="B111" s="11">
        <f t="shared" si="1"/>
        <v>1.4907119849998598</v>
      </c>
      <c r="C111">
        <f>SUMIFS('data (1)'!$M:$M,'data (1)'!$A:$A,XYZ!C$1,'data (1)'!$J:$J,XYZ!$A111)</f>
        <v>0</v>
      </c>
      <c r="D111">
        <f>SUMIFS('data (1)'!$M:$M,'data (1)'!$A:$A,XYZ!D$1,'data (1)'!$J:$J,XYZ!$A111)</f>
        <v>0</v>
      </c>
      <c r="E111">
        <f>SUMIFS('data (1)'!$M:$M,'data (1)'!$A:$A,XYZ!E$1,'data (1)'!$J:$J,XYZ!$A111)</f>
        <v>1</v>
      </c>
      <c r="F111">
        <f>SUMIFS('data (1)'!$M:$M,'data (1)'!$A:$A,XYZ!F$1,'data (1)'!$J:$J,XYZ!$A111)</f>
        <v>0</v>
      </c>
      <c r="G111">
        <f>SUMIFS('data (1)'!$M:$M,'data (1)'!$A:$A,XYZ!G$1,'data (1)'!$J:$J,XYZ!$A111)</f>
        <v>2</v>
      </c>
    </row>
    <row r="112" spans="1:7" x14ac:dyDescent="0.15">
      <c r="A112" t="s">
        <v>349</v>
      </c>
      <c r="B112" s="11">
        <f t="shared" si="1"/>
        <v>2.2360679774997898</v>
      </c>
      <c r="C112">
        <f>SUMIFS('data (1)'!$M:$M,'data (1)'!$A:$A,XYZ!C$1,'data (1)'!$J:$J,XYZ!$A112)</f>
        <v>3</v>
      </c>
      <c r="D112">
        <f>SUMIFS('data (1)'!$M:$M,'data (1)'!$A:$A,XYZ!D$1,'data (1)'!$J:$J,XYZ!$A112)</f>
        <v>0</v>
      </c>
      <c r="E112">
        <f>SUMIFS('data (1)'!$M:$M,'data (1)'!$A:$A,XYZ!E$1,'data (1)'!$J:$J,XYZ!$A112)</f>
        <v>0</v>
      </c>
      <c r="F112">
        <f>SUMIFS('data (1)'!$M:$M,'data (1)'!$A:$A,XYZ!F$1,'data (1)'!$J:$J,XYZ!$A112)</f>
        <v>0</v>
      </c>
      <c r="G112">
        <f>SUMIFS('data (1)'!$M:$M,'data (1)'!$A:$A,XYZ!G$1,'data (1)'!$J:$J,XYZ!$A112)</f>
        <v>0</v>
      </c>
    </row>
    <row r="113" spans="1:7" x14ac:dyDescent="0.15">
      <c r="A113" t="s">
        <v>529</v>
      </c>
      <c r="B113" s="11">
        <f t="shared" si="1"/>
        <v>0.91287092917527679</v>
      </c>
      <c r="C113">
        <f>SUMIFS('data (1)'!$M:$M,'data (1)'!$A:$A,XYZ!C$1,'data (1)'!$J:$J,XYZ!$A113)</f>
        <v>0</v>
      </c>
      <c r="D113">
        <f>SUMIFS('data (1)'!$M:$M,'data (1)'!$A:$A,XYZ!D$1,'data (1)'!$J:$J,XYZ!$A113)</f>
        <v>1</v>
      </c>
      <c r="E113">
        <f>SUMIFS('data (1)'!$M:$M,'data (1)'!$A:$A,XYZ!E$1,'data (1)'!$J:$J,XYZ!$A113)</f>
        <v>1</v>
      </c>
      <c r="F113">
        <f>SUMIFS('data (1)'!$M:$M,'data (1)'!$A:$A,XYZ!F$1,'data (1)'!$J:$J,XYZ!$A113)</f>
        <v>0</v>
      </c>
      <c r="G113">
        <f>SUMIFS('data (1)'!$M:$M,'data (1)'!$A:$A,XYZ!G$1,'data (1)'!$J:$J,XYZ!$A113)</f>
        <v>1</v>
      </c>
    </row>
    <row r="114" spans="1:7" x14ac:dyDescent="0.15">
      <c r="A114" t="s">
        <v>521</v>
      </c>
      <c r="B114" s="11">
        <f t="shared" si="1"/>
        <v>1.4907119849998598</v>
      </c>
      <c r="C114">
        <f>SUMIFS('data (1)'!$M:$M,'data (1)'!$A:$A,XYZ!C$1,'data (1)'!$J:$J,XYZ!$A114)</f>
        <v>0</v>
      </c>
      <c r="D114">
        <f>SUMIFS('data (1)'!$M:$M,'data (1)'!$A:$A,XYZ!D$1,'data (1)'!$J:$J,XYZ!$A114)</f>
        <v>2</v>
      </c>
      <c r="E114">
        <f>SUMIFS('data (1)'!$M:$M,'data (1)'!$A:$A,XYZ!E$1,'data (1)'!$J:$J,XYZ!$A114)</f>
        <v>0</v>
      </c>
      <c r="F114">
        <f>SUMIFS('data (1)'!$M:$M,'data (1)'!$A:$A,XYZ!F$1,'data (1)'!$J:$J,XYZ!$A114)</f>
        <v>0</v>
      </c>
      <c r="G114">
        <f>SUMIFS('data (1)'!$M:$M,'data (1)'!$A:$A,XYZ!G$1,'data (1)'!$J:$J,XYZ!$A114)</f>
        <v>1</v>
      </c>
    </row>
    <row r="115" spans="1:7" x14ac:dyDescent="0.15">
      <c r="A115" t="s">
        <v>783</v>
      </c>
      <c r="B115" s="11">
        <f t="shared" si="1"/>
        <v>2.2360679774997898</v>
      </c>
      <c r="C115">
        <f>SUMIFS('data (1)'!$M:$M,'data (1)'!$A:$A,XYZ!C$1,'data (1)'!$J:$J,XYZ!$A115)</f>
        <v>0</v>
      </c>
      <c r="D115">
        <f>SUMIFS('data (1)'!$M:$M,'data (1)'!$A:$A,XYZ!D$1,'data (1)'!$J:$J,XYZ!$A115)</f>
        <v>0</v>
      </c>
      <c r="E115">
        <f>SUMIFS('data (1)'!$M:$M,'data (1)'!$A:$A,XYZ!E$1,'data (1)'!$J:$J,XYZ!$A115)</f>
        <v>3</v>
      </c>
      <c r="F115">
        <f>SUMIFS('data (1)'!$M:$M,'data (1)'!$A:$A,XYZ!F$1,'data (1)'!$J:$J,XYZ!$A115)</f>
        <v>0</v>
      </c>
      <c r="G115">
        <f>SUMIFS('data (1)'!$M:$M,'data (1)'!$A:$A,XYZ!G$1,'data (1)'!$J:$J,XYZ!$A115)</f>
        <v>0</v>
      </c>
    </row>
    <row r="116" spans="1:7" x14ac:dyDescent="0.15">
      <c r="A116" t="s">
        <v>304</v>
      </c>
      <c r="B116" s="11">
        <f t="shared" si="1"/>
        <v>1.4907119849998598</v>
      </c>
      <c r="C116">
        <f>SUMIFS('data (1)'!$M:$M,'data (1)'!$A:$A,XYZ!C$1,'data (1)'!$J:$J,XYZ!$A116)</f>
        <v>1</v>
      </c>
      <c r="D116">
        <f>SUMIFS('data (1)'!$M:$M,'data (1)'!$A:$A,XYZ!D$1,'data (1)'!$J:$J,XYZ!$A116)</f>
        <v>0</v>
      </c>
      <c r="E116">
        <f>SUMIFS('data (1)'!$M:$M,'data (1)'!$A:$A,XYZ!E$1,'data (1)'!$J:$J,XYZ!$A116)</f>
        <v>0</v>
      </c>
      <c r="F116">
        <f>SUMIFS('data (1)'!$M:$M,'data (1)'!$A:$A,XYZ!F$1,'data (1)'!$J:$J,XYZ!$A116)</f>
        <v>0</v>
      </c>
      <c r="G116">
        <f>SUMIFS('data (1)'!$M:$M,'data (1)'!$A:$A,XYZ!G$1,'data (1)'!$J:$J,XYZ!$A116)</f>
        <v>2</v>
      </c>
    </row>
    <row r="117" spans="1:7" x14ac:dyDescent="0.15">
      <c r="A117" t="s">
        <v>324</v>
      </c>
      <c r="B117" s="11">
        <f t="shared" si="1"/>
        <v>1.4907119849998598</v>
      </c>
      <c r="C117">
        <f>SUMIFS('data (1)'!$M:$M,'data (1)'!$A:$A,XYZ!C$1,'data (1)'!$J:$J,XYZ!$A117)</f>
        <v>2</v>
      </c>
      <c r="D117">
        <f>SUMIFS('data (1)'!$M:$M,'data (1)'!$A:$A,XYZ!D$1,'data (1)'!$J:$J,XYZ!$A117)</f>
        <v>0</v>
      </c>
      <c r="E117">
        <f>SUMIFS('data (1)'!$M:$M,'data (1)'!$A:$A,XYZ!E$1,'data (1)'!$J:$J,XYZ!$A117)</f>
        <v>1</v>
      </c>
      <c r="F117">
        <f>SUMIFS('data (1)'!$M:$M,'data (1)'!$A:$A,XYZ!F$1,'data (1)'!$J:$J,XYZ!$A117)</f>
        <v>0</v>
      </c>
      <c r="G117">
        <f>SUMIFS('data (1)'!$M:$M,'data (1)'!$A:$A,XYZ!G$1,'data (1)'!$J:$J,XYZ!$A117)</f>
        <v>0</v>
      </c>
    </row>
    <row r="118" spans="1:7" x14ac:dyDescent="0.15">
      <c r="A118" t="s">
        <v>1004</v>
      </c>
      <c r="B118" s="11">
        <f t="shared" si="1"/>
        <v>1.4907119849998598</v>
      </c>
      <c r="C118">
        <f>SUMIFS('data (1)'!$M:$M,'data (1)'!$A:$A,XYZ!C$1,'data (1)'!$J:$J,XYZ!$A118)</f>
        <v>0</v>
      </c>
      <c r="D118">
        <f>SUMIFS('data (1)'!$M:$M,'data (1)'!$A:$A,XYZ!D$1,'data (1)'!$J:$J,XYZ!$A118)</f>
        <v>0</v>
      </c>
      <c r="E118">
        <f>SUMIFS('data (1)'!$M:$M,'data (1)'!$A:$A,XYZ!E$1,'data (1)'!$J:$J,XYZ!$A118)</f>
        <v>0</v>
      </c>
      <c r="F118">
        <f>SUMIFS('data (1)'!$M:$M,'data (1)'!$A:$A,XYZ!F$1,'data (1)'!$J:$J,XYZ!$A118)</f>
        <v>2</v>
      </c>
      <c r="G118">
        <f>SUMIFS('data (1)'!$M:$M,'data (1)'!$A:$A,XYZ!G$1,'data (1)'!$J:$J,XYZ!$A118)</f>
        <v>1</v>
      </c>
    </row>
    <row r="119" spans="1:7" x14ac:dyDescent="0.15">
      <c r="A119" t="s">
        <v>574</v>
      </c>
      <c r="B119" s="11">
        <f t="shared" si="1"/>
        <v>1.4907119849998598</v>
      </c>
      <c r="C119">
        <f>SUMIFS('data (1)'!$M:$M,'data (1)'!$A:$A,XYZ!C$1,'data (1)'!$J:$J,XYZ!$A119)</f>
        <v>0</v>
      </c>
      <c r="D119">
        <f>SUMIFS('data (1)'!$M:$M,'data (1)'!$A:$A,XYZ!D$1,'data (1)'!$J:$J,XYZ!$A119)</f>
        <v>1</v>
      </c>
      <c r="E119">
        <f>SUMIFS('data (1)'!$M:$M,'data (1)'!$A:$A,XYZ!E$1,'data (1)'!$J:$J,XYZ!$A119)</f>
        <v>2</v>
      </c>
      <c r="F119">
        <f>SUMIFS('data (1)'!$M:$M,'data (1)'!$A:$A,XYZ!F$1,'data (1)'!$J:$J,XYZ!$A119)</f>
        <v>0</v>
      </c>
      <c r="G119">
        <f>SUMIFS('data (1)'!$M:$M,'data (1)'!$A:$A,XYZ!G$1,'data (1)'!$J:$J,XYZ!$A119)</f>
        <v>0</v>
      </c>
    </row>
    <row r="120" spans="1:7" x14ac:dyDescent="0.15">
      <c r="A120" t="s">
        <v>257</v>
      </c>
      <c r="B120" s="11">
        <f t="shared" si="1"/>
        <v>2.2360679774997898</v>
      </c>
      <c r="C120">
        <f>SUMIFS('data (1)'!$M:$M,'data (1)'!$A:$A,XYZ!C$1,'data (1)'!$J:$J,XYZ!$A120)</f>
        <v>3</v>
      </c>
      <c r="D120">
        <f>SUMIFS('data (1)'!$M:$M,'data (1)'!$A:$A,XYZ!D$1,'data (1)'!$J:$J,XYZ!$A120)</f>
        <v>0</v>
      </c>
      <c r="E120">
        <f>SUMIFS('data (1)'!$M:$M,'data (1)'!$A:$A,XYZ!E$1,'data (1)'!$J:$J,XYZ!$A120)</f>
        <v>0</v>
      </c>
      <c r="F120">
        <f>SUMIFS('data (1)'!$M:$M,'data (1)'!$A:$A,XYZ!F$1,'data (1)'!$J:$J,XYZ!$A120)</f>
        <v>0</v>
      </c>
      <c r="G120">
        <f>SUMIFS('data (1)'!$M:$M,'data (1)'!$A:$A,XYZ!G$1,'data (1)'!$J:$J,XYZ!$A120)</f>
        <v>0</v>
      </c>
    </row>
    <row r="121" spans="1:7" x14ac:dyDescent="0.15">
      <c r="A121" t="s">
        <v>641</v>
      </c>
      <c r="B121" s="11">
        <f t="shared" si="1"/>
        <v>2.2360679774997898</v>
      </c>
      <c r="C121">
        <f>SUMIFS('data (1)'!$M:$M,'data (1)'!$A:$A,XYZ!C$1,'data (1)'!$J:$J,XYZ!$A121)</f>
        <v>0</v>
      </c>
      <c r="D121">
        <f>SUMIFS('data (1)'!$M:$M,'data (1)'!$A:$A,XYZ!D$1,'data (1)'!$J:$J,XYZ!$A121)</f>
        <v>3</v>
      </c>
      <c r="E121">
        <f>SUMIFS('data (1)'!$M:$M,'data (1)'!$A:$A,XYZ!E$1,'data (1)'!$J:$J,XYZ!$A121)</f>
        <v>0</v>
      </c>
      <c r="F121">
        <f>SUMIFS('data (1)'!$M:$M,'data (1)'!$A:$A,XYZ!F$1,'data (1)'!$J:$J,XYZ!$A121)</f>
        <v>0</v>
      </c>
      <c r="G121">
        <f>SUMIFS('data (1)'!$M:$M,'data (1)'!$A:$A,XYZ!G$1,'data (1)'!$J:$J,XYZ!$A121)</f>
        <v>0</v>
      </c>
    </row>
    <row r="122" spans="1:7" x14ac:dyDescent="0.15">
      <c r="A122" t="s">
        <v>618</v>
      </c>
      <c r="B122" s="11">
        <f t="shared" si="1"/>
        <v>2.2360679774997898</v>
      </c>
      <c r="C122">
        <f>SUMIFS('data (1)'!$M:$M,'data (1)'!$A:$A,XYZ!C$1,'data (1)'!$J:$J,XYZ!$A122)</f>
        <v>0</v>
      </c>
      <c r="D122">
        <f>SUMIFS('data (1)'!$M:$M,'data (1)'!$A:$A,XYZ!D$1,'data (1)'!$J:$J,XYZ!$A122)</f>
        <v>3</v>
      </c>
      <c r="E122">
        <f>SUMIFS('data (1)'!$M:$M,'data (1)'!$A:$A,XYZ!E$1,'data (1)'!$J:$J,XYZ!$A122)</f>
        <v>0</v>
      </c>
      <c r="F122">
        <f>SUMIFS('data (1)'!$M:$M,'data (1)'!$A:$A,XYZ!F$1,'data (1)'!$J:$J,XYZ!$A122)</f>
        <v>0</v>
      </c>
      <c r="G122">
        <f>SUMIFS('data (1)'!$M:$M,'data (1)'!$A:$A,XYZ!G$1,'data (1)'!$J:$J,XYZ!$A122)</f>
        <v>0</v>
      </c>
    </row>
    <row r="123" spans="1:7" x14ac:dyDescent="0.15">
      <c r="A123" t="s">
        <v>707</v>
      </c>
      <c r="B123" s="11">
        <f t="shared" si="1"/>
        <v>1.4907119849998598</v>
      </c>
      <c r="C123">
        <f>SUMIFS('data (1)'!$M:$M,'data (1)'!$A:$A,XYZ!C$1,'data (1)'!$J:$J,XYZ!$A123)</f>
        <v>0</v>
      </c>
      <c r="D123">
        <f>SUMIFS('data (1)'!$M:$M,'data (1)'!$A:$A,XYZ!D$1,'data (1)'!$J:$J,XYZ!$A123)</f>
        <v>0</v>
      </c>
      <c r="E123">
        <f>SUMIFS('data (1)'!$M:$M,'data (1)'!$A:$A,XYZ!E$1,'data (1)'!$J:$J,XYZ!$A123)</f>
        <v>1</v>
      </c>
      <c r="F123">
        <f>SUMIFS('data (1)'!$M:$M,'data (1)'!$A:$A,XYZ!F$1,'data (1)'!$J:$J,XYZ!$A123)</f>
        <v>0</v>
      </c>
      <c r="G123">
        <f>SUMIFS('data (1)'!$M:$M,'data (1)'!$A:$A,XYZ!G$1,'data (1)'!$J:$J,XYZ!$A123)</f>
        <v>2</v>
      </c>
    </row>
    <row r="124" spans="1:7" x14ac:dyDescent="0.15">
      <c r="A124" t="s">
        <v>819</v>
      </c>
      <c r="B124" s="11">
        <f t="shared" si="1"/>
        <v>1.4907119849998598</v>
      </c>
      <c r="C124">
        <f>SUMIFS('data (1)'!$M:$M,'data (1)'!$A:$A,XYZ!C$1,'data (1)'!$J:$J,XYZ!$A124)</f>
        <v>0</v>
      </c>
      <c r="D124">
        <f>SUMIFS('data (1)'!$M:$M,'data (1)'!$A:$A,XYZ!D$1,'data (1)'!$J:$J,XYZ!$A124)</f>
        <v>0</v>
      </c>
      <c r="E124">
        <f>SUMIFS('data (1)'!$M:$M,'data (1)'!$A:$A,XYZ!E$1,'data (1)'!$J:$J,XYZ!$A124)</f>
        <v>1</v>
      </c>
      <c r="F124">
        <f>SUMIFS('data (1)'!$M:$M,'data (1)'!$A:$A,XYZ!F$1,'data (1)'!$J:$J,XYZ!$A124)</f>
        <v>0</v>
      </c>
      <c r="G124">
        <f>SUMIFS('data (1)'!$M:$M,'data (1)'!$A:$A,XYZ!G$1,'data (1)'!$J:$J,XYZ!$A124)</f>
        <v>2</v>
      </c>
    </row>
    <row r="125" spans="1:7" x14ac:dyDescent="0.15">
      <c r="A125" t="s">
        <v>291</v>
      </c>
      <c r="B125" s="11">
        <f t="shared" si="1"/>
        <v>1.4907119849998598</v>
      </c>
      <c r="C125">
        <f>SUMIFS('data (1)'!$M:$M,'data (1)'!$A:$A,XYZ!C$1,'data (1)'!$J:$J,XYZ!$A125)</f>
        <v>2</v>
      </c>
      <c r="D125">
        <f>SUMIFS('data (1)'!$M:$M,'data (1)'!$A:$A,XYZ!D$1,'data (1)'!$J:$J,XYZ!$A125)</f>
        <v>0</v>
      </c>
      <c r="E125">
        <f>SUMIFS('data (1)'!$M:$M,'data (1)'!$A:$A,XYZ!E$1,'data (1)'!$J:$J,XYZ!$A125)</f>
        <v>1</v>
      </c>
      <c r="F125">
        <f>SUMIFS('data (1)'!$M:$M,'data (1)'!$A:$A,XYZ!F$1,'data (1)'!$J:$J,XYZ!$A125)</f>
        <v>0</v>
      </c>
      <c r="G125">
        <f>SUMIFS('data (1)'!$M:$M,'data (1)'!$A:$A,XYZ!G$1,'data (1)'!$J:$J,XYZ!$A125)</f>
        <v>0</v>
      </c>
    </row>
    <row r="126" spans="1:7" x14ac:dyDescent="0.15">
      <c r="A126" t="s">
        <v>715</v>
      </c>
      <c r="B126" s="11">
        <f t="shared" si="1"/>
        <v>2.2360679774997898</v>
      </c>
      <c r="C126">
        <f>SUMIFS('data (1)'!$M:$M,'data (1)'!$A:$A,XYZ!C$1,'data (1)'!$J:$J,XYZ!$A126)</f>
        <v>0</v>
      </c>
      <c r="D126">
        <f>SUMIFS('data (1)'!$M:$M,'data (1)'!$A:$A,XYZ!D$1,'data (1)'!$J:$J,XYZ!$A126)</f>
        <v>0</v>
      </c>
      <c r="E126">
        <f>SUMIFS('data (1)'!$M:$M,'data (1)'!$A:$A,XYZ!E$1,'data (1)'!$J:$J,XYZ!$A126)</f>
        <v>3</v>
      </c>
      <c r="F126">
        <f>SUMIFS('data (1)'!$M:$M,'data (1)'!$A:$A,XYZ!F$1,'data (1)'!$J:$J,XYZ!$A126)</f>
        <v>0</v>
      </c>
      <c r="G126">
        <f>SUMIFS('data (1)'!$M:$M,'data (1)'!$A:$A,XYZ!G$1,'data (1)'!$J:$J,XYZ!$A126)</f>
        <v>0</v>
      </c>
    </row>
    <row r="127" spans="1:7" x14ac:dyDescent="0.15">
      <c r="A127" t="s">
        <v>389</v>
      </c>
      <c r="B127" s="11">
        <f t="shared" si="1"/>
        <v>1.4907119849998598</v>
      </c>
      <c r="C127">
        <f>SUMIFS('data (1)'!$M:$M,'data (1)'!$A:$A,XYZ!C$1,'data (1)'!$J:$J,XYZ!$A127)</f>
        <v>2</v>
      </c>
      <c r="D127">
        <f>SUMIFS('data (1)'!$M:$M,'data (1)'!$A:$A,XYZ!D$1,'data (1)'!$J:$J,XYZ!$A127)</f>
        <v>1</v>
      </c>
      <c r="E127">
        <f>SUMIFS('data (1)'!$M:$M,'data (1)'!$A:$A,XYZ!E$1,'data (1)'!$J:$J,XYZ!$A127)</f>
        <v>0</v>
      </c>
      <c r="F127">
        <f>SUMIFS('data (1)'!$M:$M,'data (1)'!$A:$A,XYZ!F$1,'data (1)'!$J:$J,XYZ!$A127)</f>
        <v>0</v>
      </c>
      <c r="G127">
        <f>SUMIFS('data (1)'!$M:$M,'data (1)'!$A:$A,XYZ!G$1,'data (1)'!$J:$J,XYZ!$A127)</f>
        <v>0</v>
      </c>
    </row>
    <row r="128" spans="1:7" x14ac:dyDescent="0.15">
      <c r="A128" t="s">
        <v>333</v>
      </c>
      <c r="B128" s="11">
        <f t="shared" si="1"/>
        <v>1.4907119849998598</v>
      </c>
      <c r="C128">
        <f>SUMIFS('data (1)'!$M:$M,'data (1)'!$A:$A,XYZ!C$1,'data (1)'!$J:$J,XYZ!$A128)</f>
        <v>2</v>
      </c>
      <c r="D128">
        <f>SUMIFS('data (1)'!$M:$M,'data (1)'!$A:$A,XYZ!D$1,'data (1)'!$J:$J,XYZ!$A128)</f>
        <v>0</v>
      </c>
      <c r="E128">
        <f>SUMIFS('data (1)'!$M:$M,'data (1)'!$A:$A,XYZ!E$1,'data (1)'!$J:$J,XYZ!$A128)</f>
        <v>1</v>
      </c>
      <c r="F128">
        <f>SUMIFS('data (1)'!$M:$M,'data (1)'!$A:$A,XYZ!F$1,'data (1)'!$J:$J,XYZ!$A128)</f>
        <v>0</v>
      </c>
      <c r="G128">
        <f>SUMIFS('data (1)'!$M:$M,'data (1)'!$A:$A,XYZ!G$1,'data (1)'!$J:$J,XYZ!$A128)</f>
        <v>0</v>
      </c>
    </row>
    <row r="129" spans="1:7" x14ac:dyDescent="0.15">
      <c r="A129" t="s">
        <v>676</v>
      </c>
      <c r="B129" s="11">
        <f t="shared" si="1"/>
        <v>1.4907119849998598</v>
      </c>
      <c r="C129">
        <f>SUMIFS('data (1)'!$M:$M,'data (1)'!$A:$A,XYZ!C$1,'data (1)'!$J:$J,XYZ!$A129)</f>
        <v>0</v>
      </c>
      <c r="D129">
        <f>SUMIFS('data (1)'!$M:$M,'data (1)'!$A:$A,XYZ!D$1,'data (1)'!$J:$J,XYZ!$A129)</f>
        <v>1</v>
      </c>
      <c r="E129">
        <f>SUMIFS('data (1)'!$M:$M,'data (1)'!$A:$A,XYZ!E$1,'data (1)'!$J:$J,XYZ!$A129)</f>
        <v>2</v>
      </c>
      <c r="F129">
        <f>SUMIFS('data (1)'!$M:$M,'data (1)'!$A:$A,XYZ!F$1,'data (1)'!$J:$J,XYZ!$A129)</f>
        <v>0</v>
      </c>
      <c r="G129">
        <f>SUMIFS('data (1)'!$M:$M,'data (1)'!$A:$A,XYZ!G$1,'data (1)'!$J:$J,XYZ!$A129)</f>
        <v>0</v>
      </c>
    </row>
    <row r="130" spans="1:7" x14ac:dyDescent="0.15">
      <c r="A130" t="s">
        <v>590</v>
      </c>
      <c r="B130" s="11">
        <f t="shared" si="1"/>
        <v>2.2360679774997898</v>
      </c>
      <c r="C130">
        <f>SUMIFS('data (1)'!$M:$M,'data (1)'!$A:$A,XYZ!C$1,'data (1)'!$J:$J,XYZ!$A130)</f>
        <v>0</v>
      </c>
      <c r="D130">
        <f>SUMIFS('data (1)'!$M:$M,'data (1)'!$A:$A,XYZ!D$1,'data (1)'!$J:$J,XYZ!$A130)</f>
        <v>3</v>
      </c>
      <c r="E130">
        <f>SUMIFS('data (1)'!$M:$M,'data (1)'!$A:$A,XYZ!E$1,'data (1)'!$J:$J,XYZ!$A130)</f>
        <v>0</v>
      </c>
      <c r="F130">
        <f>SUMIFS('data (1)'!$M:$M,'data (1)'!$A:$A,XYZ!F$1,'data (1)'!$J:$J,XYZ!$A130)</f>
        <v>0</v>
      </c>
      <c r="G130">
        <f>SUMIFS('data (1)'!$M:$M,'data (1)'!$A:$A,XYZ!G$1,'data (1)'!$J:$J,XYZ!$A130)</f>
        <v>0</v>
      </c>
    </row>
    <row r="131" spans="1:7" x14ac:dyDescent="0.15">
      <c r="A131" t="s">
        <v>1072</v>
      </c>
      <c r="B131" s="11">
        <f t="shared" ref="B131:B194" si="2">_xlfn.STDEV.S(C131:G131)/AVERAGE(C131:G131)</f>
        <v>2.2360679774997898</v>
      </c>
      <c r="C131">
        <f>SUMIFS('data (1)'!$M:$M,'data (1)'!$A:$A,XYZ!C$1,'data (1)'!$J:$J,XYZ!$A131)</f>
        <v>0</v>
      </c>
      <c r="D131">
        <f>SUMIFS('data (1)'!$M:$M,'data (1)'!$A:$A,XYZ!D$1,'data (1)'!$J:$J,XYZ!$A131)</f>
        <v>0</v>
      </c>
      <c r="E131">
        <f>SUMIFS('data (1)'!$M:$M,'data (1)'!$A:$A,XYZ!E$1,'data (1)'!$J:$J,XYZ!$A131)</f>
        <v>0</v>
      </c>
      <c r="F131">
        <f>SUMIFS('data (1)'!$M:$M,'data (1)'!$A:$A,XYZ!F$1,'data (1)'!$J:$J,XYZ!$A131)</f>
        <v>3</v>
      </c>
      <c r="G131">
        <f>SUMIFS('data (1)'!$M:$M,'data (1)'!$A:$A,XYZ!G$1,'data (1)'!$J:$J,XYZ!$A131)</f>
        <v>0</v>
      </c>
    </row>
    <row r="132" spans="1:7" x14ac:dyDescent="0.15">
      <c r="A132" t="s">
        <v>617</v>
      </c>
      <c r="B132" s="11">
        <f t="shared" si="2"/>
        <v>1.4907119849998598</v>
      </c>
      <c r="C132">
        <f>SUMIFS('data (1)'!$M:$M,'data (1)'!$A:$A,XYZ!C$1,'data (1)'!$J:$J,XYZ!$A132)</f>
        <v>0</v>
      </c>
      <c r="D132">
        <f>SUMIFS('data (1)'!$M:$M,'data (1)'!$A:$A,XYZ!D$1,'data (1)'!$J:$J,XYZ!$A132)</f>
        <v>2</v>
      </c>
      <c r="E132">
        <f>SUMIFS('data (1)'!$M:$M,'data (1)'!$A:$A,XYZ!E$1,'data (1)'!$J:$J,XYZ!$A132)</f>
        <v>0</v>
      </c>
      <c r="F132">
        <f>SUMIFS('data (1)'!$M:$M,'data (1)'!$A:$A,XYZ!F$1,'data (1)'!$J:$J,XYZ!$A132)</f>
        <v>0</v>
      </c>
      <c r="G132">
        <f>SUMIFS('data (1)'!$M:$M,'data (1)'!$A:$A,XYZ!G$1,'data (1)'!$J:$J,XYZ!$A132)</f>
        <v>1</v>
      </c>
    </row>
    <row r="133" spans="1:7" x14ac:dyDescent="0.15">
      <c r="A133" t="s">
        <v>408</v>
      </c>
      <c r="B133" s="11">
        <f t="shared" si="2"/>
        <v>1.4907119849998598</v>
      </c>
      <c r="C133">
        <f>SUMIFS('data (1)'!$M:$M,'data (1)'!$A:$A,XYZ!C$1,'data (1)'!$J:$J,XYZ!$A133)</f>
        <v>2</v>
      </c>
      <c r="D133">
        <f>SUMIFS('data (1)'!$M:$M,'data (1)'!$A:$A,XYZ!D$1,'data (1)'!$J:$J,XYZ!$A133)</f>
        <v>1</v>
      </c>
      <c r="E133">
        <f>SUMIFS('data (1)'!$M:$M,'data (1)'!$A:$A,XYZ!E$1,'data (1)'!$J:$J,XYZ!$A133)</f>
        <v>0</v>
      </c>
      <c r="F133">
        <f>SUMIFS('data (1)'!$M:$M,'data (1)'!$A:$A,XYZ!F$1,'data (1)'!$J:$J,XYZ!$A133)</f>
        <v>0</v>
      </c>
      <c r="G133">
        <f>SUMIFS('data (1)'!$M:$M,'data (1)'!$A:$A,XYZ!G$1,'data (1)'!$J:$J,XYZ!$A133)</f>
        <v>0</v>
      </c>
    </row>
    <row r="134" spans="1:7" x14ac:dyDescent="0.15">
      <c r="A134" t="s">
        <v>237</v>
      </c>
      <c r="B134" s="11">
        <f t="shared" si="2"/>
        <v>1.4907119849998598</v>
      </c>
      <c r="C134">
        <f>SUMIFS('data (1)'!$M:$M,'data (1)'!$A:$A,XYZ!C$1,'data (1)'!$J:$J,XYZ!$A134)</f>
        <v>2</v>
      </c>
      <c r="D134">
        <f>SUMIFS('data (1)'!$M:$M,'data (1)'!$A:$A,XYZ!D$1,'data (1)'!$J:$J,XYZ!$A134)</f>
        <v>0</v>
      </c>
      <c r="E134">
        <f>SUMIFS('data (1)'!$M:$M,'data (1)'!$A:$A,XYZ!E$1,'data (1)'!$J:$J,XYZ!$A134)</f>
        <v>0</v>
      </c>
      <c r="F134">
        <f>SUMIFS('data (1)'!$M:$M,'data (1)'!$A:$A,XYZ!F$1,'data (1)'!$J:$J,XYZ!$A134)</f>
        <v>0</v>
      </c>
      <c r="G134">
        <f>SUMIFS('data (1)'!$M:$M,'data (1)'!$A:$A,XYZ!G$1,'data (1)'!$J:$J,XYZ!$A134)</f>
        <v>1</v>
      </c>
    </row>
    <row r="135" spans="1:7" x14ac:dyDescent="0.15">
      <c r="A135" t="s">
        <v>508</v>
      </c>
      <c r="B135" s="11">
        <f t="shared" si="2"/>
        <v>0.91287092917527679</v>
      </c>
      <c r="C135">
        <f>SUMIFS('data (1)'!$M:$M,'data (1)'!$A:$A,XYZ!C$1,'data (1)'!$J:$J,XYZ!$A135)</f>
        <v>0</v>
      </c>
      <c r="D135">
        <f>SUMIFS('data (1)'!$M:$M,'data (1)'!$A:$A,XYZ!D$1,'data (1)'!$J:$J,XYZ!$A135)</f>
        <v>1</v>
      </c>
      <c r="E135">
        <f>SUMIFS('data (1)'!$M:$M,'data (1)'!$A:$A,XYZ!E$1,'data (1)'!$J:$J,XYZ!$A135)</f>
        <v>1</v>
      </c>
      <c r="F135">
        <f>SUMIFS('data (1)'!$M:$M,'data (1)'!$A:$A,XYZ!F$1,'data (1)'!$J:$J,XYZ!$A135)</f>
        <v>0</v>
      </c>
      <c r="G135">
        <f>SUMIFS('data (1)'!$M:$M,'data (1)'!$A:$A,XYZ!G$1,'data (1)'!$J:$J,XYZ!$A135)</f>
        <v>1</v>
      </c>
    </row>
    <row r="136" spans="1:7" x14ac:dyDescent="0.15">
      <c r="A136" t="s">
        <v>223</v>
      </c>
      <c r="B136" s="11">
        <f t="shared" si="2"/>
        <v>2.2360679774997898</v>
      </c>
      <c r="C136">
        <f>SUMIFS('data (1)'!$M:$M,'data (1)'!$A:$A,XYZ!C$1,'data (1)'!$J:$J,XYZ!$A136)</f>
        <v>3</v>
      </c>
      <c r="D136">
        <f>SUMIFS('data (1)'!$M:$M,'data (1)'!$A:$A,XYZ!D$1,'data (1)'!$J:$J,XYZ!$A136)</f>
        <v>0</v>
      </c>
      <c r="E136">
        <f>SUMIFS('data (1)'!$M:$M,'data (1)'!$A:$A,XYZ!E$1,'data (1)'!$J:$J,XYZ!$A136)</f>
        <v>0</v>
      </c>
      <c r="F136">
        <f>SUMIFS('data (1)'!$M:$M,'data (1)'!$A:$A,XYZ!F$1,'data (1)'!$J:$J,XYZ!$A136)</f>
        <v>0</v>
      </c>
      <c r="G136">
        <f>SUMIFS('data (1)'!$M:$M,'data (1)'!$A:$A,XYZ!G$1,'data (1)'!$J:$J,XYZ!$A136)</f>
        <v>0</v>
      </c>
    </row>
    <row r="137" spans="1:7" x14ac:dyDescent="0.15">
      <c r="A137" t="s">
        <v>28</v>
      </c>
      <c r="B137" s="11">
        <f t="shared" si="2"/>
        <v>1.3693063937629151</v>
      </c>
      <c r="C137">
        <f>SUMIFS('data (1)'!$M:$M,'data (1)'!$A:$A,XYZ!C$1,'data (1)'!$J:$J,XYZ!$A137)</f>
        <v>1</v>
      </c>
      <c r="D137">
        <f>SUMIFS('data (1)'!$M:$M,'data (1)'!$A:$A,XYZ!D$1,'data (1)'!$J:$J,XYZ!$A137)</f>
        <v>1</v>
      </c>
      <c r="E137">
        <f>SUMIFS('data (1)'!$M:$M,'data (1)'!$A:$A,XYZ!E$1,'data (1)'!$J:$J,XYZ!$A137)</f>
        <v>0</v>
      </c>
      <c r="F137">
        <f>SUMIFS('data (1)'!$M:$M,'data (1)'!$A:$A,XYZ!F$1,'data (1)'!$J:$J,XYZ!$A137)</f>
        <v>0</v>
      </c>
      <c r="G137">
        <f>SUMIFS('data (1)'!$M:$M,'data (1)'!$A:$A,XYZ!G$1,'data (1)'!$J:$J,XYZ!$A137)</f>
        <v>0</v>
      </c>
    </row>
    <row r="138" spans="1:7" x14ac:dyDescent="0.15">
      <c r="A138" t="s">
        <v>428</v>
      </c>
      <c r="B138" s="11">
        <f t="shared" si="2"/>
        <v>2.2360679774997894</v>
      </c>
      <c r="C138">
        <f>SUMIFS('data (1)'!$M:$M,'data (1)'!$A:$A,XYZ!C$1,'data (1)'!$J:$J,XYZ!$A138)</f>
        <v>2</v>
      </c>
      <c r="D138">
        <f>SUMIFS('data (1)'!$M:$M,'data (1)'!$A:$A,XYZ!D$1,'data (1)'!$J:$J,XYZ!$A138)</f>
        <v>0</v>
      </c>
      <c r="E138">
        <f>SUMIFS('data (1)'!$M:$M,'data (1)'!$A:$A,XYZ!E$1,'data (1)'!$J:$J,XYZ!$A138)</f>
        <v>0</v>
      </c>
      <c r="F138">
        <f>SUMIFS('data (1)'!$M:$M,'data (1)'!$A:$A,XYZ!F$1,'data (1)'!$J:$J,XYZ!$A138)</f>
        <v>0</v>
      </c>
      <c r="G138">
        <f>SUMIFS('data (1)'!$M:$M,'data (1)'!$A:$A,XYZ!G$1,'data (1)'!$J:$J,XYZ!$A138)</f>
        <v>0</v>
      </c>
    </row>
    <row r="139" spans="1:7" x14ac:dyDescent="0.15">
      <c r="A139" t="s">
        <v>86</v>
      </c>
      <c r="B139" s="11">
        <f t="shared" si="2"/>
        <v>1.3693063937629151</v>
      </c>
      <c r="C139">
        <f>SUMIFS('data (1)'!$M:$M,'data (1)'!$A:$A,XYZ!C$1,'data (1)'!$J:$J,XYZ!$A139)</f>
        <v>1</v>
      </c>
      <c r="D139">
        <f>SUMIFS('data (1)'!$M:$M,'data (1)'!$A:$A,XYZ!D$1,'data (1)'!$J:$J,XYZ!$A139)</f>
        <v>1</v>
      </c>
      <c r="E139">
        <f>SUMIFS('data (1)'!$M:$M,'data (1)'!$A:$A,XYZ!E$1,'data (1)'!$J:$J,XYZ!$A139)</f>
        <v>0</v>
      </c>
      <c r="F139">
        <f>SUMIFS('data (1)'!$M:$M,'data (1)'!$A:$A,XYZ!F$1,'data (1)'!$J:$J,XYZ!$A139)</f>
        <v>0</v>
      </c>
      <c r="G139">
        <f>SUMIFS('data (1)'!$M:$M,'data (1)'!$A:$A,XYZ!G$1,'data (1)'!$J:$J,XYZ!$A139)</f>
        <v>0</v>
      </c>
    </row>
    <row r="140" spans="1:7" x14ac:dyDescent="0.15">
      <c r="A140" t="s">
        <v>465</v>
      </c>
      <c r="B140" s="11">
        <f t="shared" si="2"/>
        <v>1.3693063937629151</v>
      </c>
      <c r="C140">
        <f>SUMIFS('data (1)'!$M:$M,'data (1)'!$A:$A,XYZ!C$1,'data (1)'!$J:$J,XYZ!$A140)</f>
        <v>1</v>
      </c>
      <c r="D140">
        <f>SUMIFS('data (1)'!$M:$M,'data (1)'!$A:$A,XYZ!D$1,'data (1)'!$J:$J,XYZ!$A140)</f>
        <v>0</v>
      </c>
      <c r="E140">
        <f>SUMIFS('data (1)'!$M:$M,'data (1)'!$A:$A,XYZ!E$1,'data (1)'!$J:$J,XYZ!$A140)</f>
        <v>0</v>
      </c>
      <c r="F140">
        <f>SUMIFS('data (1)'!$M:$M,'data (1)'!$A:$A,XYZ!F$1,'data (1)'!$J:$J,XYZ!$A140)</f>
        <v>1</v>
      </c>
      <c r="G140">
        <f>SUMIFS('data (1)'!$M:$M,'data (1)'!$A:$A,XYZ!G$1,'data (1)'!$J:$J,XYZ!$A140)</f>
        <v>0</v>
      </c>
    </row>
    <row r="141" spans="1:7" x14ac:dyDescent="0.15">
      <c r="A141" t="s">
        <v>706</v>
      </c>
      <c r="B141" s="11">
        <f t="shared" si="2"/>
        <v>1.3693063937629151</v>
      </c>
      <c r="C141">
        <f>SUMIFS('data (1)'!$M:$M,'data (1)'!$A:$A,XYZ!C$1,'data (1)'!$J:$J,XYZ!$A141)</f>
        <v>0</v>
      </c>
      <c r="D141">
        <f>SUMIFS('data (1)'!$M:$M,'data (1)'!$A:$A,XYZ!D$1,'data (1)'!$J:$J,XYZ!$A141)</f>
        <v>1</v>
      </c>
      <c r="E141">
        <f>SUMIFS('data (1)'!$M:$M,'data (1)'!$A:$A,XYZ!E$1,'data (1)'!$J:$J,XYZ!$A141)</f>
        <v>0</v>
      </c>
      <c r="F141">
        <f>SUMIFS('data (1)'!$M:$M,'data (1)'!$A:$A,XYZ!F$1,'data (1)'!$J:$J,XYZ!$A141)</f>
        <v>0</v>
      </c>
      <c r="G141">
        <f>SUMIFS('data (1)'!$M:$M,'data (1)'!$A:$A,XYZ!G$1,'data (1)'!$J:$J,XYZ!$A141)</f>
        <v>1</v>
      </c>
    </row>
    <row r="142" spans="1:7" x14ac:dyDescent="0.15">
      <c r="A142" t="s">
        <v>479</v>
      </c>
      <c r="B142" s="11">
        <f t="shared" si="2"/>
        <v>2.2360679774997894</v>
      </c>
      <c r="C142">
        <f>SUMIFS('data (1)'!$M:$M,'data (1)'!$A:$A,XYZ!C$1,'data (1)'!$J:$J,XYZ!$A142)</f>
        <v>0</v>
      </c>
      <c r="D142">
        <f>SUMIFS('data (1)'!$M:$M,'data (1)'!$A:$A,XYZ!D$1,'data (1)'!$J:$J,XYZ!$A142)</f>
        <v>2</v>
      </c>
      <c r="E142">
        <f>SUMIFS('data (1)'!$M:$M,'data (1)'!$A:$A,XYZ!E$1,'data (1)'!$J:$J,XYZ!$A142)</f>
        <v>0</v>
      </c>
      <c r="F142">
        <f>SUMIFS('data (1)'!$M:$M,'data (1)'!$A:$A,XYZ!F$1,'data (1)'!$J:$J,XYZ!$A142)</f>
        <v>0</v>
      </c>
      <c r="G142">
        <f>SUMIFS('data (1)'!$M:$M,'data (1)'!$A:$A,XYZ!G$1,'data (1)'!$J:$J,XYZ!$A142)</f>
        <v>0</v>
      </c>
    </row>
    <row r="143" spans="1:7" x14ac:dyDescent="0.15">
      <c r="A143" t="s">
        <v>435</v>
      </c>
      <c r="B143" s="11">
        <f t="shared" si="2"/>
        <v>1.3693063937629151</v>
      </c>
      <c r="C143">
        <f>SUMIFS('data (1)'!$M:$M,'data (1)'!$A:$A,XYZ!C$1,'data (1)'!$J:$J,XYZ!$A143)</f>
        <v>1</v>
      </c>
      <c r="D143">
        <f>SUMIFS('data (1)'!$M:$M,'data (1)'!$A:$A,XYZ!D$1,'data (1)'!$J:$J,XYZ!$A143)</f>
        <v>0</v>
      </c>
      <c r="E143">
        <f>SUMIFS('data (1)'!$M:$M,'data (1)'!$A:$A,XYZ!E$1,'data (1)'!$J:$J,XYZ!$A143)</f>
        <v>1</v>
      </c>
      <c r="F143">
        <f>SUMIFS('data (1)'!$M:$M,'data (1)'!$A:$A,XYZ!F$1,'data (1)'!$J:$J,XYZ!$A143)</f>
        <v>0</v>
      </c>
      <c r="G143">
        <f>SUMIFS('data (1)'!$M:$M,'data (1)'!$A:$A,XYZ!G$1,'data (1)'!$J:$J,XYZ!$A143)</f>
        <v>0</v>
      </c>
    </row>
    <row r="144" spans="1:7" x14ac:dyDescent="0.15">
      <c r="A144" t="s">
        <v>1175</v>
      </c>
      <c r="B144" s="11">
        <f t="shared" si="2"/>
        <v>2.2360679774997894</v>
      </c>
      <c r="C144">
        <f>SUMIFS('data (1)'!$M:$M,'data (1)'!$A:$A,XYZ!C$1,'data (1)'!$J:$J,XYZ!$A144)</f>
        <v>0</v>
      </c>
      <c r="D144">
        <f>SUMIFS('data (1)'!$M:$M,'data (1)'!$A:$A,XYZ!D$1,'data (1)'!$J:$J,XYZ!$A144)</f>
        <v>0</v>
      </c>
      <c r="E144">
        <f>SUMIFS('data (1)'!$M:$M,'data (1)'!$A:$A,XYZ!E$1,'data (1)'!$J:$J,XYZ!$A144)</f>
        <v>0</v>
      </c>
      <c r="F144">
        <f>SUMIFS('data (1)'!$M:$M,'data (1)'!$A:$A,XYZ!F$1,'data (1)'!$J:$J,XYZ!$A144)</f>
        <v>0</v>
      </c>
      <c r="G144">
        <f>SUMIFS('data (1)'!$M:$M,'data (1)'!$A:$A,XYZ!G$1,'data (1)'!$J:$J,XYZ!$A144)</f>
        <v>2</v>
      </c>
    </row>
    <row r="145" spans="1:7" x14ac:dyDescent="0.15">
      <c r="A145" t="s">
        <v>342</v>
      </c>
      <c r="B145" s="11">
        <f t="shared" si="2"/>
        <v>1.3693063937629151</v>
      </c>
      <c r="C145">
        <f>SUMIFS('data (1)'!$M:$M,'data (1)'!$A:$A,XYZ!C$1,'data (1)'!$J:$J,XYZ!$A145)</f>
        <v>1</v>
      </c>
      <c r="D145">
        <f>SUMIFS('data (1)'!$M:$M,'data (1)'!$A:$A,XYZ!D$1,'data (1)'!$J:$J,XYZ!$A145)</f>
        <v>1</v>
      </c>
      <c r="E145">
        <f>SUMIFS('data (1)'!$M:$M,'data (1)'!$A:$A,XYZ!E$1,'data (1)'!$J:$J,XYZ!$A145)</f>
        <v>0</v>
      </c>
      <c r="F145">
        <f>SUMIFS('data (1)'!$M:$M,'data (1)'!$A:$A,XYZ!F$1,'data (1)'!$J:$J,XYZ!$A145)</f>
        <v>0</v>
      </c>
      <c r="G145">
        <f>SUMIFS('data (1)'!$M:$M,'data (1)'!$A:$A,XYZ!G$1,'data (1)'!$J:$J,XYZ!$A145)</f>
        <v>0</v>
      </c>
    </row>
    <row r="146" spans="1:7" x14ac:dyDescent="0.15">
      <c r="A146" t="s">
        <v>71</v>
      </c>
      <c r="B146" s="11">
        <f t="shared" si="2"/>
        <v>2.2360679774997894</v>
      </c>
      <c r="C146">
        <f>SUMIFS('data (1)'!$M:$M,'data (1)'!$A:$A,XYZ!C$1,'data (1)'!$J:$J,XYZ!$A146)</f>
        <v>2</v>
      </c>
      <c r="D146">
        <f>SUMIFS('data (1)'!$M:$M,'data (1)'!$A:$A,XYZ!D$1,'data (1)'!$J:$J,XYZ!$A146)</f>
        <v>0</v>
      </c>
      <c r="E146">
        <f>SUMIFS('data (1)'!$M:$M,'data (1)'!$A:$A,XYZ!E$1,'data (1)'!$J:$J,XYZ!$A146)</f>
        <v>0</v>
      </c>
      <c r="F146">
        <f>SUMIFS('data (1)'!$M:$M,'data (1)'!$A:$A,XYZ!F$1,'data (1)'!$J:$J,XYZ!$A146)</f>
        <v>0</v>
      </c>
      <c r="G146">
        <f>SUMIFS('data (1)'!$M:$M,'data (1)'!$A:$A,XYZ!G$1,'data (1)'!$J:$J,XYZ!$A146)</f>
        <v>0</v>
      </c>
    </row>
    <row r="147" spans="1:7" x14ac:dyDescent="0.15">
      <c r="A147" t="s">
        <v>66</v>
      </c>
      <c r="B147" s="11">
        <f t="shared" si="2"/>
        <v>1.3693063937629151</v>
      </c>
      <c r="C147">
        <f>SUMIFS('data (1)'!$M:$M,'data (1)'!$A:$A,XYZ!C$1,'data (1)'!$J:$J,XYZ!$A147)</f>
        <v>1</v>
      </c>
      <c r="D147">
        <f>SUMIFS('data (1)'!$M:$M,'data (1)'!$A:$A,XYZ!D$1,'data (1)'!$J:$J,XYZ!$A147)</f>
        <v>1</v>
      </c>
      <c r="E147">
        <f>SUMIFS('data (1)'!$M:$M,'data (1)'!$A:$A,XYZ!E$1,'data (1)'!$J:$J,XYZ!$A147)</f>
        <v>0</v>
      </c>
      <c r="F147">
        <f>SUMIFS('data (1)'!$M:$M,'data (1)'!$A:$A,XYZ!F$1,'data (1)'!$J:$J,XYZ!$A147)</f>
        <v>0</v>
      </c>
      <c r="G147">
        <f>SUMIFS('data (1)'!$M:$M,'data (1)'!$A:$A,XYZ!G$1,'data (1)'!$J:$J,XYZ!$A147)</f>
        <v>0</v>
      </c>
    </row>
    <row r="148" spans="1:7" x14ac:dyDescent="0.15">
      <c r="A148" t="s">
        <v>784</v>
      </c>
      <c r="B148" s="11">
        <f t="shared" si="2"/>
        <v>2.2360679774997894</v>
      </c>
      <c r="C148">
        <f>SUMIFS('data (1)'!$M:$M,'data (1)'!$A:$A,XYZ!C$1,'data (1)'!$J:$J,XYZ!$A148)</f>
        <v>0</v>
      </c>
      <c r="D148">
        <f>SUMIFS('data (1)'!$M:$M,'data (1)'!$A:$A,XYZ!D$1,'data (1)'!$J:$J,XYZ!$A148)</f>
        <v>0</v>
      </c>
      <c r="E148">
        <f>SUMIFS('data (1)'!$M:$M,'data (1)'!$A:$A,XYZ!E$1,'data (1)'!$J:$J,XYZ!$A148)</f>
        <v>2</v>
      </c>
      <c r="F148">
        <f>SUMIFS('data (1)'!$M:$M,'data (1)'!$A:$A,XYZ!F$1,'data (1)'!$J:$J,XYZ!$A148)</f>
        <v>0</v>
      </c>
      <c r="G148">
        <f>SUMIFS('data (1)'!$M:$M,'data (1)'!$A:$A,XYZ!G$1,'data (1)'!$J:$J,XYZ!$A148)</f>
        <v>0</v>
      </c>
    </row>
    <row r="149" spans="1:7" x14ac:dyDescent="0.15">
      <c r="A149" t="s">
        <v>845</v>
      </c>
      <c r="B149" s="11">
        <f t="shared" si="2"/>
        <v>1.3693063937629151</v>
      </c>
      <c r="C149">
        <f>SUMIFS('data (1)'!$M:$M,'data (1)'!$A:$A,XYZ!C$1,'data (1)'!$J:$J,XYZ!$A149)</f>
        <v>0</v>
      </c>
      <c r="D149">
        <f>SUMIFS('data (1)'!$M:$M,'data (1)'!$A:$A,XYZ!D$1,'data (1)'!$J:$J,XYZ!$A149)</f>
        <v>0</v>
      </c>
      <c r="E149">
        <f>SUMIFS('data (1)'!$M:$M,'data (1)'!$A:$A,XYZ!E$1,'data (1)'!$J:$J,XYZ!$A149)</f>
        <v>1</v>
      </c>
      <c r="F149">
        <f>SUMIFS('data (1)'!$M:$M,'data (1)'!$A:$A,XYZ!F$1,'data (1)'!$J:$J,XYZ!$A149)</f>
        <v>0</v>
      </c>
      <c r="G149">
        <f>SUMIFS('data (1)'!$M:$M,'data (1)'!$A:$A,XYZ!G$1,'data (1)'!$J:$J,XYZ!$A149)</f>
        <v>1</v>
      </c>
    </row>
    <row r="150" spans="1:7" x14ac:dyDescent="0.15">
      <c r="A150" t="s">
        <v>530</v>
      </c>
      <c r="B150" s="11">
        <f t="shared" si="2"/>
        <v>1.3693063937629151</v>
      </c>
      <c r="C150">
        <f>SUMIFS('data (1)'!$M:$M,'data (1)'!$A:$A,XYZ!C$1,'data (1)'!$J:$J,XYZ!$A150)</f>
        <v>0</v>
      </c>
      <c r="D150">
        <f>SUMIFS('data (1)'!$M:$M,'data (1)'!$A:$A,XYZ!D$1,'data (1)'!$J:$J,XYZ!$A150)</f>
        <v>1</v>
      </c>
      <c r="E150">
        <f>SUMIFS('data (1)'!$M:$M,'data (1)'!$A:$A,XYZ!E$1,'data (1)'!$J:$J,XYZ!$A150)</f>
        <v>1</v>
      </c>
      <c r="F150">
        <f>SUMIFS('data (1)'!$M:$M,'data (1)'!$A:$A,XYZ!F$1,'data (1)'!$J:$J,XYZ!$A150)</f>
        <v>0</v>
      </c>
      <c r="G150">
        <f>SUMIFS('data (1)'!$M:$M,'data (1)'!$A:$A,XYZ!G$1,'data (1)'!$J:$J,XYZ!$A150)</f>
        <v>0</v>
      </c>
    </row>
    <row r="151" spans="1:7" x14ac:dyDescent="0.15">
      <c r="A151" t="s">
        <v>162</v>
      </c>
      <c r="B151" s="11">
        <f t="shared" si="2"/>
        <v>1.3693063937629151</v>
      </c>
      <c r="C151">
        <f>SUMIFS('data (1)'!$M:$M,'data (1)'!$A:$A,XYZ!C$1,'data (1)'!$J:$J,XYZ!$A151)</f>
        <v>1</v>
      </c>
      <c r="D151">
        <f>SUMIFS('data (1)'!$M:$M,'data (1)'!$A:$A,XYZ!D$1,'data (1)'!$J:$J,XYZ!$A151)</f>
        <v>0</v>
      </c>
      <c r="E151">
        <f>SUMIFS('data (1)'!$M:$M,'data (1)'!$A:$A,XYZ!E$1,'data (1)'!$J:$J,XYZ!$A151)</f>
        <v>1</v>
      </c>
      <c r="F151">
        <f>SUMIFS('data (1)'!$M:$M,'data (1)'!$A:$A,XYZ!F$1,'data (1)'!$J:$J,XYZ!$A151)</f>
        <v>0</v>
      </c>
      <c r="G151">
        <f>SUMIFS('data (1)'!$M:$M,'data (1)'!$A:$A,XYZ!G$1,'data (1)'!$J:$J,XYZ!$A151)</f>
        <v>0</v>
      </c>
    </row>
    <row r="152" spans="1:7" x14ac:dyDescent="0.15">
      <c r="A152" t="s">
        <v>336</v>
      </c>
      <c r="B152" s="11">
        <f t="shared" si="2"/>
        <v>2.2360679774997894</v>
      </c>
      <c r="C152">
        <f>SUMIFS('data (1)'!$M:$M,'data (1)'!$A:$A,XYZ!C$1,'data (1)'!$J:$J,XYZ!$A152)</f>
        <v>2</v>
      </c>
      <c r="D152">
        <f>SUMIFS('data (1)'!$M:$M,'data (1)'!$A:$A,XYZ!D$1,'data (1)'!$J:$J,XYZ!$A152)</f>
        <v>0</v>
      </c>
      <c r="E152">
        <f>SUMIFS('data (1)'!$M:$M,'data (1)'!$A:$A,XYZ!E$1,'data (1)'!$J:$J,XYZ!$A152)</f>
        <v>0</v>
      </c>
      <c r="F152">
        <f>SUMIFS('data (1)'!$M:$M,'data (1)'!$A:$A,XYZ!F$1,'data (1)'!$J:$J,XYZ!$A152)</f>
        <v>0</v>
      </c>
      <c r="G152">
        <f>SUMIFS('data (1)'!$M:$M,'data (1)'!$A:$A,XYZ!G$1,'data (1)'!$J:$J,XYZ!$A152)</f>
        <v>0</v>
      </c>
    </row>
    <row r="153" spans="1:7" x14ac:dyDescent="0.15">
      <c r="A153" t="s">
        <v>857</v>
      </c>
      <c r="B153" s="11">
        <f t="shared" si="2"/>
        <v>1.3693063937629151</v>
      </c>
      <c r="C153">
        <f>SUMIFS('data (1)'!$M:$M,'data (1)'!$A:$A,XYZ!C$1,'data (1)'!$J:$J,XYZ!$A153)</f>
        <v>0</v>
      </c>
      <c r="D153">
        <f>SUMIFS('data (1)'!$M:$M,'data (1)'!$A:$A,XYZ!D$1,'data (1)'!$J:$J,XYZ!$A153)</f>
        <v>0</v>
      </c>
      <c r="E153">
        <f>SUMIFS('data (1)'!$M:$M,'data (1)'!$A:$A,XYZ!E$1,'data (1)'!$J:$J,XYZ!$A153)</f>
        <v>1</v>
      </c>
      <c r="F153">
        <f>SUMIFS('data (1)'!$M:$M,'data (1)'!$A:$A,XYZ!F$1,'data (1)'!$J:$J,XYZ!$A153)</f>
        <v>0</v>
      </c>
      <c r="G153">
        <f>SUMIFS('data (1)'!$M:$M,'data (1)'!$A:$A,XYZ!G$1,'data (1)'!$J:$J,XYZ!$A153)</f>
        <v>1</v>
      </c>
    </row>
    <row r="154" spans="1:7" x14ac:dyDescent="0.15">
      <c r="A154" t="s">
        <v>490</v>
      </c>
      <c r="B154" s="11">
        <f t="shared" si="2"/>
        <v>2.2360679774997894</v>
      </c>
      <c r="C154">
        <f>SUMIFS('data (1)'!$M:$M,'data (1)'!$A:$A,XYZ!C$1,'data (1)'!$J:$J,XYZ!$A154)</f>
        <v>0</v>
      </c>
      <c r="D154">
        <f>SUMIFS('data (1)'!$M:$M,'data (1)'!$A:$A,XYZ!D$1,'data (1)'!$J:$J,XYZ!$A154)</f>
        <v>2</v>
      </c>
      <c r="E154">
        <f>SUMIFS('data (1)'!$M:$M,'data (1)'!$A:$A,XYZ!E$1,'data (1)'!$J:$J,XYZ!$A154)</f>
        <v>0</v>
      </c>
      <c r="F154">
        <f>SUMIFS('data (1)'!$M:$M,'data (1)'!$A:$A,XYZ!F$1,'data (1)'!$J:$J,XYZ!$A154)</f>
        <v>0</v>
      </c>
      <c r="G154">
        <f>SUMIFS('data (1)'!$M:$M,'data (1)'!$A:$A,XYZ!G$1,'data (1)'!$J:$J,XYZ!$A154)</f>
        <v>0</v>
      </c>
    </row>
    <row r="155" spans="1:7" x14ac:dyDescent="0.15">
      <c r="A155" t="s">
        <v>1153</v>
      </c>
      <c r="B155" s="11">
        <f t="shared" si="2"/>
        <v>2.2360679774997894</v>
      </c>
      <c r="C155">
        <f>SUMIFS('data (1)'!$M:$M,'data (1)'!$A:$A,XYZ!C$1,'data (1)'!$J:$J,XYZ!$A155)</f>
        <v>0</v>
      </c>
      <c r="D155">
        <f>SUMIFS('data (1)'!$M:$M,'data (1)'!$A:$A,XYZ!D$1,'data (1)'!$J:$J,XYZ!$A155)</f>
        <v>0</v>
      </c>
      <c r="E155">
        <f>SUMIFS('data (1)'!$M:$M,'data (1)'!$A:$A,XYZ!E$1,'data (1)'!$J:$J,XYZ!$A155)</f>
        <v>0</v>
      </c>
      <c r="F155">
        <f>SUMIFS('data (1)'!$M:$M,'data (1)'!$A:$A,XYZ!F$1,'data (1)'!$J:$J,XYZ!$A155)</f>
        <v>0</v>
      </c>
      <c r="G155">
        <f>SUMIFS('data (1)'!$M:$M,'data (1)'!$A:$A,XYZ!G$1,'data (1)'!$J:$J,XYZ!$A155)</f>
        <v>2</v>
      </c>
    </row>
    <row r="156" spans="1:7" x14ac:dyDescent="0.15">
      <c r="A156" t="s">
        <v>848</v>
      </c>
      <c r="B156" s="11">
        <f t="shared" si="2"/>
        <v>1.3693063937629151</v>
      </c>
      <c r="C156">
        <f>SUMIFS('data (1)'!$M:$M,'data (1)'!$A:$A,XYZ!C$1,'data (1)'!$J:$J,XYZ!$A156)</f>
        <v>0</v>
      </c>
      <c r="D156">
        <f>SUMIFS('data (1)'!$M:$M,'data (1)'!$A:$A,XYZ!D$1,'data (1)'!$J:$J,XYZ!$A156)</f>
        <v>0</v>
      </c>
      <c r="E156">
        <f>SUMIFS('data (1)'!$M:$M,'data (1)'!$A:$A,XYZ!E$1,'data (1)'!$J:$J,XYZ!$A156)</f>
        <v>1</v>
      </c>
      <c r="F156">
        <f>SUMIFS('data (1)'!$M:$M,'data (1)'!$A:$A,XYZ!F$1,'data (1)'!$J:$J,XYZ!$A156)</f>
        <v>1</v>
      </c>
      <c r="G156">
        <f>SUMIFS('data (1)'!$M:$M,'data (1)'!$A:$A,XYZ!G$1,'data (1)'!$J:$J,XYZ!$A156)</f>
        <v>0</v>
      </c>
    </row>
    <row r="157" spans="1:7" x14ac:dyDescent="0.15">
      <c r="A157" t="s">
        <v>692</v>
      </c>
      <c r="B157" s="11">
        <f t="shared" si="2"/>
        <v>2.2360679774997894</v>
      </c>
      <c r="C157">
        <f>SUMIFS('data (1)'!$M:$M,'data (1)'!$A:$A,XYZ!C$1,'data (1)'!$J:$J,XYZ!$A157)</f>
        <v>0</v>
      </c>
      <c r="D157">
        <f>SUMIFS('data (1)'!$M:$M,'data (1)'!$A:$A,XYZ!D$1,'data (1)'!$J:$J,XYZ!$A157)</f>
        <v>2</v>
      </c>
      <c r="E157">
        <f>SUMIFS('data (1)'!$M:$M,'data (1)'!$A:$A,XYZ!E$1,'data (1)'!$J:$J,XYZ!$A157)</f>
        <v>0</v>
      </c>
      <c r="F157">
        <f>SUMIFS('data (1)'!$M:$M,'data (1)'!$A:$A,XYZ!F$1,'data (1)'!$J:$J,XYZ!$A157)</f>
        <v>0</v>
      </c>
      <c r="G157">
        <f>SUMIFS('data (1)'!$M:$M,'data (1)'!$A:$A,XYZ!G$1,'data (1)'!$J:$J,XYZ!$A157)</f>
        <v>0</v>
      </c>
    </row>
    <row r="158" spans="1:7" x14ac:dyDescent="0.15">
      <c r="A158" t="s">
        <v>296</v>
      </c>
      <c r="B158" s="11">
        <f t="shared" si="2"/>
        <v>1.3693063937629151</v>
      </c>
      <c r="C158">
        <f>SUMIFS('data (1)'!$M:$M,'data (1)'!$A:$A,XYZ!C$1,'data (1)'!$J:$J,XYZ!$A158)</f>
        <v>1</v>
      </c>
      <c r="D158">
        <f>SUMIFS('data (1)'!$M:$M,'data (1)'!$A:$A,XYZ!D$1,'data (1)'!$J:$J,XYZ!$A158)</f>
        <v>0</v>
      </c>
      <c r="E158">
        <f>SUMIFS('data (1)'!$M:$M,'data (1)'!$A:$A,XYZ!E$1,'data (1)'!$J:$J,XYZ!$A158)</f>
        <v>1</v>
      </c>
      <c r="F158">
        <f>SUMIFS('data (1)'!$M:$M,'data (1)'!$A:$A,XYZ!F$1,'data (1)'!$J:$J,XYZ!$A158)</f>
        <v>0</v>
      </c>
      <c r="G158">
        <f>SUMIFS('data (1)'!$M:$M,'data (1)'!$A:$A,XYZ!G$1,'data (1)'!$J:$J,XYZ!$A158)</f>
        <v>0</v>
      </c>
    </row>
    <row r="159" spans="1:7" x14ac:dyDescent="0.15">
      <c r="A159" t="s">
        <v>130</v>
      </c>
      <c r="B159" s="11">
        <f t="shared" si="2"/>
        <v>1.3693063937629151</v>
      </c>
      <c r="C159">
        <f>SUMIFS('data (1)'!$M:$M,'data (1)'!$A:$A,XYZ!C$1,'data (1)'!$J:$J,XYZ!$A159)</f>
        <v>1</v>
      </c>
      <c r="D159">
        <f>SUMIFS('data (1)'!$M:$M,'data (1)'!$A:$A,XYZ!D$1,'data (1)'!$J:$J,XYZ!$A159)</f>
        <v>0</v>
      </c>
      <c r="E159">
        <f>SUMIFS('data (1)'!$M:$M,'data (1)'!$A:$A,XYZ!E$1,'data (1)'!$J:$J,XYZ!$A159)</f>
        <v>0</v>
      </c>
      <c r="F159">
        <f>SUMIFS('data (1)'!$M:$M,'data (1)'!$A:$A,XYZ!F$1,'data (1)'!$J:$J,XYZ!$A159)</f>
        <v>0</v>
      </c>
      <c r="G159">
        <f>SUMIFS('data (1)'!$M:$M,'data (1)'!$A:$A,XYZ!G$1,'data (1)'!$J:$J,XYZ!$A159)</f>
        <v>1</v>
      </c>
    </row>
    <row r="160" spans="1:7" x14ac:dyDescent="0.15">
      <c r="A160" t="s">
        <v>558</v>
      </c>
      <c r="B160" s="11">
        <f t="shared" si="2"/>
        <v>1.3693063937629151</v>
      </c>
      <c r="C160">
        <f>SUMIFS('data (1)'!$M:$M,'data (1)'!$A:$A,XYZ!C$1,'data (1)'!$J:$J,XYZ!$A160)</f>
        <v>0</v>
      </c>
      <c r="D160">
        <f>SUMIFS('data (1)'!$M:$M,'data (1)'!$A:$A,XYZ!D$1,'data (1)'!$J:$J,XYZ!$A160)</f>
        <v>1</v>
      </c>
      <c r="E160">
        <f>SUMIFS('data (1)'!$M:$M,'data (1)'!$A:$A,XYZ!E$1,'data (1)'!$J:$J,XYZ!$A160)</f>
        <v>0</v>
      </c>
      <c r="F160">
        <f>SUMIFS('data (1)'!$M:$M,'data (1)'!$A:$A,XYZ!F$1,'data (1)'!$J:$J,XYZ!$A160)</f>
        <v>0</v>
      </c>
      <c r="G160">
        <f>SUMIFS('data (1)'!$M:$M,'data (1)'!$A:$A,XYZ!G$1,'data (1)'!$J:$J,XYZ!$A160)</f>
        <v>1</v>
      </c>
    </row>
    <row r="161" spans="1:7" x14ac:dyDescent="0.15">
      <c r="A161" t="s">
        <v>902</v>
      </c>
      <c r="B161" s="11">
        <f t="shared" si="2"/>
        <v>1.3693063937629151</v>
      </c>
      <c r="C161">
        <f>SUMIFS('data (1)'!$M:$M,'data (1)'!$A:$A,XYZ!C$1,'data (1)'!$J:$J,XYZ!$A161)</f>
        <v>0</v>
      </c>
      <c r="D161">
        <f>SUMIFS('data (1)'!$M:$M,'data (1)'!$A:$A,XYZ!D$1,'data (1)'!$J:$J,XYZ!$A161)</f>
        <v>0</v>
      </c>
      <c r="E161">
        <f>SUMIFS('data (1)'!$M:$M,'data (1)'!$A:$A,XYZ!E$1,'data (1)'!$J:$J,XYZ!$A161)</f>
        <v>1</v>
      </c>
      <c r="F161">
        <f>SUMIFS('data (1)'!$M:$M,'data (1)'!$A:$A,XYZ!F$1,'data (1)'!$J:$J,XYZ!$A161)</f>
        <v>0</v>
      </c>
      <c r="G161">
        <f>SUMIFS('data (1)'!$M:$M,'data (1)'!$A:$A,XYZ!G$1,'data (1)'!$J:$J,XYZ!$A161)</f>
        <v>1</v>
      </c>
    </row>
    <row r="162" spans="1:7" x14ac:dyDescent="0.15">
      <c r="A162" t="s">
        <v>40</v>
      </c>
      <c r="B162" s="11">
        <f t="shared" si="2"/>
        <v>1.3693063937629151</v>
      </c>
      <c r="C162">
        <f>SUMIFS('data (1)'!$M:$M,'data (1)'!$A:$A,XYZ!C$1,'data (1)'!$J:$J,XYZ!$A162)</f>
        <v>1</v>
      </c>
      <c r="D162">
        <f>SUMIFS('data (1)'!$M:$M,'data (1)'!$A:$A,XYZ!D$1,'data (1)'!$J:$J,XYZ!$A162)</f>
        <v>1</v>
      </c>
      <c r="E162">
        <f>SUMIFS('data (1)'!$M:$M,'data (1)'!$A:$A,XYZ!E$1,'data (1)'!$J:$J,XYZ!$A162)</f>
        <v>0</v>
      </c>
      <c r="F162">
        <f>SUMIFS('data (1)'!$M:$M,'data (1)'!$A:$A,XYZ!F$1,'data (1)'!$J:$J,XYZ!$A162)</f>
        <v>0</v>
      </c>
      <c r="G162">
        <f>SUMIFS('data (1)'!$M:$M,'data (1)'!$A:$A,XYZ!G$1,'data (1)'!$J:$J,XYZ!$A162)</f>
        <v>0</v>
      </c>
    </row>
    <row r="163" spans="1:7" x14ac:dyDescent="0.15">
      <c r="A163" t="s">
        <v>993</v>
      </c>
      <c r="B163" s="11">
        <f t="shared" si="2"/>
        <v>2.2360679774997894</v>
      </c>
      <c r="C163">
        <f>SUMIFS('data (1)'!$M:$M,'data (1)'!$A:$A,XYZ!C$1,'data (1)'!$J:$J,XYZ!$A163)</f>
        <v>0</v>
      </c>
      <c r="D163">
        <f>SUMIFS('data (1)'!$M:$M,'data (1)'!$A:$A,XYZ!D$1,'data (1)'!$J:$J,XYZ!$A163)</f>
        <v>0</v>
      </c>
      <c r="E163">
        <f>SUMIFS('data (1)'!$M:$M,'data (1)'!$A:$A,XYZ!E$1,'data (1)'!$J:$J,XYZ!$A163)</f>
        <v>0</v>
      </c>
      <c r="F163">
        <f>SUMIFS('data (1)'!$M:$M,'data (1)'!$A:$A,XYZ!F$1,'data (1)'!$J:$J,XYZ!$A163)</f>
        <v>2</v>
      </c>
      <c r="G163">
        <f>SUMIFS('data (1)'!$M:$M,'data (1)'!$A:$A,XYZ!G$1,'data (1)'!$J:$J,XYZ!$A163)</f>
        <v>0</v>
      </c>
    </row>
    <row r="164" spans="1:7" x14ac:dyDescent="0.15">
      <c r="A164" t="s">
        <v>881</v>
      </c>
      <c r="B164" s="11">
        <f t="shared" si="2"/>
        <v>1.3693063937629151</v>
      </c>
      <c r="C164">
        <f>SUMIFS('data (1)'!$M:$M,'data (1)'!$A:$A,XYZ!C$1,'data (1)'!$J:$J,XYZ!$A164)</f>
        <v>0</v>
      </c>
      <c r="D164">
        <f>SUMIFS('data (1)'!$M:$M,'data (1)'!$A:$A,XYZ!D$1,'data (1)'!$J:$J,XYZ!$A164)</f>
        <v>0</v>
      </c>
      <c r="E164">
        <f>SUMIFS('data (1)'!$M:$M,'data (1)'!$A:$A,XYZ!E$1,'data (1)'!$J:$J,XYZ!$A164)</f>
        <v>1</v>
      </c>
      <c r="F164">
        <f>SUMIFS('data (1)'!$M:$M,'data (1)'!$A:$A,XYZ!F$1,'data (1)'!$J:$J,XYZ!$A164)</f>
        <v>1</v>
      </c>
      <c r="G164">
        <f>SUMIFS('data (1)'!$M:$M,'data (1)'!$A:$A,XYZ!G$1,'data (1)'!$J:$J,XYZ!$A164)</f>
        <v>0</v>
      </c>
    </row>
    <row r="165" spans="1:7" x14ac:dyDescent="0.15">
      <c r="A165" t="s">
        <v>875</v>
      </c>
      <c r="B165" s="11">
        <f t="shared" si="2"/>
        <v>1.3693063937629151</v>
      </c>
      <c r="C165">
        <f>SUMIFS('data (1)'!$M:$M,'data (1)'!$A:$A,XYZ!C$1,'data (1)'!$J:$J,XYZ!$A165)</f>
        <v>0</v>
      </c>
      <c r="D165">
        <f>SUMIFS('data (1)'!$M:$M,'data (1)'!$A:$A,XYZ!D$1,'data (1)'!$J:$J,XYZ!$A165)</f>
        <v>0</v>
      </c>
      <c r="E165">
        <f>SUMIFS('data (1)'!$M:$M,'data (1)'!$A:$A,XYZ!E$1,'data (1)'!$J:$J,XYZ!$A165)</f>
        <v>1</v>
      </c>
      <c r="F165">
        <f>SUMIFS('data (1)'!$M:$M,'data (1)'!$A:$A,XYZ!F$1,'data (1)'!$J:$J,XYZ!$A165)</f>
        <v>0</v>
      </c>
      <c r="G165">
        <f>SUMIFS('data (1)'!$M:$M,'data (1)'!$A:$A,XYZ!G$1,'data (1)'!$J:$J,XYZ!$A165)</f>
        <v>1</v>
      </c>
    </row>
    <row r="166" spans="1:7" x14ac:dyDescent="0.15">
      <c r="A166" t="s">
        <v>280</v>
      </c>
      <c r="B166" s="11">
        <f t="shared" si="2"/>
        <v>1.3693063937629151</v>
      </c>
      <c r="C166">
        <f>SUMIFS('data (1)'!$M:$M,'data (1)'!$A:$A,XYZ!C$1,'data (1)'!$J:$J,XYZ!$A166)</f>
        <v>1</v>
      </c>
      <c r="D166">
        <f>SUMIFS('data (1)'!$M:$M,'data (1)'!$A:$A,XYZ!D$1,'data (1)'!$J:$J,XYZ!$A166)</f>
        <v>0</v>
      </c>
      <c r="E166">
        <f>SUMIFS('data (1)'!$M:$M,'data (1)'!$A:$A,XYZ!E$1,'data (1)'!$J:$J,XYZ!$A166)</f>
        <v>0</v>
      </c>
      <c r="F166">
        <f>SUMIFS('data (1)'!$M:$M,'data (1)'!$A:$A,XYZ!F$1,'data (1)'!$J:$J,XYZ!$A166)</f>
        <v>1</v>
      </c>
      <c r="G166">
        <f>SUMIFS('data (1)'!$M:$M,'data (1)'!$A:$A,XYZ!G$1,'data (1)'!$J:$J,XYZ!$A166)</f>
        <v>0</v>
      </c>
    </row>
    <row r="167" spans="1:7" x14ac:dyDescent="0.15">
      <c r="A167" t="s">
        <v>702</v>
      </c>
      <c r="B167" s="11">
        <f t="shared" si="2"/>
        <v>1.3693063937629151</v>
      </c>
      <c r="C167">
        <f>SUMIFS('data (1)'!$M:$M,'data (1)'!$A:$A,XYZ!C$1,'data (1)'!$J:$J,XYZ!$A167)</f>
        <v>0</v>
      </c>
      <c r="D167">
        <f>SUMIFS('data (1)'!$M:$M,'data (1)'!$A:$A,XYZ!D$1,'data (1)'!$J:$J,XYZ!$A167)</f>
        <v>1</v>
      </c>
      <c r="E167">
        <f>SUMIFS('data (1)'!$M:$M,'data (1)'!$A:$A,XYZ!E$1,'data (1)'!$J:$J,XYZ!$A167)</f>
        <v>1</v>
      </c>
      <c r="F167">
        <f>SUMIFS('data (1)'!$M:$M,'data (1)'!$A:$A,XYZ!F$1,'data (1)'!$J:$J,XYZ!$A167)</f>
        <v>0</v>
      </c>
      <c r="G167">
        <f>SUMIFS('data (1)'!$M:$M,'data (1)'!$A:$A,XYZ!G$1,'data (1)'!$J:$J,XYZ!$A167)</f>
        <v>0</v>
      </c>
    </row>
    <row r="168" spans="1:7" x14ac:dyDescent="0.15">
      <c r="A168" t="s">
        <v>83</v>
      </c>
      <c r="B168" s="11">
        <f t="shared" si="2"/>
        <v>2.2360679774997894</v>
      </c>
      <c r="C168">
        <f>SUMIFS('data (1)'!$M:$M,'data (1)'!$A:$A,XYZ!C$1,'data (1)'!$J:$J,XYZ!$A168)</f>
        <v>2</v>
      </c>
      <c r="D168">
        <f>SUMIFS('data (1)'!$M:$M,'data (1)'!$A:$A,XYZ!D$1,'data (1)'!$J:$J,XYZ!$A168)</f>
        <v>0</v>
      </c>
      <c r="E168">
        <f>SUMIFS('data (1)'!$M:$M,'data (1)'!$A:$A,XYZ!E$1,'data (1)'!$J:$J,XYZ!$A168)</f>
        <v>0</v>
      </c>
      <c r="F168">
        <f>SUMIFS('data (1)'!$M:$M,'data (1)'!$A:$A,XYZ!F$1,'data (1)'!$J:$J,XYZ!$A168)</f>
        <v>0</v>
      </c>
      <c r="G168">
        <f>SUMIFS('data (1)'!$M:$M,'data (1)'!$A:$A,XYZ!G$1,'data (1)'!$J:$J,XYZ!$A168)</f>
        <v>0</v>
      </c>
    </row>
    <row r="169" spans="1:7" x14ac:dyDescent="0.15">
      <c r="A169" t="s">
        <v>625</v>
      </c>
      <c r="B169" s="11">
        <f t="shared" si="2"/>
        <v>2.2360679774997894</v>
      </c>
      <c r="C169">
        <f>SUMIFS('data (1)'!$M:$M,'data (1)'!$A:$A,XYZ!C$1,'data (1)'!$J:$J,XYZ!$A169)</f>
        <v>0</v>
      </c>
      <c r="D169">
        <f>SUMIFS('data (1)'!$M:$M,'data (1)'!$A:$A,XYZ!D$1,'data (1)'!$J:$J,XYZ!$A169)</f>
        <v>2</v>
      </c>
      <c r="E169">
        <f>SUMIFS('data (1)'!$M:$M,'data (1)'!$A:$A,XYZ!E$1,'data (1)'!$J:$J,XYZ!$A169)</f>
        <v>0</v>
      </c>
      <c r="F169">
        <f>SUMIFS('data (1)'!$M:$M,'data (1)'!$A:$A,XYZ!F$1,'data (1)'!$J:$J,XYZ!$A169)</f>
        <v>0</v>
      </c>
      <c r="G169">
        <f>SUMIFS('data (1)'!$M:$M,'data (1)'!$A:$A,XYZ!G$1,'data (1)'!$J:$J,XYZ!$A169)</f>
        <v>0</v>
      </c>
    </row>
    <row r="170" spans="1:7" x14ac:dyDescent="0.15">
      <c r="A170" t="s">
        <v>242</v>
      </c>
      <c r="B170" s="11">
        <f t="shared" si="2"/>
        <v>1.3693063937629151</v>
      </c>
      <c r="C170">
        <f>SUMIFS('data (1)'!$M:$M,'data (1)'!$A:$A,XYZ!C$1,'data (1)'!$J:$J,XYZ!$A170)</f>
        <v>1</v>
      </c>
      <c r="D170">
        <f>SUMIFS('data (1)'!$M:$M,'data (1)'!$A:$A,XYZ!D$1,'data (1)'!$J:$J,XYZ!$A170)</f>
        <v>0</v>
      </c>
      <c r="E170">
        <f>SUMIFS('data (1)'!$M:$M,'data (1)'!$A:$A,XYZ!E$1,'data (1)'!$J:$J,XYZ!$A170)</f>
        <v>0</v>
      </c>
      <c r="F170">
        <f>SUMIFS('data (1)'!$M:$M,'data (1)'!$A:$A,XYZ!F$1,'data (1)'!$J:$J,XYZ!$A170)</f>
        <v>1</v>
      </c>
      <c r="G170">
        <f>SUMIFS('data (1)'!$M:$M,'data (1)'!$A:$A,XYZ!G$1,'data (1)'!$J:$J,XYZ!$A170)</f>
        <v>0</v>
      </c>
    </row>
    <row r="171" spans="1:7" x14ac:dyDescent="0.15">
      <c r="A171" t="s">
        <v>464</v>
      </c>
      <c r="B171" s="11">
        <f t="shared" si="2"/>
        <v>1.3693063937629151</v>
      </c>
      <c r="C171">
        <f>SUMIFS('data (1)'!$M:$M,'data (1)'!$A:$A,XYZ!C$1,'data (1)'!$J:$J,XYZ!$A171)</f>
        <v>1</v>
      </c>
      <c r="D171">
        <f>SUMIFS('data (1)'!$M:$M,'data (1)'!$A:$A,XYZ!D$1,'data (1)'!$J:$J,XYZ!$A171)</f>
        <v>0</v>
      </c>
      <c r="E171">
        <f>SUMIFS('data (1)'!$M:$M,'data (1)'!$A:$A,XYZ!E$1,'data (1)'!$J:$J,XYZ!$A171)</f>
        <v>0</v>
      </c>
      <c r="F171">
        <f>SUMIFS('data (1)'!$M:$M,'data (1)'!$A:$A,XYZ!F$1,'data (1)'!$J:$J,XYZ!$A171)</f>
        <v>0</v>
      </c>
      <c r="G171">
        <f>SUMIFS('data (1)'!$M:$M,'data (1)'!$A:$A,XYZ!G$1,'data (1)'!$J:$J,XYZ!$A171)</f>
        <v>1</v>
      </c>
    </row>
    <row r="172" spans="1:7" x14ac:dyDescent="0.15">
      <c r="A172" t="s">
        <v>806</v>
      </c>
      <c r="B172" s="11">
        <f t="shared" si="2"/>
        <v>1.3693063937629151</v>
      </c>
      <c r="C172">
        <f>SUMIFS('data (1)'!$M:$M,'data (1)'!$A:$A,XYZ!C$1,'data (1)'!$J:$J,XYZ!$A172)</f>
        <v>0</v>
      </c>
      <c r="D172">
        <f>SUMIFS('data (1)'!$M:$M,'data (1)'!$A:$A,XYZ!D$1,'data (1)'!$J:$J,XYZ!$A172)</f>
        <v>0</v>
      </c>
      <c r="E172">
        <f>SUMIFS('data (1)'!$M:$M,'data (1)'!$A:$A,XYZ!E$1,'data (1)'!$J:$J,XYZ!$A172)</f>
        <v>1</v>
      </c>
      <c r="F172">
        <f>SUMIFS('data (1)'!$M:$M,'data (1)'!$A:$A,XYZ!F$1,'data (1)'!$J:$J,XYZ!$A172)</f>
        <v>0</v>
      </c>
      <c r="G172">
        <f>SUMIFS('data (1)'!$M:$M,'data (1)'!$A:$A,XYZ!G$1,'data (1)'!$J:$J,XYZ!$A172)</f>
        <v>1</v>
      </c>
    </row>
    <row r="173" spans="1:7" x14ac:dyDescent="0.15">
      <c r="A173" t="s">
        <v>513</v>
      </c>
      <c r="B173" s="11">
        <f t="shared" si="2"/>
        <v>1.3693063937629151</v>
      </c>
      <c r="C173">
        <f>SUMIFS('data (1)'!$M:$M,'data (1)'!$A:$A,XYZ!C$1,'data (1)'!$J:$J,XYZ!$A173)</f>
        <v>0</v>
      </c>
      <c r="D173">
        <f>SUMIFS('data (1)'!$M:$M,'data (1)'!$A:$A,XYZ!D$1,'data (1)'!$J:$J,XYZ!$A173)</f>
        <v>1</v>
      </c>
      <c r="E173">
        <f>SUMIFS('data (1)'!$M:$M,'data (1)'!$A:$A,XYZ!E$1,'data (1)'!$J:$J,XYZ!$A173)</f>
        <v>1</v>
      </c>
      <c r="F173">
        <f>SUMIFS('data (1)'!$M:$M,'data (1)'!$A:$A,XYZ!F$1,'data (1)'!$J:$J,XYZ!$A173)</f>
        <v>0</v>
      </c>
      <c r="G173">
        <f>SUMIFS('data (1)'!$M:$M,'data (1)'!$A:$A,XYZ!G$1,'data (1)'!$J:$J,XYZ!$A173)</f>
        <v>0</v>
      </c>
    </row>
    <row r="174" spans="1:7" x14ac:dyDescent="0.15">
      <c r="A174" t="s">
        <v>805</v>
      </c>
      <c r="B174" s="11">
        <f t="shared" si="2"/>
        <v>1.3693063937629151</v>
      </c>
      <c r="C174">
        <f>SUMIFS('data (1)'!$M:$M,'data (1)'!$A:$A,XYZ!C$1,'data (1)'!$J:$J,XYZ!$A174)</f>
        <v>0</v>
      </c>
      <c r="D174">
        <f>SUMIFS('data (1)'!$M:$M,'data (1)'!$A:$A,XYZ!D$1,'data (1)'!$J:$J,XYZ!$A174)</f>
        <v>0</v>
      </c>
      <c r="E174">
        <f>SUMIFS('data (1)'!$M:$M,'data (1)'!$A:$A,XYZ!E$1,'data (1)'!$J:$J,XYZ!$A174)</f>
        <v>1</v>
      </c>
      <c r="F174">
        <f>SUMIFS('data (1)'!$M:$M,'data (1)'!$A:$A,XYZ!F$1,'data (1)'!$J:$J,XYZ!$A174)</f>
        <v>0</v>
      </c>
      <c r="G174">
        <f>SUMIFS('data (1)'!$M:$M,'data (1)'!$A:$A,XYZ!G$1,'data (1)'!$J:$J,XYZ!$A174)</f>
        <v>1</v>
      </c>
    </row>
    <row r="175" spans="1:7" x14ac:dyDescent="0.15">
      <c r="A175" t="s">
        <v>705</v>
      </c>
      <c r="B175" s="11">
        <f t="shared" si="2"/>
        <v>1.3693063937629151</v>
      </c>
      <c r="C175">
        <f>SUMIFS('data (1)'!$M:$M,'data (1)'!$A:$A,XYZ!C$1,'data (1)'!$J:$J,XYZ!$A175)</f>
        <v>0</v>
      </c>
      <c r="D175">
        <f>SUMIFS('data (1)'!$M:$M,'data (1)'!$A:$A,XYZ!D$1,'data (1)'!$J:$J,XYZ!$A175)</f>
        <v>1</v>
      </c>
      <c r="E175">
        <f>SUMIFS('data (1)'!$M:$M,'data (1)'!$A:$A,XYZ!E$1,'data (1)'!$J:$J,XYZ!$A175)</f>
        <v>0</v>
      </c>
      <c r="F175">
        <f>SUMIFS('data (1)'!$M:$M,'data (1)'!$A:$A,XYZ!F$1,'data (1)'!$J:$J,XYZ!$A175)</f>
        <v>1</v>
      </c>
      <c r="G175">
        <f>SUMIFS('data (1)'!$M:$M,'data (1)'!$A:$A,XYZ!G$1,'data (1)'!$J:$J,XYZ!$A175)</f>
        <v>0</v>
      </c>
    </row>
    <row r="176" spans="1:7" x14ac:dyDescent="0.15">
      <c r="A176" t="s">
        <v>794</v>
      </c>
      <c r="B176" s="11">
        <f t="shared" si="2"/>
        <v>2.2360679774997894</v>
      </c>
      <c r="C176">
        <f>SUMIFS('data (1)'!$M:$M,'data (1)'!$A:$A,XYZ!C$1,'data (1)'!$J:$J,XYZ!$A176)</f>
        <v>0</v>
      </c>
      <c r="D176">
        <f>SUMIFS('data (1)'!$M:$M,'data (1)'!$A:$A,XYZ!D$1,'data (1)'!$J:$J,XYZ!$A176)</f>
        <v>0</v>
      </c>
      <c r="E176">
        <f>SUMIFS('data (1)'!$M:$M,'data (1)'!$A:$A,XYZ!E$1,'data (1)'!$J:$J,XYZ!$A176)</f>
        <v>2</v>
      </c>
      <c r="F176">
        <f>SUMIFS('data (1)'!$M:$M,'data (1)'!$A:$A,XYZ!F$1,'data (1)'!$J:$J,XYZ!$A176)</f>
        <v>0</v>
      </c>
      <c r="G176">
        <f>SUMIFS('data (1)'!$M:$M,'data (1)'!$A:$A,XYZ!G$1,'data (1)'!$J:$J,XYZ!$A176)</f>
        <v>0</v>
      </c>
    </row>
    <row r="177" spans="1:7" x14ac:dyDescent="0.15">
      <c r="A177" t="s">
        <v>488</v>
      </c>
      <c r="B177" s="11">
        <f t="shared" si="2"/>
        <v>1.3693063937629151</v>
      </c>
      <c r="C177">
        <f>SUMIFS('data (1)'!$M:$M,'data (1)'!$A:$A,XYZ!C$1,'data (1)'!$J:$J,XYZ!$A177)</f>
        <v>0</v>
      </c>
      <c r="D177">
        <f>SUMIFS('data (1)'!$M:$M,'data (1)'!$A:$A,XYZ!D$1,'data (1)'!$J:$J,XYZ!$A177)</f>
        <v>1</v>
      </c>
      <c r="E177">
        <f>SUMIFS('data (1)'!$M:$M,'data (1)'!$A:$A,XYZ!E$1,'data (1)'!$J:$J,XYZ!$A177)</f>
        <v>1</v>
      </c>
      <c r="F177">
        <f>SUMIFS('data (1)'!$M:$M,'data (1)'!$A:$A,XYZ!F$1,'data (1)'!$J:$J,XYZ!$A177)</f>
        <v>0</v>
      </c>
      <c r="G177">
        <f>SUMIFS('data (1)'!$M:$M,'data (1)'!$A:$A,XYZ!G$1,'data (1)'!$J:$J,XYZ!$A177)</f>
        <v>0</v>
      </c>
    </row>
    <row r="178" spans="1:7" x14ac:dyDescent="0.15">
      <c r="A178" t="s">
        <v>570</v>
      </c>
      <c r="B178" s="11">
        <f t="shared" si="2"/>
        <v>1.3693063937629151</v>
      </c>
      <c r="C178">
        <f>SUMIFS('data (1)'!$M:$M,'data (1)'!$A:$A,XYZ!C$1,'data (1)'!$J:$J,XYZ!$A178)</f>
        <v>0</v>
      </c>
      <c r="D178">
        <f>SUMIFS('data (1)'!$M:$M,'data (1)'!$A:$A,XYZ!D$1,'data (1)'!$J:$J,XYZ!$A178)</f>
        <v>1</v>
      </c>
      <c r="E178">
        <f>SUMIFS('data (1)'!$M:$M,'data (1)'!$A:$A,XYZ!E$1,'data (1)'!$J:$J,XYZ!$A178)</f>
        <v>0</v>
      </c>
      <c r="F178">
        <f>SUMIFS('data (1)'!$M:$M,'data (1)'!$A:$A,XYZ!F$1,'data (1)'!$J:$J,XYZ!$A178)</f>
        <v>0</v>
      </c>
      <c r="G178">
        <f>SUMIFS('data (1)'!$M:$M,'data (1)'!$A:$A,XYZ!G$1,'data (1)'!$J:$J,XYZ!$A178)</f>
        <v>1</v>
      </c>
    </row>
    <row r="179" spans="1:7" x14ac:dyDescent="0.15">
      <c r="A179" t="s">
        <v>264</v>
      </c>
      <c r="B179" s="11">
        <f t="shared" si="2"/>
        <v>1.3693063937629151</v>
      </c>
      <c r="C179">
        <f>SUMIFS('data (1)'!$M:$M,'data (1)'!$A:$A,XYZ!C$1,'data (1)'!$J:$J,XYZ!$A179)</f>
        <v>1</v>
      </c>
      <c r="D179">
        <f>SUMIFS('data (1)'!$M:$M,'data (1)'!$A:$A,XYZ!D$1,'data (1)'!$J:$J,XYZ!$A179)</f>
        <v>1</v>
      </c>
      <c r="E179">
        <f>SUMIFS('data (1)'!$M:$M,'data (1)'!$A:$A,XYZ!E$1,'data (1)'!$J:$J,XYZ!$A179)</f>
        <v>0</v>
      </c>
      <c r="F179">
        <f>SUMIFS('data (1)'!$M:$M,'data (1)'!$A:$A,XYZ!F$1,'data (1)'!$J:$J,XYZ!$A179)</f>
        <v>0</v>
      </c>
      <c r="G179">
        <f>SUMIFS('data (1)'!$M:$M,'data (1)'!$A:$A,XYZ!G$1,'data (1)'!$J:$J,XYZ!$A179)</f>
        <v>0</v>
      </c>
    </row>
    <row r="180" spans="1:7" x14ac:dyDescent="0.15">
      <c r="A180" t="s">
        <v>285</v>
      </c>
      <c r="B180" s="11">
        <f t="shared" si="2"/>
        <v>1.3693063937629151</v>
      </c>
      <c r="C180">
        <f>SUMIFS('data (1)'!$M:$M,'data (1)'!$A:$A,XYZ!C$1,'data (1)'!$J:$J,XYZ!$A180)</f>
        <v>1</v>
      </c>
      <c r="D180">
        <f>SUMIFS('data (1)'!$M:$M,'data (1)'!$A:$A,XYZ!D$1,'data (1)'!$J:$J,XYZ!$A180)</f>
        <v>0</v>
      </c>
      <c r="E180">
        <f>SUMIFS('data (1)'!$M:$M,'data (1)'!$A:$A,XYZ!E$1,'data (1)'!$J:$J,XYZ!$A180)</f>
        <v>0</v>
      </c>
      <c r="F180">
        <f>SUMIFS('data (1)'!$M:$M,'data (1)'!$A:$A,XYZ!F$1,'data (1)'!$J:$J,XYZ!$A180)</f>
        <v>0</v>
      </c>
      <c r="G180">
        <f>SUMIFS('data (1)'!$M:$M,'data (1)'!$A:$A,XYZ!G$1,'data (1)'!$J:$J,XYZ!$A180)</f>
        <v>1</v>
      </c>
    </row>
    <row r="181" spans="1:7" x14ac:dyDescent="0.15">
      <c r="A181" t="s">
        <v>684</v>
      </c>
      <c r="B181" s="11">
        <f t="shared" si="2"/>
        <v>1.3693063937629151</v>
      </c>
      <c r="C181">
        <f>SUMIFS('data (1)'!$M:$M,'data (1)'!$A:$A,XYZ!C$1,'data (1)'!$J:$J,XYZ!$A181)</f>
        <v>0</v>
      </c>
      <c r="D181">
        <f>SUMIFS('data (1)'!$M:$M,'data (1)'!$A:$A,XYZ!D$1,'data (1)'!$J:$J,XYZ!$A181)</f>
        <v>1</v>
      </c>
      <c r="E181">
        <f>SUMIFS('data (1)'!$M:$M,'data (1)'!$A:$A,XYZ!E$1,'data (1)'!$J:$J,XYZ!$A181)</f>
        <v>0</v>
      </c>
      <c r="F181">
        <f>SUMIFS('data (1)'!$M:$M,'data (1)'!$A:$A,XYZ!F$1,'data (1)'!$J:$J,XYZ!$A181)</f>
        <v>0</v>
      </c>
      <c r="G181">
        <f>SUMIFS('data (1)'!$M:$M,'data (1)'!$A:$A,XYZ!G$1,'data (1)'!$J:$J,XYZ!$A181)</f>
        <v>1</v>
      </c>
    </row>
    <row r="182" spans="1:7" x14ac:dyDescent="0.15">
      <c r="A182" t="s">
        <v>525</v>
      </c>
      <c r="B182" s="11">
        <f t="shared" si="2"/>
        <v>2.2360679774997894</v>
      </c>
      <c r="C182">
        <f>SUMIFS('data (1)'!$M:$M,'data (1)'!$A:$A,XYZ!C$1,'data (1)'!$J:$J,XYZ!$A182)</f>
        <v>0</v>
      </c>
      <c r="D182">
        <f>SUMIFS('data (1)'!$M:$M,'data (1)'!$A:$A,XYZ!D$1,'data (1)'!$J:$J,XYZ!$A182)</f>
        <v>2</v>
      </c>
      <c r="E182">
        <f>SUMIFS('data (1)'!$M:$M,'data (1)'!$A:$A,XYZ!E$1,'data (1)'!$J:$J,XYZ!$A182)</f>
        <v>0</v>
      </c>
      <c r="F182">
        <f>SUMIFS('data (1)'!$M:$M,'data (1)'!$A:$A,XYZ!F$1,'data (1)'!$J:$J,XYZ!$A182)</f>
        <v>0</v>
      </c>
      <c r="G182">
        <f>SUMIFS('data (1)'!$M:$M,'data (1)'!$A:$A,XYZ!G$1,'data (1)'!$J:$J,XYZ!$A182)</f>
        <v>0</v>
      </c>
    </row>
    <row r="183" spans="1:7" x14ac:dyDescent="0.15">
      <c r="A183" t="s">
        <v>340</v>
      </c>
      <c r="B183" s="11">
        <f t="shared" si="2"/>
        <v>1.3693063937629151</v>
      </c>
      <c r="C183">
        <f>SUMIFS('data (1)'!$M:$M,'data (1)'!$A:$A,XYZ!C$1,'data (1)'!$J:$J,XYZ!$A183)</f>
        <v>1</v>
      </c>
      <c r="D183">
        <f>SUMIFS('data (1)'!$M:$M,'data (1)'!$A:$A,XYZ!D$1,'data (1)'!$J:$J,XYZ!$A183)</f>
        <v>0</v>
      </c>
      <c r="E183">
        <f>SUMIFS('data (1)'!$M:$M,'data (1)'!$A:$A,XYZ!E$1,'data (1)'!$J:$J,XYZ!$A183)</f>
        <v>0</v>
      </c>
      <c r="F183">
        <f>SUMIFS('data (1)'!$M:$M,'data (1)'!$A:$A,XYZ!F$1,'data (1)'!$J:$J,XYZ!$A183)</f>
        <v>1</v>
      </c>
      <c r="G183">
        <f>SUMIFS('data (1)'!$M:$M,'data (1)'!$A:$A,XYZ!G$1,'data (1)'!$J:$J,XYZ!$A183)</f>
        <v>0</v>
      </c>
    </row>
    <row r="184" spans="1:7" x14ac:dyDescent="0.15">
      <c r="A184" t="s">
        <v>319</v>
      </c>
      <c r="B184" s="11">
        <f t="shared" si="2"/>
        <v>2.2360679774997894</v>
      </c>
      <c r="C184">
        <f>SUMIFS('data (1)'!$M:$M,'data (1)'!$A:$A,XYZ!C$1,'data (1)'!$J:$J,XYZ!$A184)</f>
        <v>2</v>
      </c>
      <c r="D184">
        <f>SUMIFS('data (1)'!$M:$M,'data (1)'!$A:$A,XYZ!D$1,'data (1)'!$J:$J,XYZ!$A184)</f>
        <v>0</v>
      </c>
      <c r="E184">
        <f>SUMIFS('data (1)'!$M:$M,'data (1)'!$A:$A,XYZ!E$1,'data (1)'!$J:$J,XYZ!$A184)</f>
        <v>0</v>
      </c>
      <c r="F184">
        <f>SUMIFS('data (1)'!$M:$M,'data (1)'!$A:$A,XYZ!F$1,'data (1)'!$J:$J,XYZ!$A184)</f>
        <v>0</v>
      </c>
      <c r="G184">
        <f>SUMIFS('data (1)'!$M:$M,'data (1)'!$A:$A,XYZ!G$1,'data (1)'!$J:$J,XYZ!$A184)</f>
        <v>0</v>
      </c>
    </row>
    <row r="185" spans="1:7" x14ac:dyDescent="0.15">
      <c r="A185" t="s">
        <v>861</v>
      </c>
      <c r="B185" s="11">
        <f t="shared" si="2"/>
        <v>2.2360679774997894</v>
      </c>
      <c r="C185">
        <f>SUMIFS('data (1)'!$M:$M,'data (1)'!$A:$A,XYZ!C$1,'data (1)'!$J:$J,XYZ!$A185)</f>
        <v>0</v>
      </c>
      <c r="D185">
        <f>SUMIFS('data (1)'!$M:$M,'data (1)'!$A:$A,XYZ!D$1,'data (1)'!$J:$J,XYZ!$A185)</f>
        <v>0</v>
      </c>
      <c r="E185">
        <f>SUMIFS('data (1)'!$M:$M,'data (1)'!$A:$A,XYZ!E$1,'data (1)'!$J:$J,XYZ!$A185)</f>
        <v>2</v>
      </c>
      <c r="F185">
        <f>SUMIFS('data (1)'!$M:$M,'data (1)'!$A:$A,XYZ!F$1,'data (1)'!$J:$J,XYZ!$A185)</f>
        <v>0</v>
      </c>
      <c r="G185">
        <f>SUMIFS('data (1)'!$M:$M,'data (1)'!$A:$A,XYZ!G$1,'data (1)'!$J:$J,XYZ!$A185)</f>
        <v>0</v>
      </c>
    </row>
    <row r="186" spans="1:7" x14ac:dyDescent="0.15">
      <c r="A186" t="s">
        <v>1185</v>
      </c>
      <c r="B186" s="11">
        <f t="shared" si="2"/>
        <v>2.2360679774997894</v>
      </c>
      <c r="C186">
        <f>SUMIFS('data (1)'!$M:$M,'data (1)'!$A:$A,XYZ!C$1,'data (1)'!$J:$J,XYZ!$A186)</f>
        <v>0</v>
      </c>
      <c r="D186">
        <f>SUMIFS('data (1)'!$M:$M,'data (1)'!$A:$A,XYZ!D$1,'data (1)'!$J:$J,XYZ!$A186)</f>
        <v>0</v>
      </c>
      <c r="E186">
        <f>SUMIFS('data (1)'!$M:$M,'data (1)'!$A:$A,XYZ!E$1,'data (1)'!$J:$J,XYZ!$A186)</f>
        <v>0</v>
      </c>
      <c r="F186">
        <f>SUMIFS('data (1)'!$M:$M,'data (1)'!$A:$A,XYZ!F$1,'data (1)'!$J:$J,XYZ!$A186)</f>
        <v>0</v>
      </c>
      <c r="G186">
        <f>SUMIFS('data (1)'!$M:$M,'data (1)'!$A:$A,XYZ!G$1,'data (1)'!$J:$J,XYZ!$A186)</f>
        <v>2</v>
      </c>
    </row>
    <row r="187" spans="1:7" x14ac:dyDescent="0.15">
      <c r="A187" t="s">
        <v>568</v>
      </c>
      <c r="B187" s="11">
        <f t="shared" si="2"/>
        <v>2.2360679774997894</v>
      </c>
      <c r="C187">
        <f>SUMIFS('data (1)'!$M:$M,'data (1)'!$A:$A,XYZ!C$1,'data (1)'!$J:$J,XYZ!$A187)</f>
        <v>0</v>
      </c>
      <c r="D187">
        <f>SUMIFS('data (1)'!$M:$M,'data (1)'!$A:$A,XYZ!D$1,'data (1)'!$J:$J,XYZ!$A187)</f>
        <v>2</v>
      </c>
      <c r="E187">
        <f>SUMIFS('data (1)'!$M:$M,'data (1)'!$A:$A,XYZ!E$1,'data (1)'!$J:$J,XYZ!$A187)</f>
        <v>0</v>
      </c>
      <c r="F187">
        <f>SUMIFS('data (1)'!$M:$M,'data (1)'!$A:$A,XYZ!F$1,'data (1)'!$J:$J,XYZ!$A187)</f>
        <v>0</v>
      </c>
      <c r="G187">
        <f>SUMIFS('data (1)'!$M:$M,'data (1)'!$A:$A,XYZ!G$1,'data (1)'!$J:$J,XYZ!$A187)</f>
        <v>0</v>
      </c>
    </row>
    <row r="188" spans="1:7" x14ac:dyDescent="0.15">
      <c r="A188" t="s">
        <v>158</v>
      </c>
      <c r="B188" s="11">
        <f t="shared" si="2"/>
        <v>1.3693063937629151</v>
      </c>
      <c r="C188">
        <f>SUMIFS('data (1)'!$M:$M,'data (1)'!$A:$A,XYZ!C$1,'data (1)'!$J:$J,XYZ!$A188)</f>
        <v>1</v>
      </c>
      <c r="D188">
        <f>SUMIFS('data (1)'!$M:$M,'data (1)'!$A:$A,XYZ!D$1,'data (1)'!$J:$J,XYZ!$A188)</f>
        <v>0</v>
      </c>
      <c r="E188">
        <f>SUMIFS('data (1)'!$M:$M,'data (1)'!$A:$A,XYZ!E$1,'data (1)'!$J:$J,XYZ!$A188)</f>
        <v>0</v>
      </c>
      <c r="F188">
        <f>SUMIFS('data (1)'!$M:$M,'data (1)'!$A:$A,XYZ!F$1,'data (1)'!$J:$J,XYZ!$A188)</f>
        <v>0</v>
      </c>
      <c r="G188">
        <f>SUMIFS('data (1)'!$M:$M,'data (1)'!$A:$A,XYZ!G$1,'data (1)'!$J:$J,XYZ!$A188)</f>
        <v>1</v>
      </c>
    </row>
    <row r="189" spans="1:7" x14ac:dyDescent="0.15">
      <c r="A189" t="s">
        <v>445</v>
      </c>
      <c r="B189" s="11">
        <f t="shared" si="2"/>
        <v>1.3693063937629151</v>
      </c>
      <c r="C189">
        <f>SUMIFS('data (1)'!$M:$M,'data (1)'!$A:$A,XYZ!C$1,'data (1)'!$J:$J,XYZ!$A189)</f>
        <v>1</v>
      </c>
      <c r="D189">
        <f>SUMIFS('data (1)'!$M:$M,'data (1)'!$A:$A,XYZ!D$1,'data (1)'!$J:$J,XYZ!$A189)</f>
        <v>0</v>
      </c>
      <c r="E189">
        <f>SUMIFS('data (1)'!$M:$M,'data (1)'!$A:$A,XYZ!E$1,'data (1)'!$J:$J,XYZ!$A189)</f>
        <v>0</v>
      </c>
      <c r="F189">
        <f>SUMIFS('data (1)'!$M:$M,'data (1)'!$A:$A,XYZ!F$1,'data (1)'!$J:$J,XYZ!$A189)</f>
        <v>1</v>
      </c>
      <c r="G189">
        <f>SUMIFS('data (1)'!$M:$M,'data (1)'!$A:$A,XYZ!G$1,'data (1)'!$J:$J,XYZ!$A189)</f>
        <v>0</v>
      </c>
    </row>
    <row r="190" spans="1:7" x14ac:dyDescent="0.15">
      <c r="A190" t="s">
        <v>1008</v>
      </c>
      <c r="B190" s="11">
        <f t="shared" si="2"/>
        <v>2.2360679774997894</v>
      </c>
      <c r="C190">
        <f>SUMIFS('data (1)'!$M:$M,'data (1)'!$A:$A,XYZ!C$1,'data (1)'!$J:$J,XYZ!$A190)</f>
        <v>0</v>
      </c>
      <c r="D190">
        <f>SUMIFS('data (1)'!$M:$M,'data (1)'!$A:$A,XYZ!D$1,'data (1)'!$J:$J,XYZ!$A190)</f>
        <v>0</v>
      </c>
      <c r="E190">
        <f>SUMIFS('data (1)'!$M:$M,'data (1)'!$A:$A,XYZ!E$1,'data (1)'!$J:$J,XYZ!$A190)</f>
        <v>0</v>
      </c>
      <c r="F190">
        <f>SUMIFS('data (1)'!$M:$M,'data (1)'!$A:$A,XYZ!F$1,'data (1)'!$J:$J,XYZ!$A190)</f>
        <v>2</v>
      </c>
      <c r="G190">
        <f>SUMIFS('data (1)'!$M:$M,'data (1)'!$A:$A,XYZ!G$1,'data (1)'!$J:$J,XYZ!$A190)</f>
        <v>0</v>
      </c>
    </row>
    <row r="191" spans="1:7" x14ac:dyDescent="0.15">
      <c r="A191" t="s">
        <v>782</v>
      </c>
      <c r="B191" s="11">
        <f t="shared" si="2"/>
        <v>2.2360679774997894</v>
      </c>
      <c r="C191">
        <f>SUMIFS('data (1)'!$M:$M,'data (1)'!$A:$A,XYZ!C$1,'data (1)'!$J:$J,XYZ!$A191)</f>
        <v>0</v>
      </c>
      <c r="D191">
        <f>SUMIFS('data (1)'!$M:$M,'data (1)'!$A:$A,XYZ!D$1,'data (1)'!$J:$J,XYZ!$A191)</f>
        <v>0</v>
      </c>
      <c r="E191">
        <f>SUMIFS('data (1)'!$M:$M,'data (1)'!$A:$A,XYZ!E$1,'data (1)'!$J:$J,XYZ!$A191)</f>
        <v>2</v>
      </c>
      <c r="F191">
        <f>SUMIFS('data (1)'!$M:$M,'data (1)'!$A:$A,XYZ!F$1,'data (1)'!$J:$J,XYZ!$A191)</f>
        <v>0</v>
      </c>
      <c r="G191">
        <f>SUMIFS('data (1)'!$M:$M,'data (1)'!$A:$A,XYZ!G$1,'data (1)'!$J:$J,XYZ!$A191)</f>
        <v>0</v>
      </c>
    </row>
    <row r="192" spans="1:7" x14ac:dyDescent="0.15">
      <c r="A192" t="s">
        <v>400</v>
      </c>
      <c r="B192" s="11">
        <f t="shared" si="2"/>
        <v>2.2360679774997894</v>
      </c>
      <c r="C192">
        <f>SUMIFS('data (1)'!$M:$M,'data (1)'!$A:$A,XYZ!C$1,'data (1)'!$J:$J,XYZ!$A192)</f>
        <v>2</v>
      </c>
      <c r="D192">
        <f>SUMIFS('data (1)'!$M:$M,'data (1)'!$A:$A,XYZ!D$1,'data (1)'!$J:$J,XYZ!$A192)</f>
        <v>0</v>
      </c>
      <c r="E192">
        <f>SUMIFS('data (1)'!$M:$M,'data (1)'!$A:$A,XYZ!E$1,'data (1)'!$J:$J,XYZ!$A192)</f>
        <v>0</v>
      </c>
      <c r="F192">
        <f>SUMIFS('data (1)'!$M:$M,'data (1)'!$A:$A,XYZ!F$1,'data (1)'!$J:$J,XYZ!$A192)</f>
        <v>0</v>
      </c>
      <c r="G192">
        <f>SUMIFS('data (1)'!$M:$M,'data (1)'!$A:$A,XYZ!G$1,'data (1)'!$J:$J,XYZ!$A192)</f>
        <v>0</v>
      </c>
    </row>
    <row r="193" spans="1:7" x14ac:dyDescent="0.15">
      <c r="A193" t="s">
        <v>689</v>
      </c>
      <c r="B193" s="11">
        <f t="shared" si="2"/>
        <v>2.2360679774997894</v>
      </c>
      <c r="C193">
        <f>SUMIFS('data (1)'!$M:$M,'data (1)'!$A:$A,XYZ!C$1,'data (1)'!$J:$J,XYZ!$A193)</f>
        <v>0</v>
      </c>
      <c r="D193">
        <f>SUMIFS('data (1)'!$M:$M,'data (1)'!$A:$A,XYZ!D$1,'data (1)'!$J:$J,XYZ!$A193)</f>
        <v>2</v>
      </c>
      <c r="E193">
        <f>SUMIFS('data (1)'!$M:$M,'data (1)'!$A:$A,XYZ!E$1,'data (1)'!$J:$J,XYZ!$A193)</f>
        <v>0</v>
      </c>
      <c r="F193">
        <f>SUMIFS('data (1)'!$M:$M,'data (1)'!$A:$A,XYZ!F$1,'data (1)'!$J:$J,XYZ!$A193)</f>
        <v>0</v>
      </c>
      <c r="G193">
        <f>SUMIFS('data (1)'!$M:$M,'data (1)'!$A:$A,XYZ!G$1,'data (1)'!$J:$J,XYZ!$A193)</f>
        <v>0</v>
      </c>
    </row>
    <row r="194" spans="1:7" x14ac:dyDescent="0.15">
      <c r="A194" t="s">
        <v>1012</v>
      </c>
      <c r="B194" s="11">
        <f t="shared" si="2"/>
        <v>1.3693063937629151</v>
      </c>
      <c r="C194">
        <f>SUMIFS('data (1)'!$M:$M,'data (1)'!$A:$A,XYZ!C$1,'data (1)'!$J:$J,XYZ!$A194)</f>
        <v>0</v>
      </c>
      <c r="D194">
        <f>SUMIFS('data (1)'!$M:$M,'data (1)'!$A:$A,XYZ!D$1,'data (1)'!$J:$J,XYZ!$A194)</f>
        <v>0</v>
      </c>
      <c r="E194">
        <f>SUMIFS('data (1)'!$M:$M,'data (1)'!$A:$A,XYZ!E$1,'data (1)'!$J:$J,XYZ!$A194)</f>
        <v>0</v>
      </c>
      <c r="F194">
        <f>SUMIFS('data (1)'!$M:$M,'data (1)'!$A:$A,XYZ!F$1,'data (1)'!$J:$J,XYZ!$A194)</f>
        <v>1</v>
      </c>
      <c r="G194">
        <f>SUMIFS('data (1)'!$M:$M,'data (1)'!$A:$A,XYZ!G$1,'data (1)'!$J:$J,XYZ!$A194)</f>
        <v>1</v>
      </c>
    </row>
    <row r="195" spans="1:7" x14ac:dyDescent="0.15">
      <c r="A195" t="s">
        <v>1101</v>
      </c>
      <c r="B195" s="11">
        <f t="shared" ref="B195:B258" si="3">_xlfn.STDEV.S(C195:G195)/AVERAGE(C195:G195)</f>
        <v>2.2360679774997894</v>
      </c>
      <c r="C195">
        <f>SUMIFS('data (1)'!$M:$M,'data (1)'!$A:$A,XYZ!C$1,'data (1)'!$J:$J,XYZ!$A195)</f>
        <v>0</v>
      </c>
      <c r="D195">
        <f>SUMIFS('data (1)'!$M:$M,'data (1)'!$A:$A,XYZ!D$1,'data (1)'!$J:$J,XYZ!$A195)</f>
        <v>0</v>
      </c>
      <c r="E195">
        <f>SUMIFS('data (1)'!$M:$M,'data (1)'!$A:$A,XYZ!E$1,'data (1)'!$J:$J,XYZ!$A195)</f>
        <v>0</v>
      </c>
      <c r="F195">
        <f>SUMIFS('data (1)'!$M:$M,'data (1)'!$A:$A,XYZ!F$1,'data (1)'!$J:$J,XYZ!$A195)</f>
        <v>0</v>
      </c>
      <c r="G195">
        <f>SUMIFS('data (1)'!$M:$M,'data (1)'!$A:$A,XYZ!G$1,'data (1)'!$J:$J,XYZ!$A195)</f>
        <v>2</v>
      </c>
    </row>
    <row r="196" spans="1:7" x14ac:dyDescent="0.15">
      <c r="A196" t="s">
        <v>1034</v>
      </c>
      <c r="B196" s="11">
        <f t="shared" si="3"/>
        <v>2.2360679774997894</v>
      </c>
      <c r="C196">
        <f>SUMIFS('data (1)'!$M:$M,'data (1)'!$A:$A,XYZ!C$1,'data (1)'!$J:$J,XYZ!$A196)</f>
        <v>0</v>
      </c>
      <c r="D196">
        <f>SUMIFS('data (1)'!$M:$M,'data (1)'!$A:$A,XYZ!D$1,'data (1)'!$J:$J,XYZ!$A196)</f>
        <v>0</v>
      </c>
      <c r="E196">
        <f>SUMIFS('data (1)'!$M:$M,'data (1)'!$A:$A,XYZ!E$1,'data (1)'!$J:$J,XYZ!$A196)</f>
        <v>0</v>
      </c>
      <c r="F196">
        <f>SUMIFS('data (1)'!$M:$M,'data (1)'!$A:$A,XYZ!F$1,'data (1)'!$J:$J,XYZ!$A196)</f>
        <v>2</v>
      </c>
      <c r="G196">
        <f>SUMIFS('data (1)'!$M:$M,'data (1)'!$A:$A,XYZ!G$1,'data (1)'!$J:$J,XYZ!$A196)</f>
        <v>0</v>
      </c>
    </row>
    <row r="197" spans="1:7" x14ac:dyDescent="0.15">
      <c r="A197" t="s">
        <v>485</v>
      </c>
      <c r="B197" s="11">
        <f t="shared" si="3"/>
        <v>1.3693063937629151</v>
      </c>
      <c r="C197">
        <f>SUMIFS('data (1)'!$M:$M,'data (1)'!$A:$A,XYZ!C$1,'data (1)'!$J:$J,XYZ!$A197)</f>
        <v>0</v>
      </c>
      <c r="D197">
        <f>SUMIFS('data (1)'!$M:$M,'data (1)'!$A:$A,XYZ!D$1,'data (1)'!$J:$J,XYZ!$A197)</f>
        <v>1</v>
      </c>
      <c r="E197">
        <f>SUMIFS('data (1)'!$M:$M,'data (1)'!$A:$A,XYZ!E$1,'data (1)'!$J:$J,XYZ!$A197)</f>
        <v>0</v>
      </c>
      <c r="F197">
        <f>SUMIFS('data (1)'!$M:$M,'data (1)'!$A:$A,XYZ!F$1,'data (1)'!$J:$J,XYZ!$A197)</f>
        <v>0</v>
      </c>
      <c r="G197">
        <f>SUMIFS('data (1)'!$M:$M,'data (1)'!$A:$A,XYZ!G$1,'data (1)'!$J:$J,XYZ!$A197)</f>
        <v>1</v>
      </c>
    </row>
    <row r="198" spans="1:7" x14ac:dyDescent="0.15">
      <c r="A198" t="s">
        <v>232</v>
      </c>
      <c r="B198" s="11">
        <f t="shared" si="3"/>
        <v>1.3693063937629151</v>
      </c>
      <c r="C198">
        <f>SUMIFS('data (1)'!$M:$M,'data (1)'!$A:$A,XYZ!C$1,'data (1)'!$J:$J,XYZ!$A198)</f>
        <v>1</v>
      </c>
      <c r="D198">
        <f>SUMIFS('data (1)'!$M:$M,'data (1)'!$A:$A,XYZ!D$1,'data (1)'!$J:$J,XYZ!$A198)</f>
        <v>0</v>
      </c>
      <c r="E198">
        <f>SUMIFS('data (1)'!$M:$M,'data (1)'!$A:$A,XYZ!E$1,'data (1)'!$J:$J,XYZ!$A198)</f>
        <v>0</v>
      </c>
      <c r="F198">
        <f>SUMIFS('data (1)'!$M:$M,'data (1)'!$A:$A,XYZ!F$1,'data (1)'!$J:$J,XYZ!$A198)</f>
        <v>0</v>
      </c>
      <c r="G198">
        <f>SUMIFS('data (1)'!$M:$M,'data (1)'!$A:$A,XYZ!G$1,'data (1)'!$J:$J,XYZ!$A198)</f>
        <v>1</v>
      </c>
    </row>
    <row r="199" spans="1:7" x14ac:dyDescent="0.15">
      <c r="A199" t="s">
        <v>724</v>
      </c>
      <c r="B199" s="11">
        <f t="shared" si="3"/>
        <v>2.2360679774997894</v>
      </c>
      <c r="C199">
        <f>SUMIFS('data (1)'!$M:$M,'data (1)'!$A:$A,XYZ!C$1,'data (1)'!$J:$J,XYZ!$A199)</f>
        <v>0</v>
      </c>
      <c r="D199">
        <f>SUMIFS('data (1)'!$M:$M,'data (1)'!$A:$A,XYZ!D$1,'data (1)'!$J:$J,XYZ!$A199)</f>
        <v>0</v>
      </c>
      <c r="E199">
        <f>SUMIFS('data (1)'!$M:$M,'data (1)'!$A:$A,XYZ!E$1,'data (1)'!$J:$J,XYZ!$A199)</f>
        <v>2</v>
      </c>
      <c r="F199">
        <f>SUMIFS('data (1)'!$M:$M,'data (1)'!$A:$A,XYZ!F$1,'data (1)'!$J:$J,XYZ!$A199)</f>
        <v>0</v>
      </c>
      <c r="G199">
        <f>SUMIFS('data (1)'!$M:$M,'data (1)'!$A:$A,XYZ!G$1,'data (1)'!$J:$J,XYZ!$A199)</f>
        <v>0</v>
      </c>
    </row>
    <row r="200" spans="1:7" x14ac:dyDescent="0.15">
      <c r="A200" t="s">
        <v>1097</v>
      </c>
      <c r="B200" s="11">
        <f t="shared" si="3"/>
        <v>2.2360679774997894</v>
      </c>
      <c r="C200">
        <f>SUMIFS('data (1)'!$M:$M,'data (1)'!$A:$A,XYZ!C$1,'data (1)'!$J:$J,XYZ!$A200)</f>
        <v>0</v>
      </c>
      <c r="D200">
        <f>SUMIFS('data (1)'!$M:$M,'data (1)'!$A:$A,XYZ!D$1,'data (1)'!$J:$J,XYZ!$A200)</f>
        <v>0</v>
      </c>
      <c r="E200">
        <f>SUMIFS('data (1)'!$M:$M,'data (1)'!$A:$A,XYZ!E$1,'data (1)'!$J:$J,XYZ!$A200)</f>
        <v>0</v>
      </c>
      <c r="F200">
        <f>SUMIFS('data (1)'!$M:$M,'data (1)'!$A:$A,XYZ!F$1,'data (1)'!$J:$J,XYZ!$A200)</f>
        <v>0</v>
      </c>
      <c r="G200">
        <f>SUMIFS('data (1)'!$M:$M,'data (1)'!$A:$A,XYZ!G$1,'data (1)'!$J:$J,XYZ!$A200)</f>
        <v>2</v>
      </c>
    </row>
    <row r="201" spans="1:7" x14ac:dyDescent="0.15">
      <c r="A201" t="s">
        <v>738</v>
      </c>
      <c r="B201" s="11">
        <f t="shared" si="3"/>
        <v>2.2360679774997894</v>
      </c>
      <c r="C201">
        <f>SUMIFS('data (1)'!$M:$M,'data (1)'!$A:$A,XYZ!C$1,'data (1)'!$J:$J,XYZ!$A201)</f>
        <v>0</v>
      </c>
      <c r="D201">
        <f>SUMIFS('data (1)'!$M:$M,'data (1)'!$A:$A,XYZ!D$1,'data (1)'!$J:$J,XYZ!$A201)</f>
        <v>0</v>
      </c>
      <c r="E201">
        <f>SUMIFS('data (1)'!$M:$M,'data (1)'!$A:$A,XYZ!E$1,'data (1)'!$J:$J,XYZ!$A201)</f>
        <v>2</v>
      </c>
      <c r="F201">
        <f>SUMIFS('data (1)'!$M:$M,'data (1)'!$A:$A,XYZ!F$1,'data (1)'!$J:$J,XYZ!$A201)</f>
        <v>0</v>
      </c>
      <c r="G201">
        <f>SUMIFS('data (1)'!$M:$M,'data (1)'!$A:$A,XYZ!G$1,'data (1)'!$J:$J,XYZ!$A201)</f>
        <v>0</v>
      </c>
    </row>
    <row r="202" spans="1:7" x14ac:dyDescent="0.15">
      <c r="A202" t="s">
        <v>475</v>
      </c>
      <c r="B202" s="11">
        <f t="shared" si="3"/>
        <v>1.3693063937629151</v>
      </c>
      <c r="C202">
        <f>SUMIFS('data (1)'!$M:$M,'data (1)'!$A:$A,XYZ!C$1,'data (1)'!$J:$J,XYZ!$A202)</f>
        <v>1</v>
      </c>
      <c r="D202">
        <f>SUMIFS('data (1)'!$M:$M,'data (1)'!$A:$A,XYZ!D$1,'data (1)'!$J:$J,XYZ!$A202)</f>
        <v>0</v>
      </c>
      <c r="E202">
        <f>SUMIFS('data (1)'!$M:$M,'data (1)'!$A:$A,XYZ!E$1,'data (1)'!$J:$J,XYZ!$A202)</f>
        <v>0</v>
      </c>
      <c r="F202">
        <f>SUMIFS('data (1)'!$M:$M,'data (1)'!$A:$A,XYZ!F$1,'data (1)'!$J:$J,XYZ!$A202)</f>
        <v>1</v>
      </c>
      <c r="G202">
        <f>SUMIFS('data (1)'!$M:$M,'data (1)'!$A:$A,XYZ!G$1,'data (1)'!$J:$J,XYZ!$A202)</f>
        <v>0</v>
      </c>
    </row>
    <row r="203" spans="1:7" x14ac:dyDescent="0.15">
      <c r="A203" t="s">
        <v>984</v>
      </c>
      <c r="B203" s="11">
        <f t="shared" si="3"/>
        <v>1.3693063937629151</v>
      </c>
      <c r="C203">
        <f>SUMIFS('data (1)'!$M:$M,'data (1)'!$A:$A,XYZ!C$1,'data (1)'!$J:$J,XYZ!$A203)</f>
        <v>0</v>
      </c>
      <c r="D203">
        <f>SUMIFS('data (1)'!$M:$M,'data (1)'!$A:$A,XYZ!D$1,'data (1)'!$J:$J,XYZ!$A203)</f>
        <v>0</v>
      </c>
      <c r="E203">
        <f>SUMIFS('data (1)'!$M:$M,'data (1)'!$A:$A,XYZ!E$1,'data (1)'!$J:$J,XYZ!$A203)</f>
        <v>0</v>
      </c>
      <c r="F203">
        <f>SUMIFS('data (1)'!$M:$M,'data (1)'!$A:$A,XYZ!F$1,'data (1)'!$J:$J,XYZ!$A203)</f>
        <v>1</v>
      </c>
      <c r="G203">
        <f>SUMIFS('data (1)'!$M:$M,'data (1)'!$A:$A,XYZ!G$1,'data (1)'!$J:$J,XYZ!$A203)</f>
        <v>1</v>
      </c>
    </row>
    <row r="204" spans="1:7" x14ac:dyDescent="0.15">
      <c r="A204" t="s">
        <v>1188</v>
      </c>
      <c r="B204" s="11">
        <f t="shared" si="3"/>
        <v>2.2360679774997894</v>
      </c>
      <c r="C204">
        <f>SUMIFS('data (1)'!$M:$M,'data (1)'!$A:$A,XYZ!C$1,'data (1)'!$J:$J,XYZ!$A204)</f>
        <v>0</v>
      </c>
      <c r="D204">
        <f>SUMIFS('data (1)'!$M:$M,'data (1)'!$A:$A,XYZ!D$1,'data (1)'!$J:$J,XYZ!$A204)</f>
        <v>0</v>
      </c>
      <c r="E204">
        <f>SUMIFS('data (1)'!$M:$M,'data (1)'!$A:$A,XYZ!E$1,'data (1)'!$J:$J,XYZ!$A204)</f>
        <v>0</v>
      </c>
      <c r="F204">
        <f>SUMIFS('data (1)'!$M:$M,'data (1)'!$A:$A,XYZ!F$1,'data (1)'!$J:$J,XYZ!$A204)</f>
        <v>0</v>
      </c>
      <c r="G204">
        <f>SUMIFS('data (1)'!$M:$M,'data (1)'!$A:$A,XYZ!G$1,'data (1)'!$J:$J,XYZ!$A204)</f>
        <v>2</v>
      </c>
    </row>
    <row r="205" spans="1:7" x14ac:dyDescent="0.15">
      <c r="A205" t="s">
        <v>455</v>
      </c>
      <c r="B205" s="11">
        <f t="shared" si="3"/>
        <v>2.2360679774997894</v>
      </c>
      <c r="C205">
        <f>SUMIFS('data (1)'!$M:$M,'data (1)'!$A:$A,XYZ!C$1,'data (1)'!$J:$J,XYZ!$A205)</f>
        <v>2</v>
      </c>
      <c r="D205">
        <f>SUMIFS('data (1)'!$M:$M,'data (1)'!$A:$A,XYZ!D$1,'data (1)'!$J:$J,XYZ!$A205)</f>
        <v>0</v>
      </c>
      <c r="E205">
        <f>SUMIFS('data (1)'!$M:$M,'data (1)'!$A:$A,XYZ!E$1,'data (1)'!$J:$J,XYZ!$A205)</f>
        <v>0</v>
      </c>
      <c r="F205">
        <f>SUMIFS('data (1)'!$M:$M,'data (1)'!$A:$A,XYZ!F$1,'data (1)'!$J:$J,XYZ!$A205)</f>
        <v>0</v>
      </c>
      <c r="G205">
        <f>SUMIFS('data (1)'!$M:$M,'data (1)'!$A:$A,XYZ!G$1,'data (1)'!$J:$J,XYZ!$A205)</f>
        <v>0</v>
      </c>
    </row>
    <row r="206" spans="1:7" x14ac:dyDescent="0.15">
      <c r="A206" t="s">
        <v>201</v>
      </c>
      <c r="B206" s="11">
        <f t="shared" si="3"/>
        <v>2.2360679774997894</v>
      </c>
      <c r="C206">
        <f>SUMIFS('data (1)'!$M:$M,'data (1)'!$A:$A,XYZ!C$1,'data (1)'!$J:$J,XYZ!$A206)</f>
        <v>2</v>
      </c>
      <c r="D206">
        <f>SUMIFS('data (1)'!$M:$M,'data (1)'!$A:$A,XYZ!D$1,'data (1)'!$J:$J,XYZ!$A206)</f>
        <v>0</v>
      </c>
      <c r="E206">
        <f>SUMIFS('data (1)'!$M:$M,'data (1)'!$A:$A,XYZ!E$1,'data (1)'!$J:$J,XYZ!$A206)</f>
        <v>0</v>
      </c>
      <c r="F206">
        <f>SUMIFS('data (1)'!$M:$M,'data (1)'!$A:$A,XYZ!F$1,'data (1)'!$J:$J,XYZ!$A206)</f>
        <v>0</v>
      </c>
      <c r="G206">
        <f>SUMIFS('data (1)'!$M:$M,'data (1)'!$A:$A,XYZ!G$1,'data (1)'!$J:$J,XYZ!$A206)</f>
        <v>0</v>
      </c>
    </row>
    <row r="207" spans="1:7" x14ac:dyDescent="0.15">
      <c r="A207" t="s">
        <v>321</v>
      </c>
      <c r="B207" s="11">
        <f t="shared" si="3"/>
        <v>2.2360679774997894</v>
      </c>
      <c r="C207">
        <f>SUMIFS('data (1)'!$M:$M,'data (1)'!$A:$A,XYZ!C$1,'data (1)'!$J:$J,XYZ!$A207)</f>
        <v>2</v>
      </c>
      <c r="D207">
        <f>SUMIFS('data (1)'!$M:$M,'data (1)'!$A:$A,XYZ!D$1,'data (1)'!$J:$J,XYZ!$A207)</f>
        <v>0</v>
      </c>
      <c r="E207">
        <f>SUMIFS('data (1)'!$M:$M,'data (1)'!$A:$A,XYZ!E$1,'data (1)'!$J:$J,XYZ!$A207)</f>
        <v>0</v>
      </c>
      <c r="F207">
        <f>SUMIFS('data (1)'!$M:$M,'data (1)'!$A:$A,XYZ!F$1,'data (1)'!$J:$J,XYZ!$A207)</f>
        <v>0</v>
      </c>
      <c r="G207">
        <f>SUMIFS('data (1)'!$M:$M,'data (1)'!$A:$A,XYZ!G$1,'data (1)'!$J:$J,XYZ!$A207)</f>
        <v>0</v>
      </c>
    </row>
    <row r="208" spans="1:7" x14ac:dyDescent="0.15">
      <c r="A208" t="s">
        <v>755</v>
      </c>
      <c r="B208" s="11">
        <f t="shared" si="3"/>
        <v>2.2360679774997894</v>
      </c>
      <c r="C208">
        <f>SUMIFS('data (1)'!$M:$M,'data (1)'!$A:$A,XYZ!C$1,'data (1)'!$J:$J,XYZ!$A208)</f>
        <v>0</v>
      </c>
      <c r="D208">
        <f>SUMIFS('data (1)'!$M:$M,'data (1)'!$A:$A,XYZ!D$1,'data (1)'!$J:$J,XYZ!$A208)</f>
        <v>0</v>
      </c>
      <c r="E208">
        <f>SUMIFS('data (1)'!$M:$M,'data (1)'!$A:$A,XYZ!E$1,'data (1)'!$J:$J,XYZ!$A208)</f>
        <v>2</v>
      </c>
      <c r="F208">
        <f>SUMIFS('data (1)'!$M:$M,'data (1)'!$A:$A,XYZ!F$1,'data (1)'!$J:$J,XYZ!$A208)</f>
        <v>0</v>
      </c>
      <c r="G208">
        <f>SUMIFS('data (1)'!$M:$M,'data (1)'!$A:$A,XYZ!G$1,'data (1)'!$J:$J,XYZ!$A208)</f>
        <v>0</v>
      </c>
    </row>
    <row r="209" spans="1:7" x14ac:dyDescent="0.15">
      <c r="A209" t="s">
        <v>113</v>
      </c>
      <c r="B209" s="11">
        <f t="shared" si="3"/>
        <v>1.3693063937629151</v>
      </c>
      <c r="C209">
        <f>SUMIFS('data (1)'!$M:$M,'data (1)'!$A:$A,XYZ!C$1,'data (1)'!$J:$J,XYZ!$A209)</f>
        <v>1</v>
      </c>
      <c r="D209">
        <f>SUMIFS('data (1)'!$M:$M,'data (1)'!$A:$A,XYZ!D$1,'data (1)'!$J:$J,XYZ!$A209)</f>
        <v>0</v>
      </c>
      <c r="E209">
        <f>SUMIFS('data (1)'!$M:$M,'data (1)'!$A:$A,XYZ!E$1,'data (1)'!$J:$J,XYZ!$A209)</f>
        <v>0</v>
      </c>
      <c r="F209">
        <f>SUMIFS('data (1)'!$M:$M,'data (1)'!$A:$A,XYZ!F$1,'data (1)'!$J:$J,XYZ!$A209)</f>
        <v>0</v>
      </c>
      <c r="G209">
        <f>SUMIFS('data (1)'!$M:$M,'data (1)'!$A:$A,XYZ!G$1,'data (1)'!$J:$J,XYZ!$A209)</f>
        <v>1</v>
      </c>
    </row>
    <row r="210" spans="1:7" x14ac:dyDescent="0.15">
      <c r="A210" t="s">
        <v>396</v>
      </c>
      <c r="B210" s="11">
        <f t="shared" si="3"/>
        <v>1.3693063937629151</v>
      </c>
      <c r="C210">
        <f>SUMIFS('data (1)'!$M:$M,'data (1)'!$A:$A,XYZ!C$1,'data (1)'!$J:$J,XYZ!$A210)</f>
        <v>1</v>
      </c>
      <c r="D210">
        <f>SUMIFS('data (1)'!$M:$M,'data (1)'!$A:$A,XYZ!D$1,'data (1)'!$J:$J,XYZ!$A210)</f>
        <v>0</v>
      </c>
      <c r="E210">
        <f>SUMIFS('data (1)'!$M:$M,'data (1)'!$A:$A,XYZ!E$1,'data (1)'!$J:$J,XYZ!$A210)</f>
        <v>0</v>
      </c>
      <c r="F210">
        <f>SUMIFS('data (1)'!$M:$M,'data (1)'!$A:$A,XYZ!F$1,'data (1)'!$J:$J,XYZ!$A210)</f>
        <v>0</v>
      </c>
      <c r="G210">
        <f>SUMIFS('data (1)'!$M:$M,'data (1)'!$A:$A,XYZ!G$1,'data (1)'!$J:$J,XYZ!$A210)</f>
        <v>1</v>
      </c>
    </row>
    <row r="211" spans="1:7" x14ac:dyDescent="0.15">
      <c r="A211" t="s">
        <v>398</v>
      </c>
      <c r="B211" s="11">
        <f t="shared" si="3"/>
        <v>1.3693063937629151</v>
      </c>
      <c r="C211">
        <f>SUMIFS('data (1)'!$M:$M,'data (1)'!$A:$A,XYZ!C$1,'data (1)'!$J:$J,XYZ!$A211)</f>
        <v>1</v>
      </c>
      <c r="D211">
        <f>SUMIFS('data (1)'!$M:$M,'data (1)'!$A:$A,XYZ!D$1,'data (1)'!$J:$J,XYZ!$A211)</f>
        <v>0</v>
      </c>
      <c r="E211">
        <f>SUMIFS('data (1)'!$M:$M,'data (1)'!$A:$A,XYZ!E$1,'data (1)'!$J:$J,XYZ!$A211)</f>
        <v>1</v>
      </c>
      <c r="F211">
        <f>SUMIFS('data (1)'!$M:$M,'data (1)'!$A:$A,XYZ!F$1,'data (1)'!$J:$J,XYZ!$A211)</f>
        <v>0</v>
      </c>
      <c r="G211">
        <f>SUMIFS('data (1)'!$M:$M,'data (1)'!$A:$A,XYZ!G$1,'data (1)'!$J:$J,XYZ!$A211)</f>
        <v>0</v>
      </c>
    </row>
    <row r="212" spans="1:7" x14ac:dyDescent="0.15">
      <c r="A212" t="s">
        <v>50</v>
      </c>
      <c r="B212" s="11">
        <f t="shared" si="3"/>
        <v>2.2360679774997894</v>
      </c>
      <c r="C212">
        <f>SUMIFS('data (1)'!$M:$M,'data (1)'!$A:$A,XYZ!C$1,'data (1)'!$J:$J,XYZ!$A212)</f>
        <v>2</v>
      </c>
      <c r="D212">
        <f>SUMIFS('data (1)'!$M:$M,'data (1)'!$A:$A,XYZ!D$1,'data (1)'!$J:$J,XYZ!$A212)</f>
        <v>0</v>
      </c>
      <c r="E212">
        <f>SUMIFS('data (1)'!$M:$M,'data (1)'!$A:$A,XYZ!E$1,'data (1)'!$J:$J,XYZ!$A212)</f>
        <v>0</v>
      </c>
      <c r="F212">
        <f>SUMIFS('data (1)'!$M:$M,'data (1)'!$A:$A,XYZ!F$1,'data (1)'!$J:$J,XYZ!$A212)</f>
        <v>0</v>
      </c>
      <c r="G212">
        <f>SUMIFS('data (1)'!$M:$M,'data (1)'!$A:$A,XYZ!G$1,'data (1)'!$J:$J,XYZ!$A212)</f>
        <v>0</v>
      </c>
    </row>
    <row r="213" spans="1:7" x14ac:dyDescent="0.15">
      <c r="A213" t="s">
        <v>1015</v>
      </c>
      <c r="B213" s="11">
        <f t="shared" si="3"/>
        <v>2.2360679774997894</v>
      </c>
      <c r="C213">
        <f>SUMIFS('data (1)'!$M:$M,'data (1)'!$A:$A,XYZ!C$1,'data (1)'!$J:$J,XYZ!$A213)</f>
        <v>0</v>
      </c>
      <c r="D213">
        <f>SUMIFS('data (1)'!$M:$M,'data (1)'!$A:$A,XYZ!D$1,'data (1)'!$J:$J,XYZ!$A213)</f>
        <v>0</v>
      </c>
      <c r="E213">
        <f>SUMIFS('data (1)'!$M:$M,'data (1)'!$A:$A,XYZ!E$1,'data (1)'!$J:$J,XYZ!$A213)</f>
        <v>0</v>
      </c>
      <c r="F213">
        <f>SUMIFS('data (1)'!$M:$M,'data (1)'!$A:$A,XYZ!F$1,'data (1)'!$J:$J,XYZ!$A213)</f>
        <v>2</v>
      </c>
      <c r="G213">
        <f>SUMIFS('data (1)'!$M:$M,'data (1)'!$A:$A,XYZ!G$1,'data (1)'!$J:$J,XYZ!$A213)</f>
        <v>0</v>
      </c>
    </row>
    <row r="214" spans="1:7" x14ac:dyDescent="0.15">
      <c r="A214" t="s">
        <v>213</v>
      </c>
      <c r="B214" s="11">
        <f t="shared" si="3"/>
        <v>1.3693063937629151</v>
      </c>
      <c r="C214">
        <f>SUMIFS('data (1)'!$M:$M,'data (1)'!$A:$A,XYZ!C$1,'data (1)'!$J:$J,XYZ!$A214)</f>
        <v>1</v>
      </c>
      <c r="D214">
        <f>SUMIFS('data (1)'!$M:$M,'data (1)'!$A:$A,XYZ!D$1,'data (1)'!$J:$J,XYZ!$A214)</f>
        <v>0</v>
      </c>
      <c r="E214">
        <f>SUMIFS('data (1)'!$M:$M,'data (1)'!$A:$A,XYZ!E$1,'data (1)'!$J:$J,XYZ!$A214)</f>
        <v>0</v>
      </c>
      <c r="F214">
        <f>SUMIFS('data (1)'!$M:$M,'data (1)'!$A:$A,XYZ!F$1,'data (1)'!$J:$J,XYZ!$A214)</f>
        <v>1</v>
      </c>
      <c r="G214">
        <f>SUMIFS('data (1)'!$M:$M,'data (1)'!$A:$A,XYZ!G$1,'data (1)'!$J:$J,XYZ!$A214)</f>
        <v>0</v>
      </c>
    </row>
    <row r="215" spans="1:7" x14ac:dyDescent="0.15">
      <c r="A215" t="s">
        <v>194</v>
      </c>
      <c r="B215" s="11">
        <f t="shared" si="3"/>
        <v>2.2360679774997894</v>
      </c>
      <c r="C215">
        <f>SUMIFS('data (1)'!$M:$M,'data (1)'!$A:$A,XYZ!C$1,'data (1)'!$J:$J,XYZ!$A215)</f>
        <v>2</v>
      </c>
      <c r="D215">
        <f>SUMIFS('data (1)'!$M:$M,'data (1)'!$A:$A,XYZ!D$1,'data (1)'!$J:$J,XYZ!$A215)</f>
        <v>0</v>
      </c>
      <c r="E215">
        <f>SUMIFS('data (1)'!$M:$M,'data (1)'!$A:$A,XYZ!E$1,'data (1)'!$J:$J,XYZ!$A215)</f>
        <v>0</v>
      </c>
      <c r="F215">
        <f>SUMIFS('data (1)'!$M:$M,'data (1)'!$A:$A,XYZ!F$1,'data (1)'!$J:$J,XYZ!$A215)</f>
        <v>0</v>
      </c>
      <c r="G215">
        <f>SUMIFS('data (1)'!$M:$M,'data (1)'!$A:$A,XYZ!G$1,'data (1)'!$J:$J,XYZ!$A215)</f>
        <v>0</v>
      </c>
    </row>
    <row r="216" spans="1:7" x14ac:dyDescent="0.15">
      <c r="A216" t="s">
        <v>1020</v>
      </c>
      <c r="B216" s="11">
        <f t="shared" si="3"/>
        <v>2.2360679774997894</v>
      </c>
      <c r="C216">
        <f>SUMIFS('data (1)'!$M:$M,'data (1)'!$A:$A,XYZ!C$1,'data (1)'!$J:$J,XYZ!$A216)</f>
        <v>0</v>
      </c>
      <c r="D216">
        <f>SUMIFS('data (1)'!$M:$M,'data (1)'!$A:$A,XYZ!D$1,'data (1)'!$J:$J,XYZ!$A216)</f>
        <v>0</v>
      </c>
      <c r="E216">
        <f>SUMIFS('data (1)'!$M:$M,'data (1)'!$A:$A,XYZ!E$1,'data (1)'!$J:$J,XYZ!$A216)</f>
        <v>0</v>
      </c>
      <c r="F216">
        <f>SUMIFS('data (1)'!$M:$M,'data (1)'!$A:$A,XYZ!F$1,'data (1)'!$J:$J,XYZ!$A216)</f>
        <v>2</v>
      </c>
      <c r="G216">
        <f>SUMIFS('data (1)'!$M:$M,'data (1)'!$A:$A,XYZ!G$1,'data (1)'!$J:$J,XYZ!$A216)</f>
        <v>0</v>
      </c>
    </row>
    <row r="217" spans="1:7" x14ac:dyDescent="0.15">
      <c r="A217" t="s">
        <v>646</v>
      </c>
      <c r="B217" s="11">
        <f t="shared" si="3"/>
        <v>1.3693063937629151</v>
      </c>
      <c r="C217">
        <f>SUMIFS('data (1)'!$M:$M,'data (1)'!$A:$A,XYZ!C$1,'data (1)'!$J:$J,XYZ!$A217)</f>
        <v>0</v>
      </c>
      <c r="D217">
        <f>SUMIFS('data (1)'!$M:$M,'data (1)'!$A:$A,XYZ!D$1,'data (1)'!$J:$J,XYZ!$A217)</f>
        <v>1</v>
      </c>
      <c r="E217">
        <f>SUMIFS('data (1)'!$M:$M,'data (1)'!$A:$A,XYZ!E$1,'data (1)'!$J:$J,XYZ!$A217)</f>
        <v>0</v>
      </c>
      <c r="F217">
        <f>SUMIFS('data (1)'!$M:$M,'data (1)'!$A:$A,XYZ!F$1,'data (1)'!$J:$J,XYZ!$A217)</f>
        <v>0</v>
      </c>
      <c r="G217">
        <f>SUMIFS('data (1)'!$M:$M,'data (1)'!$A:$A,XYZ!G$1,'data (1)'!$J:$J,XYZ!$A217)</f>
        <v>1</v>
      </c>
    </row>
    <row r="218" spans="1:7" x14ac:dyDescent="0.15">
      <c r="A218" t="s">
        <v>454</v>
      </c>
      <c r="B218" s="11">
        <f t="shared" si="3"/>
        <v>2.2360679774997894</v>
      </c>
      <c r="C218">
        <f>SUMIFS('data (1)'!$M:$M,'data (1)'!$A:$A,XYZ!C$1,'data (1)'!$J:$J,XYZ!$A218)</f>
        <v>2</v>
      </c>
      <c r="D218">
        <f>SUMIFS('data (1)'!$M:$M,'data (1)'!$A:$A,XYZ!D$1,'data (1)'!$J:$J,XYZ!$A218)</f>
        <v>0</v>
      </c>
      <c r="E218">
        <f>SUMIFS('data (1)'!$M:$M,'data (1)'!$A:$A,XYZ!E$1,'data (1)'!$J:$J,XYZ!$A218)</f>
        <v>0</v>
      </c>
      <c r="F218">
        <f>SUMIFS('data (1)'!$M:$M,'data (1)'!$A:$A,XYZ!F$1,'data (1)'!$J:$J,XYZ!$A218)</f>
        <v>0</v>
      </c>
      <c r="G218">
        <f>SUMIFS('data (1)'!$M:$M,'data (1)'!$A:$A,XYZ!G$1,'data (1)'!$J:$J,XYZ!$A218)</f>
        <v>0</v>
      </c>
    </row>
    <row r="219" spans="1:7" x14ac:dyDescent="0.15">
      <c r="A219" t="s">
        <v>379</v>
      </c>
      <c r="B219" s="11">
        <f t="shared" si="3"/>
        <v>2.2360679774997894</v>
      </c>
      <c r="C219">
        <f>SUMIFS('data (1)'!$M:$M,'data (1)'!$A:$A,XYZ!C$1,'data (1)'!$J:$J,XYZ!$A219)</f>
        <v>2</v>
      </c>
      <c r="D219">
        <f>SUMIFS('data (1)'!$M:$M,'data (1)'!$A:$A,XYZ!D$1,'data (1)'!$J:$J,XYZ!$A219)</f>
        <v>0</v>
      </c>
      <c r="E219">
        <f>SUMIFS('data (1)'!$M:$M,'data (1)'!$A:$A,XYZ!E$1,'data (1)'!$J:$J,XYZ!$A219)</f>
        <v>0</v>
      </c>
      <c r="F219">
        <f>SUMIFS('data (1)'!$M:$M,'data (1)'!$A:$A,XYZ!F$1,'data (1)'!$J:$J,XYZ!$A219)</f>
        <v>0</v>
      </c>
      <c r="G219">
        <f>SUMIFS('data (1)'!$M:$M,'data (1)'!$A:$A,XYZ!G$1,'data (1)'!$J:$J,XYZ!$A219)</f>
        <v>0</v>
      </c>
    </row>
    <row r="220" spans="1:7" x14ac:dyDescent="0.15">
      <c r="A220" t="s">
        <v>847</v>
      </c>
      <c r="B220" s="11">
        <f t="shared" si="3"/>
        <v>2.2360679774997894</v>
      </c>
      <c r="C220">
        <f>SUMIFS('data (1)'!$M:$M,'data (1)'!$A:$A,XYZ!C$1,'data (1)'!$J:$J,XYZ!$A220)</f>
        <v>0</v>
      </c>
      <c r="D220">
        <f>SUMIFS('data (1)'!$M:$M,'data (1)'!$A:$A,XYZ!D$1,'data (1)'!$J:$J,XYZ!$A220)</f>
        <v>0</v>
      </c>
      <c r="E220">
        <f>SUMIFS('data (1)'!$M:$M,'data (1)'!$A:$A,XYZ!E$1,'data (1)'!$J:$J,XYZ!$A220)</f>
        <v>2</v>
      </c>
      <c r="F220">
        <f>SUMIFS('data (1)'!$M:$M,'data (1)'!$A:$A,XYZ!F$1,'data (1)'!$J:$J,XYZ!$A220)</f>
        <v>0</v>
      </c>
      <c r="G220">
        <f>SUMIFS('data (1)'!$M:$M,'data (1)'!$A:$A,XYZ!G$1,'data (1)'!$J:$J,XYZ!$A220)</f>
        <v>0</v>
      </c>
    </row>
    <row r="221" spans="1:7" x14ac:dyDescent="0.15">
      <c r="A221" t="s">
        <v>185</v>
      </c>
      <c r="B221" s="11">
        <f t="shared" si="3"/>
        <v>1.3693063937629151</v>
      </c>
      <c r="C221">
        <f>SUMIFS('data (1)'!$M:$M,'data (1)'!$A:$A,XYZ!C$1,'data (1)'!$J:$J,XYZ!$A221)</f>
        <v>1</v>
      </c>
      <c r="D221">
        <f>SUMIFS('data (1)'!$M:$M,'data (1)'!$A:$A,XYZ!D$1,'data (1)'!$J:$J,XYZ!$A221)</f>
        <v>0</v>
      </c>
      <c r="E221">
        <f>SUMIFS('data (1)'!$M:$M,'data (1)'!$A:$A,XYZ!E$1,'data (1)'!$J:$J,XYZ!$A221)</f>
        <v>1</v>
      </c>
      <c r="F221">
        <f>SUMIFS('data (1)'!$M:$M,'data (1)'!$A:$A,XYZ!F$1,'data (1)'!$J:$J,XYZ!$A221)</f>
        <v>0</v>
      </c>
      <c r="G221">
        <f>SUMIFS('data (1)'!$M:$M,'data (1)'!$A:$A,XYZ!G$1,'data (1)'!$J:$J,XYZ!$A221)</f>
        <v>0</v>
      </c>
    </row>
    <row r="222" spans="1:7" x14ac:dyDescent="0.15">
      <c r="A222" t="s">
        <v>267</v>
      </c>
      <c r="B222" s="11">
        <f t="shared" si="3"/>
        <v>2.2360679774997894</v>
      </c>
      <c r="C222">
        <f>SUMIFS('data (1)'!$M:$M,'data (1)'!$A:$A,XYZ!C$1,'data (1)'!$J:$J,XYZ!$A222)</f>
        <v>2</v>
      </c>
      <c r="D222">
        <f>SUMIFS('data (1)'!$M:$M,'data (1)'!$A:$A,XYZ!D$1,'data (1)'!$J:$J,XYZ!$A222)</f>
        <v>0</v>
      </c>
      <c r="E222">
        <f>SUMIFS('data (1)'!$M:$M,'data (1)'!$A:$A,XYZ!E$1,'data (1)'!$J:$J,XYZ!$A222)</f>
        <v>0</v>
      </c>
      <c r="F222">
        <f>SUMIFS('data (1)'!$M:$M,'data (1)'!$A:$A,XYZ!F$1,'data (1)'!$J:$J,XYZ!$A222)</f>
        <v>0</v>
      </c>
      <c r="G222">
        <f>SUMIFS('data (1)'!$M:$M,'data (1)'!$A:$A,XYZ!G$1,'data (1)'!$J:$J,XYZ!$A222)</f>
        <v>0</v>
      </c>
    </row>
    <row r="223" spans="1:7" x14ac:dyDescent="0.15">
      <c r="A223" t="s">
        <v>920</v>
      </c>
      <c r="B223" s="11">
        <f t="shared" si="3"/>
        <v>2.2360679774997894</v>
      </c>
      <c r="C223">
        <f>SUMIFS('data (1)'!$M:$M,'data (1)'!$A:$A,XYZ!C$1,'data (1)'!$J:$J,XYZ!$A223)</f>
        <v>0</v>
      </c>
      <c r="D223">
        <f>SUMIFS('data (1)'!$M:$M,'data (1)'!$A:$A,XYZ!D$1,'data (1)'!$J:$J,XYZ!$A223)</f>
        <v>0</v>
      </c>
      <c r="E223">
        <f>SUMIFS('data (1)'!$M:$M,'data (1)'!$A:$A,XYZ!E$1,'data (1)'!$J:$J,XYZ!$A223)</f>
        <v>2</v>
      </c>
      <c r="F223">
        <f>SUMIFS('data (1)'!$M:$M,'data (1)'!$A:$A,XYZ!F$1,'data (1)'!$J:$J,XYZ!$A223)</f>
        <v>0</v>
      </c>
      <c r="G223">
        <f>SUMIFS('data (1)'!$M:$M,'data (1)'!$A:$A,XYZ!G$1,'data (1)'!$J:$J,XYZ!$A223)</f>
        <v>0</v>
      </c>
    </row>
    <row r="224" spans="1:7" x14ac:dyDescent="0.15">
      <c r="A224" t="s">
        <v>325</v>
      </c>
      <c r="B224" s="11">
        <f t="shared" si="3"/>
        <v>2.2360679774997894</v>
      </c>
      <c r="C224">
        <f>SUMIFS('data (1)'!$M:$M,'data (1)'!$A:$A,XYZ!C$1,'data (1)'!$J:$J,XYZ!$A224)</f>
        <v>2</v>
      </c>
      <c r="D224">
        <f>SUMIFS('data (1)'!$M:$M,'data (1)'!$A:$A,XYZ!D$1,'data (1)'!$J:$J,XYZ!$A224)</f>
        <v>0</v>
      </c>
      <c r="E224">
        <f>SUMIFS('data (1)'!$M:$M,'data (1)'!$A:$A,XYZ!E$1,'data (1)'!$J:$J,XYZ!$A224)</f>
        <v>0</v>
      </c>
      <c r="F224">
        <f>SUMIFS('data (1)'!$M:$M,'data (1)'!$A:$A,XYZ!F$1,'data (1)'!$J:$J,XYZ!$A224)</f>
        <v>0</v>
      </c>
      <c r="G224">
        <f>SUMIFS('data (1)'!$M:$M,'data (1)'!$A:$A,XYZ!G$1,'data (1)'!$J:$J,XYZ!$A224)</f>
        <v>0</v>
      </c>
    </row>
    <row r="225" spans="1:7" x14ac:dyDescent="0.15">
      <c r="A225" t="s">
        <v>382</v>
      </c>
      <c r="B225" s="11">
        <f t="shared" si="3"/>
        <v>1.3693063937629151</v>
      </c>
      <c r="C225">
        <f>SUMIFS('data (1)'!$M:$M,'data (1)'!$A:$A,XYZ!C$1,'data (1)'!$J:$J,XYZ!$A225)</f>
        <v>1</v>
      </c>
      <c r="D225">
        <f>SUMIFS('data (1)'!$M:$M,'data (1)'!$A:$A,XYZ!D$1,'data (1)'!$J:$J,XYZ!$A225)</f>
        <v>0</v>
      </c>
      <c r="E225">
        <f>SUMIFS('data (1)'!$M:$M,'data (1)'!$A:$A,XYZ!E$1,'data (1)'!$J:$J,XYZ!$A225)</f>
        <v>0</v>
      </c>
      <c r="F225">
        <f>SUMIFS('data (1)'!$M:$M,'data (1)'!$A:$A,XYZ!F$1,'data (1)'!$J:$J,XYZ!$A225)</f>
        <v>0</v>
      </c>
      <c r="G225">
        <f>SUMIFS('data (1)'!$M:$M,'data (1)'!$A:$A,XYZ!G$1,'data (1)'!$J:$J,XYZ!$A225)</f>
        <v>1</v>
      </c>
    </row>
    <row r="226" spans="1:7" x14ac:dyDescent="0.15">
      <c r="A226" t="s">
        <v>79</v>
      </c>
      <c r="B226" s="11">
        <f t="shared" si="3"/>
        <v>1.3693063937629151</v>
      </c>
      <c r="C226">
        <f>SUMIFS('data (1)'!$M:$M,'data (1)'!$A:$A,XYZ!C$1,'data (1)'!$J:$J,XYZ!$A226)</f>
        <v>1</v>
      </c>
      <c r="D226">
        <f>SUMIFS('data (1)'!$M:$M,'data (1)'!$A:$A,XYZ!D$1,'data (1)'!$J:$J,XYZ!$A226)</f>
        <v>0</v>
      </c>
      <c r="E226">
        <f>SUMIFS('data (1)'!$M:$M,'data (1)'!$A:$A,XYZ!E$1,'data (1)'!$J:$J,XYZ!$A226)</f>
        <v>0</v>
      </c>
      <c r="F226">
        <f>SUMIFS('data (1)'!$M:$M,'data (1)'!$A:$A,XYZ!F$1,'data (1)'!$J:$J,XYZ!$A226)</f>
        <v>1</v>
      </c>
      <c r="G226">
        <f>SUMIFS('data (1)'!$M:$M,'data (1)'!$A:$A,XYZ!G$1,'data (1)'!$J:$J,XYZ!$A226)</f>
        <v>0</v>
      </c>
    </row>
    <row r="227" spans="1:7" x14ac:dyDescent="0.15">
      <c r="A227" t="s">
        <v>943</v>
      </c>
      <c r="B227" s="11">
        <f t="shared" si="3"/>
        <v>2.2360679774997894</v>
      </c>
      <c r="C227">
        <f>SUMIFS('data (1)'!$M:$M,'data (1)'!$A:$A,XYZ!C$1,'data (1)'!$J:$J,XYZ!$A227)</f>
        <v>0</v>
      </c>
      <c r="D227">
        <f>SUMIFS('data (1)'!$M:$M,'data (1)'!$A:$A,XYZ!D$1,'data (1)'!$J:$J,XYZ!$A227)</f>
        <v>0</v>
      </c>
      <c r="E227">
        <f>SUMIFS('data (1)'!$M:$M,'data (1)'!$A:$A,XYZ!E$1,'data (1)'!$J:$J,XYZ!$A227)</f>
        <v>0</v>
      </c>
      <c r="F227">
        <f>SUMIFS('data (1)'!$M:$M,'data (1)'!$A:$A,XYZ!F$1,'data (1)'!$J:$J,XYZ!$A227)</f>
        <v>2</v>
      </c>
      <c r="G227">
        <f>SUMIFS('data (1)'!$M:$M,'data (1)'!$A:$A,XYZ!G$1,'data (1)'!$J:$J,XYZ!$A227)</f>
        <v>0</v>
      </c>
    </row>
    <row r="228" spans="1:7" x14ac:dyDescent="0.15">
      <c r="A228" t="s">
        <v>199</v>
      </c>
      <c r="B228" s="11">
        <f t="shared" si="3"/>
        <v>2.2360679774997894</v>
      </c>
      <c r="C228">
        <f>SUMIFS('data (1)'!$M:$M,'data (1)'!$A:$A,XYZ!C$1,'data (1)'!$J:$J,XYZ!$A228)</f>
        <v>2</v>
      </c>
      <c r="D228">
        <f>SUMIFS('data (1)'!$M:$M,'data (1)'!$A:$A,XYZ!D$1,'data (1)'!$J:$J,XYZ!$A228)</f>
        <v>0</v>
      </c>
      <c r="E228">
        <f>SUMIFS('data (1)'!$M:$M,'data (1)'!$A:$A,XYZ!E$1,'data (1)'!$J:$J,XYZ!$A228)</f>
        <v>0</v>
      </c>
      <c r="F228">
        <f>SUMIFS('data (1)'!$M:$M,'data (1)'!$A:$A,XYZ!F$1,'data (1)'!$J:$J,XYZ!$A228)</f>
        <v>0</v>
      </c>
      <c r="G228">
        <f>SUMIFS('data (1)'!$M:$M,'data (1)'!$A:$A,XYZ!G$1,'data (1)'!$J:$J,XYZ!$A228)</f>
        <v>0</v>
      </c>
    </row>
    <row r="229" spans="1:7" x14ac:dyDescent="0.15">
      <c r="A229" t="s">
        <v>289</v>
      </c>
      <c r="B229" s="11">
        <f t="shared" si="3"/>
        <v>1.3693063937629151</v>
      </c>
      <c r="C229">
        <f>SUMIFS('data (1)'!$M:$M,'data (1)'!$A:$A,XYZ!C$1,'data (1)'!$J:$J,XYZ!$A229)</f>
        <v>1</v>
      </c>
      <c r="D229">
        <f>SUMIFS('data (1)'!$M:$M,'data (1)'!$A:$A,XYZ!D$1,'data (1)'!$J:$J,XYZ!$A229)</f>
        <v>0</v>
      </c>
      <c r="E229">
        <f>SUMIFS('data (1)'!$M:$M,'data (1)'!$A:$A,XYZ!E$1,'data (1)'!$J:$J,XYZ!$A229)</f>
        <v>0</v>
      </c>
      <c r="F229">
        <f>SUMIFS('data (1)'!$M:$M,'data (1)'!$A:$A,XYZ!F$1,'data (1)'!$J:$J,XYZ!$A229)</f>
        <v>1</v>
      </c>
      <c r="G229">
        <f>SUMIFS('data (1)'!$M:$M,'data (1)'!$A:$A,XYZ!G$1,'data (1)'!$J:$J,XYZ!$A229)</f>
        <v>0</v>
      </c>
    </row>
    <row r="230" spans="1:7" x14ac:dyDescent="0.15">
      <c r="A230" t="s">
        <v>569</v>
      </c>
      <c r="B230" s="11">
        <f t="shared" si="3"/>
        <v>2.2360679774997894</v>
      </c>
      <c r="C230">
        <f>SUMIFS('data (1)'!$M:$M,'data (1)'!$A:$A,XYZ!C$1,'data (1)'!$J:$J,XYZ!$A230)</f>
        <v>0</v>
      </c>
      <c r="D230">
        <f>SUMIFS('data (1)'!$M:$M,'data (1)'!$A:$A,XYZ!D$1,'data (1)'!$J:$J,XYZ!$A230)</f>
        <v>2</v>
      </c>
      <c r="E230">
        <f>SUMIFS('data (1)'!$M:$M,'data (1)'!$A:$A,XYZ!E$1,'data (1)'!$J:$J,XYZ!$A230)</f>
        <v>0</v>
      </c>
      <c r="F230">
        <f>SUMIFS('data (1)'!$M:$M,'data (1)'!$A:$A,XYZ!F$1,'data (1)'!$J:$J,XYZ!$A230)</f>
        <v>0</v>
      </c>
      <c r="G230">
        <f>SUMIFS('data (1)'!$M:$M,'data (1)'!$A:$A,XYZ!G$1,'data (1)'!$J:$J,XYZ!$A230)</f>
        <v>0</v>
      </c>
    </row>
    <row r="231" spans="1:7" x14ac:dyDescent="0.15">
      <c r="A231" t="s">
        <v>659</v>
      </c>
      <c r="B231" s="11">
        <f t="shared" si="3"/>
        <v>2.2360679774997894</v>
      </c>
      <c r="C231">
        <f>SUMIFS('data (1)'!$M:$M,'data (1)'!$A:$A,XYZ!C$1,'data (1)'!$J:$J,XYZ!$A231)</f>
        <v>0</v>
      </c>
      <c r="D231">
        <f>SUMIFS('data (1)'!$M:$M,'data (1)'!$A:$A,XYZ!D$1,'data (1)'!$J:$J,XYZ!$A231)</f>
        <v>2</v>
      </c>
      <c r="E231">
        <f>SUMIFS('data (1)'!$M:$M,'data (1)'!$A:$A,XYZ!E$1,'data (1)'!$J:$J,XYZ!$A231)</f>
        <v>0</v>
      </c>
      <c r="F231">
        <f>SUMIFS('data (1)'!$M:$M,'data (1)'!$A:$A,XYZ!F$1,'data (1)'!$J:$J,XYZ!$A231)</f>
        <v>0</v>
      </c>
      <c r="G231">
        <f>SUMIFS('data (1)'!$M:$M,'data (1)'!$A:$A,XYZ!G$1,'data (1)'!$J:$J,XYZ!$A231)</f>
        <v>0</v>
      </c>
    </row>
    <row r="232" spans="1:7" x14ac:dyDescent="0.15">
      <c r="A232" t="s">
        <v>437</v>
      </c>
      <c r="B232" s="11">
        <f t="shared" si="3"/>
        <v>2.2360679774997894</v>
      </c>
      <c r="C232">
        <f>SUMIFS('data (1)'!$M:$M,'data (1)'!$A:$A,XYZ!C$1,'data (1)'!$J:$J,XYZ!$A232)</f>
        <v>2</v>
      </c>
      <c r="D232">
        <f>SUMIFS('data (1)'!$M:$M,'data (1)'!$A:$A,XYZ!D$1,'data (1)'!$J:$J,XYZ!$A232)</f>
        <v>0</v>
      </c>
      <c r="E232">
        <f>SUMIFS('data (1)'!$M:$M,'data (1)'!$A:$A,XYZ!E$1,'data (1)'!$J:$J,XYZ!$A232)</f>
        <v>0</v>
      </c>
      <c r="F232">
        <f>SUMIFS('data (1)'!$M:$M,'data (1)'!$A:$A,XYZ!F$1,'data (1)'!$J:$J,XYZ!$A232)</f>
        <v>0</v>
      </c>
      <c r="G232">
        <f>SUMIFS('data (1)'!$M:$M,'data (1)'!$A:$A,XYZ!G$1,'data (1)'!$J:$J,XYZ!$A232)</f>
        <v>0</v>
      </c>
    </row>
    <row r="233" spans="1:7" x14ac:dyDescent="0.15">
      <c r="A233" t="s">
        <v>919</v>
      </c>
      <c r="B233" s="11">
        <f t="shared" si="3"/>
        <v>1.3693063937629151</v>
      </c>
      <c r="C233">
        <f>SUMIFS('data (1)'!$M:$M,'data (1)'!$A:$A,XYZ!C$1,'data (1)'!$J:$J,XYZ!$A233)</f>
        <v>0</v>
      </c>
      <c r="D233">
        <f>SUMIFS('data (1)'!$M:$M,'data (1)'!$A:$A,XYZ!D$1,'data (1)'!$J:$J,XYZ!$A233)</f>
        <v>0</v>
      </c>
      <c r="E233">
        <f>SUMIFS('data (1)'!$M:$M,'data (1)'!$A:$A,XYZ!E$1,'data (1)'!$J:$J,XYZ!$A233)</f>
        <v>1</v>
      </c>
      <c r="F233">
        <f>SUMIFS('data (1)'!$M:$M,'data (1)'!$A:$A,XYZ!F$1,'data (1)'!$J:$J,XYZ!$A233)</f>
        <v>0</v>
      </c>
      <c r="G233">
        <f>SUMIFS('data (1)'!$M:$M,'data (1)'!$A:$A,XYZ!G$1,'data (1)'!$J:$J,XYZ!$A233)</f>
        <v>1</v>
      </c>
    </row>
    <row r="234" spans="1:7" x14ac:dyDescent="0.15">
      <c r="A234" t="s">
        <v>800</v>
      </c>
      <c r="B234" s="11">
        <f t="shared" si="3"/>
        <v>2.2360679774997894</v>
      </c>
      <c r="C234">
        <f>SUMIFS('data (1)'!$M:$M,'data (1)'!$A:$A,XYZ!C$1,'data (1)'!$J:$J,XYZ!$A234)</f>
        <v>0</v>
      </c>
      <c r="D234">
        <f>SUMIFS('data (1)'!$M:$M,'data (1)'!$A:$A,XYZ!D$1,'data (1)'!$J:$J,XYZ!$A234)</f>
        <v>0</v>
      </c>
      <c r="E234">
        <f>SUMIFS('data (1)'!$M:$M,'data (1)'!$A:$A,XYZ!E$1,'data (1)'!$J:$J,XYZ!$A234)</f>
        <v>2</v>
      </c>
      <c r="F234">
        <f>SUMIFS('data (1)'!$M:$M,'data (1)'!$A:$A,XYZ!F$1,'data (1)'!$J:$J,XYZ!$A234)</f>
        <v>0</v>
      </c>
      <c r="G234">
        <f>SUMIFS('data (1)'!$M:$M,'data (1)'!$A:$A,XYZ!G$1,'data (1)'!$J:$J,XYZ!$A234)</f>
        <v>0</v>
      </c>
    </row>
    <row r="235" spans="1:7" x14ac:dyDescent="0.15">
      <c r="A235" t="s">
        <v>90</v>
      </c>
      <c r="B235" s="11">
        <f t="shared" si="3"/>
        <v>1.3693063937629151</v>
      </c>
      <c r="C235">
        <f>SUMIFS('data (1)'!$M:$M,'data (1)'!$A:$A,XYZ!C$1,'data (1)'!$J:$J,XYZ!$A235)</f>
        <v>1</v>
      </c>
      <c r="D235">
        <f>SUMIFS('data (1)'!$M:$M,'data (1)'!$A:$A,XYZ!D$1,'data (1)'!$J:$J,XYZ!$A235)</f>
        <v>0</v>
      </c>
      <c r="E235">
        <f>SUMIFS('data (1)'!$M:$M,'data (1)'!$A:$A,XYZ!E$1,'data (1)'!$J:$J,XYZ!$A235)</f>
        <v>0</v>
      </c>
      <c r="F235">
        <f>SUMIFS('data (1)'!$M:$M,'data (1)'!$A:$A,XYZ!F$1,'data (1)'!$J:$J,XYZ!$A235)</f>
        <v>0</v>
      </c>
      <c r="G235">
        <f>SUMIFS('data (1)'!$M:$M,'data (1)'!$A:$A,XYZ!G$1,'data (1)'!$J:$J,XYZ!$A235)</f>
        <v>1</v>
      </c>
    </row>
    <row r="236" spans="1:7" x14ac:dyDescent="0.15">
      <c r="A236" t="s">
        <v>310</v>
      </c>
      <c r="B236" s="11">
        <f t="shared" si="3"/>
        <v>2.2360679774997894</v>
      </c>
      <c r="C236">
        <f>SUMIFS('data (1)'!$M:$M,'data (1)'!$A:$A,XYZ!C$1,'data (1)'!$J:$J,XYZ!$A236)</f>
        <v>2</v>
      </c>
      <c r="D236">
        <f>SUMIFS('data (1)'!$M:$M,'data (1)'!$A:$A,XYZ!D$1,'data (1)'!$J:$J,XYZ!$A236)</f>
        <v>0</v>
      </c>
      <c r="E236">
        <f>SUMIFS('data (1)'!$M:$M,'data (1)'!$A:$A,XYZ!E$1,'data (1)'!$J:$J,XYZ!$A236)</f>
        <v>0</v>
      </c>
      <c r="F236">
        <f>SUMIFS('data (1)'!$M:$M,'data (1)'!$A:$A,XYZ!F$1,'data (1)'!$J:$J,XYZ!$A236)</f>
        <v>0</v>
      </c>
      <c r="G236">
        <f>SUMIFS('data (1)'!$M:$M,'data (1)'!$A:$A,XYZ!G$1,'data (1)'!$J:$J,XYZ!$A236)</f>
        <v>0</v>
      </c>
    </row>
    <row r="237" spans="1:7" x14ac:dyDescent="0.15">
      <c r="A237" t="s">
        <v>446</v>
      </c>
      <c r="B237" s="11">
        <f t="shared" si="3"/>
        <v>1.3693063937629151</v>
      </c>
      <c r="C237">
        <f>SUMIFS('data (1)'!$M:$M,'data (1)'!$A:$A,XYZ!C$1,'data (1)'!$J:$J,XYZ!$A237)</f>
        <v>1</v>
      </c>
      <c r="D237">
        <f>SUMIFS('data (1)'!$M:$M,'data (1)'!$A:$A,XYZ!D$1,'data (1)'!$J:$J,XYZ!$A237)</f>
        <v>1</v>
      </c>
      <c r="E237">
        <f>SUMIFS('data (1)'!$M:$M,'data (1)'!$A:$A,XYZ!E$1,'data (1)'!$J:$J,XYZ!$A237)</f>
        <v>0</v>
      </c>
      <c r="F237">
        <f>SUMIFS('data (1)'!$M:$M,'data (1)'!$A:$A,XYZ!F$1,'data (1)'!$J:$J,XYZ!$A237)</f>
        <v>0</v>
      </c>
      <c r="G237">
        <f>SUMIFS('data (1)'!$M:$M,'data (1)'!$A:$A,XYZ!G$1,'data (1)'!$J:$J,XYZ!$A237)</f>
        <v>0</v>
      </c>
    </row>
    <row r="238" spans="1:7" x14ac:dyDescent="0.15">
      <c r="A238" t="s">
        <v>817</v>
      </c>
      <c r="B238" s="11">
        <f t="shared" si="3"/>
        <v>2.2360679774997894</v>
      </c>
      <c r="C238">
        <f>SUMIFS('data (1)'!$M:$M,'data (1)'!$A:$A,XYZ!C$1,'data (1)'!$J:$J,XYZ!$A238)</f>
        <v>0</v>
      </c>
      <c r="D238">
        <f>SUMIFS('data (1)'!$M:$M,'data (1)'!$A:$A,XYZ!D$1,'data (1)'!$J:$J,XYZ!$A238)</f>
        <v>0</v>
      </c>
      <c r="E238">
        <f>SUMIFS('data (1)'!$M:$M,'data (1)'!$A:$A,XYZ!E$1,'data (1)'!$J:$J,XYZ!$A238)</f>
        <v>2</v>
      </c>
      <c r="F238">
        <f>SUMIFS('data (1)'!$M:$M,'data (1)'!$A:$A,XYZ!F$1,'data (1)'!$J:$J,XYZ!$A238)</f>
        <v>0</v>
      </c>
      <c r="G238">
        <f>SUMIFS('data (1)'!$M:$M,'data (1)'!$A:$A,XYZ!G$1,'data (1)'!$J:$J,XYZ!$A238)</f>
        <v>0</v>
      </c>
    </row>
    <row r="239" spans="1:7" x14ac:dyDescent="0.15">
      <c r="A239" t="s">
        <v>122</v>
      </c>
      <c r="B239" s="11">
        <f t="shared" si="3"/>
        <v>1.3693063937629151</v>
      </c>
      <c r="C239">
        <f>SUMIFS('data (1)'!$M:$M,'data (1)'!$A:$A,XYZ!C$1,'data (1)'!$J:$J,XYZ!$A239)</f>
        <v>1</v>
      </c>
      <c r="D239">
        <f>SUMIFS('data (1)'!$M:$M,'data (1)'!$A:$A,XYZ!D$1,'data (1)'!$J:$J,XYZ!$A239)</f>
        <v>1</v>
      </c>
      <c r="E239">
        <f>SUMIFS('data (1)'!$M:$M,'data (1)'!$A:$A,XYZ!E$1,'data (1)'!$J:$J,XYZ!$A239)</f>
        <v>0</v>
      </c>
      <c r="F239">
        <f>SUMIFS('data (1)'!$M:$M,'data (1)'!$A:$A,XYZ!F$1,'data (1)'!$J:$J,XYZ!$A239)</f>
        <v>0</v>
      </c>
      <c r="G239">
        <f>SUMIFS('data (1)'!$M:$M,'data (1)'!$A:$A,XYZ!G$1,'data (1)'!$J:$J,XYZ!$A239)</f>
        <v>0</v>
      </c>
    </row>
    <row r="240" spans="1:7" x14ac:dyDescent="0.15">
      <c r="A240" t="s">
        <v>903</v>
      </c>
      <c r="B240" s="11">
        <f t="shared" si="3"/>
        <v>2.2360679774997894</v>
      </c>
      <c r="C240">
        <f>SUMIFS('data (1)'!$M:$M,'data (1)'!$A:$A,XYZ!C$1,'data (1)'!$J:$J,XYZ!$A240)</f>
        <v>0</v>
      </c>
      <c r="D240">
        <f>SUMIFS('data (1)'!$M:$M,'data (1)'!$A:$A,XYZ!D$1,'data (1)'!$J:$J,XYZ!$A240)</f>
        <v>0</v>
      </c>
      <c r="E240">
        <f>SUMIFS('data (1)'!$M:$M,'data (1)'!$A:$A,XYZ!E$1,'data (1)'!$J:$J,XYZ!$A240)</f>
        <v>2</v>
      </c>
      <c r="F240">
        <f>SUMIFS('data (1)'!$M:$M,'data (1)'!$A:$A,XYZ!F$1,'data (1)'!$J:$J,XYZ!$A240)</f>
        <v>0</v>
      </c>
      <c r="G240">
        <f>SUMIFS('data (1)'!$M:$M,'data (1)'!$A:$A,XYZ!G$1,'data (1)'!$J:$J,XYZ!$A240)</f>
        <v>0</v>
      </c>
    </row>
    <row r="241" spans="1:7" x14ac:dyDescent="0.15">
      <c r="A241" t="s">
        <v>975</v>
      </c>
      <c r="B241" s="11">
        <f t="shared" si="3"/>
        <v>2.2360679774997894</v>
      </c>
      <c r="C241">
        <f>SUMIFS('data (1)'!$M:$M,'data (1)'!$A:$A,XYZ!C$1,'data (1)'!$J:$J,XYZ!$A241)</f>
        <v>0</v>
      </c>
      <c r="D241">
        <f>SUMIFS('data (1)'!$M:$M,'data (1)'!$A:$A,XYZ!D$1,'data (1)'!$J:$J,XYZ!$A241)</f>
        <v>0</v>
      </c>
      <c r="E241">
        <f>SUMIFS('data (1)'!$M:$M,'data (1)'!$A:$A,XYZ!E$1,'data (1)'!$J:$J,XYZ!$A241)</f>
        <v>0</v>
      </c>
      <c r="F241">
        <f>SUMIFS('data (1)'!$M:$M,'data (1)'!$A:$A,XYZ!F$1,'data (1)'!$J:$J,XYZ!$A241)</f>
        <v>2</v>
      </c>
      <c r="G241">
        <f>SUMIFS('data (1)'!$M:$M,'data (1)'!$A:$A,XYZ!G$1,'data (1)'!$J:$J,XYZ!$A241)</f>
        <v>0</v>
      </c>
    </row>
    <row r="242" spans="1:7" x14ac:dyDescent="0.15">
      <c r="A242" t="s">
        <v>380</v>
      </c>
      <c r="B242" s="11">
        <f t="shared" si="3"/>
        <v>2.2360679774997894</v>
      </c>
      <c r="C242">
        <f>SUMIFS('data (1)'!$M:$M,'data (1)'!$A:$A,XYZ!C$1,'data (1)'!$J:$J,XYZ!$A242)</f>
        <v>2</v>
      </c>
      <c r="D242">
        <f>SUMIFS('data (1)'!$M:$M,'data (1)'!$A:$A,XYZ!D$1,'data (1)'!$J:$J,XYZ!$A242)</f>
        <v>0</v>
      </c>
      <c r="E242">
        <f>SUMIFS('data (1)'!$M:$M,'data (1)'!$A:$A,XYZ!E$1,'data (1)'!$J:$J,XYZ!$A242)</f>
        <v>0</v>
      </c>
      <c r="F242">
        <f>SUMIFS('data (1)'!$M:$M,'data (1)'!$A:$A,XYZ!F$1,'data (1)'!$J:$J,XYZ!$A242)</f>
        <v>0</v>
      </c>
      <c r="G242">
        <f>SUMIFS('data (1)'!$M:$M,'data (1)'!$A:$A,XYZ!G$1,'data (1)'!$J:$J,XYZ!$A242)</f>
        <v>0</v>
      </c>
    </row>
    <row r="243" spans="1:7" x14ac:dyDescent="0.15">
      <c r="A243" t="s">
        <v>712</v>
      </c>
      <c r="B243" s="11">
        <f t="shared" si="3"/>
        <v>2.2360679774997894</v>
      </c>
      <c r="C243">
        <f>SUMIFS('data (1)'!$M:$M,'data (1)'!$A:$A,XYZ!C$1,'data (1)'!$J:$J,XYZ!$A243)</f>
        <v>0</v>
      </c>
      <c r="D243">
        <f>SUMIFS('data (1)'!$M:$M,'data (1)'!$A:$A,XYZ!D$1,'data (1)'!$J:$J,XYZ!$A243)</f>
        <v>0</v>
      </c>
      <c r="E243">
        <f>SUMIFS('data (1)'!$M:$M,'data (1)'!$A:$A,XYZ!E$1,'data (1)'!$J:$J,XYZ!$A243)</f>
        <v>2</v>
      </c>
      <c r="F243">
        <f>SUMIFS('data (1)'!$M:$M,'data (1)'!$A:$A,XYZ!F$1,'data (1)'!$J:$J,XYZ!$A243)</f>
        <v>0</v>
      </c>
      <c r="G243">
        <f>SUMIFS('data (1)'!$M:$M,'data (1)'!$A:$A,XYZ!G$1,'data (1)'!$J:$J,XYZ!$A243)</f>
        <v>0</v>
      </c>
    </row>
    <row r="244" spans="1:7" x14ac:dyDescent="0.15">
      <c r="A244" t="s">
        <v>997</v>
      </c>
      <c r="B244" s="11">
        <f t="shared" si="3"/>
        <v>2.2360679774997894</v>
      </c>
      <c r="C244">
        <f>SUMIFS('data (1)'!$M:$M,'data (1)'!$A:$A,XYZ!C$1,'data (1)'!$J:$J,XYZ!$A244)</f>
        <v>0</v>
      </c>
      <c r="D244">
        <f>SUMIFS('data (1)'!$M:$M,'data (1)'!$A:$A,XYZ!D$1,'data (1)'!$J:$J,XYZ!$A244)</f>
        <v>0</v>
      </c>
      <c r="E244">
        <f>SUMIFS('data (1)'!$M:$M,'data (1)'!$A:$A,XYZ!E$1,'data (1)'!$J:$J,XYZ!$A244)</f>
        <v>0</v>
      </c>
      <c r="F244">
        <f>SUMIFS('data (1)'!$M:$M,'data (1)'!$A:$A,XYZ!F$1,'data (1)'!$J:$J,XYZ!$A244)</f>
        <v>2</v>
      </c>
      <c r="G244">
        <f>SUMIFS('data (1)'!$M:$M,'data (1)'!$A:$A,XYZ!G$1,'data (1)'!$J:$J,XYZ!$A244)</f>
        <v>0</v>
      </c>
    </row>
    <row r="245" spans="1:7" x14ac:dyDescent="0.15">
      <c r="A245" t="s">
        <v>460</v>
      </c>
      <c r="B245" s="11">
        <f t="shared" si="3"/>
        <v>1.3693063937629151</v>
      </c>
      <c r="C245">
        <f>SUMIFS('data (1)'!$M:$M,'data (1)'!$A:$A,XYZ!C$1,'data (1)'!$J:$J,XYZ!$A245)</f>
        <v>1</v>
      </c>
      <c r="D245">
        <f>SUMIFS('data (1)'!$M:$M,'data (1)'!$A:$A,XYZ!D$1,'data (1)'!$J:$J,XYZ!$A245)</f>
        <v>0</v>
      </c>
      <c r="E245">
        <f>SUMIFS('data (1)'!$M:$M,'data (1)'!$A:$A,XYZ!E$1,'data (1)'!$J:$J,XYZ!$A245)</f>
        <v>0</v>
      </c>
      <c r="F245">
        <f>SUMIFS('data (1)'!$M:$M,'data (1)'!$A:$A,XYZ!F$1,'data (1)'!$J:$J,XYZ!$A245)</f>
        <v>1</v>
      </c>
      <c r="G245">
        <f>SUMIFS('data (1)'!$M:$M,'data (1)'!$A:$A,XYZ!G$1,'data (1)'!$J:$J,XYZ!$A245)</f>
        <v>0</v>
      </c>
    </row>
    <row r="246" spans="1:7" x14ac:dyDescent="0.15">
      <c r="A246" t="s">
        <v>480</v>
      </c>
      <c r="B246" s="11">
        <f t="shared" si="3"/>
        <v>2.2360679774997894</v>
      </c>
      <c r="C246">
        <f>SUMIFS('data (1)'!$M:$M,'data (1)'!$A:$A,XYZ!C$1,'data (1)'!$J:$J,XYZ!$A246)</f>
        <v>0</v>
      </c>
      <c r="D246">
        <f>SUMIFS('data (1)'!$M:$M,'data (1)'!$A:$A,XYZ!D$1,'data (1)'!$J:$J,XYZ!$A246)</f>
        <v>2</v>
      </c>
      <c r="E246">
        <f>SUMIFS('data (1)'!$M:$M,'data (1)'!$A:$A,XYZ!E$1,'data (1)'!$J:$J,XYZ!$A246)</f>
        <v>0</v>
      </c>
      <c r="F246">
        <f>SUMIFS('data (1)'!$M:$M,'data (1)'!$A:$A,XYZ!F$1,'data (1)'!$J:$J,XYZ!$A246)</f>
        <v>0</v>
      </c>
      <c r="G246">
        <f>SUMIFS('data (1)'!$M:$M,'data (1)'!$A:$A,XYZ!G$1,'data (1)'!$J:$J,XYZ!$A246)</f>
        <v>0</v>
      </c>
    </row>
    <row r="247" spans="1:7" x14ac:dyDescent="0.15">
      <c r="A247" t="s">
        <v>1166</v>
      </c>
      <c r="B247" s="11">
        <f t="shared" si="3"/>
        <v>2.2360679774997894</v>
      </c>
      <c r="C247">
        <f>SUMIFS('data (1)'!$M:$M,'data (1)'!$A:$A,XYZ!C$1,'data (1)'!$J:$J,XYZ!$A247)</f>
        <v>0</v>
      </c>
      <c r="D247">
        <f>SUMIFS('data (1)'!$M:$M,'data (1)'!$A:$A,XYZ!D$1,'data (1)'!$J:$J,XYZ!$A247)</f>
        <v>0</v>
      </c>
      <c r="E247">
        <f>SUMIFS('data (1)'!$M:$M,'data (1)'!$A:$A,XYZ!E$1,'data (1)'!$J:$J,XYZ!$A247)</f>
        <v>0</v>
      </c>
      <c r="F247">
        <f>SUMIFS('data (1)'!$M:$M,'data (1)'!$A:$A,XYZ!F$1,'data (1)'!$J:$J,XYZ!$A247)</f>
        <v>0</v>
      </c>
      <c r="G247">
        <f>SUMIFS('data (1)'!$M:$M,'data (1)'!$A:$A,XYZ!G$1,'data (1)'!$J:$J,XYZ!$A247)</f>
        <v>2</v>
      </c>
    </row>
    <row r="248" spans="1:7" x14ac:dyDescent="0.15">
      <c r="A248" t="s">
        <v>673</v>
      </c>
      <c r="B248" s="11">
        <f t="shared" si="3"/>
        <v>1.3693063937629151</v>
      </c>
      <c r="C248">
        <f>SUMIFS('data (1)'!$M:$M,'data (1)'!$A:$A,XYZ!C$1,'data (1)'!$J:$J,XYZ!$A248)</f>
        <v>0</v>
      </c>
      <c r="D248">
        <f>SUMIFS('data (1)'!$M:$M,'data (1)'!$A:$A,XYZ!D$1,'data (1)'!$J:$J,XYZ!$A248)</f>
        <v>1</v>
      </c>
      <c r="E248">
        <f>SUMIFS('data (1)'!$M:$M,'data (1)'!$A:$A,XYZ!E$1,'data (1)'!$J:$J,XYZ!$A248)</f>
        <v>1</v>
      </c>
      <c r="F248">
        <f>SUMIFS('data (1)'!$M:$M,'data (1)'!$A:$A,XYZ!F$1,'data (1)'!$J:$J,XYZ!$A248)</f>
        <v>0</v>
      </c>
      <c r="G248">
        <f>SUMIFS('data (1)'!$M:$M,'data (1)'!$A:$A,XYZ!G$1,'data (1)'!$J:$J,XYZ!$A248)</f>
        <v>0</v>
      </c>
    </row>
    <row r="249" spans="1:7" x14ac:dyDescent="0.15">
      <c r="A249" t="s">
        <v>249</v>
      </c>
      <c r="B249" s="11">
        <f t="shared" si="3"/>
        <v>2.2360679774997894</v>
      </c>
      <c r="C249">
        <f>SUMIFS('data (1)'!$M:$M,'data (1)'!$A:$A,XYZ!C$1,'data (1)'!$J:$J,XYZ!$A249)</f>
        <v>2</v>
      </c>
      <c r="D249">
        <f>SUMIFS('data (1)'!$M:$M,'data (1)'!$A:$A,XYZ!D$1,'data (1)'!$J:$J,XYZ!$A249)</f>
        <v>0</v>
      </c>
      <c r="E249">
        <f>SUMIFS('data (1)'!$M:$M,'data (1)'!$A:$A,XYZ!E$1,'data (1)'!$J:$J,XYZ!$A249)</f>
        <v>0</v>
      </c>
      <c r="F249">
        <f>SUMIFS('data (1)'!$M:$M,'data (1)'!$A:$A,XYZ!F$1,'data (1)'!$J:$J,XYZ!$A249)</f>
        <v>0</v>
      </c>
      <c r="G249">
        <f>SUMIFS('data (1)'!$M:$M,'data (1)'!$A:$A,XYZ!G$1,'data (1)'!$J:$J,XYZ!$A249)</f>
        <v>0</v>
      </c>
    </row>
    <row r="250" spans="1:7" x14ac:dyDescent="0.15">
      <c r="A250" t="s">
        <v>381</v>
      </c>
      <c r="B250" s="11">
        <f t="shared" si="3"/>
        <v>2.2360679774997894</v>
      </c>
      <c r="C250">
        <f>SUMIFS('data (1)'!$M:$M,'data (1)'!$A:$A,XYZ!C$1,'data (1)'!$J:$J,XYZ!$A250)</f>
        <v>2</v>
      </c>
      <c r="D250">
        <f>SUMIFS('data (1)'!$M:$M,'data (1)'!$A:$A,XYZ!D$1,'data (1)'!$J:$J,XYZ!$A250)</f>
        <v>0</v>
      </c>
      <c r="E250">
        <f>SUMIFS('data (1)'!$M:$M,'data (1)'!$A:$A,XYZ!E$1,'data (1)'!$J:$J,XYZ!$A250)</f>
        <v>0</v>
      </c>
      <c r="F250">
        <f>SUMIFS('data (1)'!$M:$M,'data (1)'!$A:$A,XYZ!F$1,'data (1)'!$J:$J,XYZ!$A250)</f>
        <v>0</v>
      </c>
      <c r="G250">
        <f>SUMIFS('data (1)'!$M:$M,'data (1)'!$A:$A,XYZ!G$1,'data (1)'!$J:$J,XYZ!$A250)</f>
        <v>0</v>
      </c>
    </row>
    <row r="251" spans="1:7" x14ac:dyDescent="0.15">
      <c r="A251" t="s">
        <v>748</v>
      </c>
      <c r="B251" s="11">
        <f t="shared" si="3"/>
        <v>1.3693063937629151</v>
      </c>
      <c r="C251">
        <f>SUMIFS('data (1)'!$M:$M,'data (1)'!$A:$A,XYZ!C$1,'data (1)'!$J:$J,XYZ!$A251)</f>
        <v>0</v>
      </c>
      <c r="D251">
        <f>SUMIFS('data (1)'!$M:$M,'data (1)'!$A:$A,XYZ!D$1,'data (1)'!$J:$J,XYZ!$A251)</f>
        <v>0</v>
      </c>
      <c r="E251">
        <f>SUMIFS('data (1)'!$M:$M,'data (1)'!$A:$A,XYZ!E$1,'data (1)'!$J:$J,XYZ!$A251)</f>
        <v>1</v>
      </c>
      <c r="F251">
        <f>SUMIFS('data (1)'!$M:$M,'data (1)'!$A:$A,XYZ!F$1,'data (1)'!$J:$J,XYZ!$A251)</f>
        <v>0</v>
      </c>
      <c r="G251">
        <f>SUMIFS('data (1)'!$M:$M,'data (1)'!$A:$A,XYZ!G$1,'data (1)'!$J:$J,XYZ!$A251)</f>
        <v>1</v>
      </c>
    </row>
    <row r="252" spans="1:7" x14ac:dyDescent="0.15">
      <c r="A252" t="s">
        <v>359</v>
      </c>
      <c r="B252" s="11">
        <f t="shared" si="3"/>
        <v>2.2360679774997894</v>
      </c>
      <c r="C252">
        <f>SUMIFS('data (1)'!$M:$M,'data (1)'!$A:$A,XYZ!C$1,'data (1)'!$J:$J,XYZ!$A252)</f>
        <v>2</v>
      </c>
      <c r="D252">
        <f>SUMIFS('data (1)'!$M:$M,'data (1)'!$A:$A,XYZ!D$1,'data (1)'!$J:$J,XYZ!$A252)</f>
        <v>0</v>
      </c>
      <c r="E252">
        <f>SUMIFS('data (1)'!$M:$M,'data (1)'!$A:$A,XYZ!E$1,'data (1)'!$J:$J,XYZ!$A252)</f>
        <v>0</v>
      </c>
      <c r="F252">
        <f>SUMIFS('data (1)'!$M:$M,'data (1)'!$A:$A,XYZ!F$1,'data (1)'!$J:$J,XYZ!$A252)</f>
        <v>0</v>
      </c>
      <c r="G252">
        <f>SUMIFS('data (1)'!$M:$M,'data (1)'!$A:$A,XYZ!G$1,'data (1)'!$J:$J,XYZ!$A252)</f>
        <v>0</v>
      </c>
    </row>
    <row r="253" spans="1:7" x14ac:dyDescent="0.15">
      <c r="A253" t="s">
        <v>140</v>
      </c>
      <c r="B253" s="11">
        <f t="shared" si="3"/>
        <v>1.3693063937629151</v>
      </c>
      <c r="C253">
        <f>SUMIFS('data (1)'!$M:$M,'data (1)'!$A:$A,XYZ!C$1,'data (1)'!$J:$J,XYZ!$A253)</f>
        <v>1</v>
      </c>
      <c r="D253">
        <f>SUMIFS('data (1)'!$M:$M,'data (1)'!$A:$A,XYZ!D$1,'data (1)'!$J:$J,XYZ!$A253)</f>
        <v>1</v>
      </c>
      <c r="E253">
        <f>SUMIFS('data (1)'!$M:$M,'data (1)'!$A:$A,XYZ!E$1,'data (1)'!$J:$J,XYZ!$A253)</f>
        <v>0</v>
      </c>
      <c r="F253">
        <f>SUMIFS('data (1)'!$M:$M,'data (1)'!$A:$A,XYZ!F$1,'data (1)'!$J:$J,XYZ!$A253)</f>
        <v>0</v>
      </c>
      <c r="G253">
        <f>SUMIFS('data (1)'!$M:$M,'data (1)'!$A:$A,XYZ!G$1,'data (1)'!$J:$J,XYZ!$A253)</f>
        <v>0</v>
      </c>
    </row>
    <row r="254" spans="1:7" x14ac:dyDescent="0.15">
      <c r="A254" t="s">
        <v>966</v>
      </c>
      <c r="B254" s="11">
        <f t="shared" si="3"/>
        <v>1.3693063937629151</v>
      </c>
      <c r="C254">
        <f>SUMIFS('data (1)'!$M:$M,'data (1)'!$A:$A,XYZ!C$1,'data (1)'!$J:$J,XYZ!$A254)</f>
        <v>0</v>
      </c>
      <c r="D254">
        <f>SUMIFS('data (1)'!$M:$M,'data (1)'!$A:$A,XYZ!D$1,'data (1)'!$J:$J,XYZ!$A254)</f>
        <v>0</v>
      </c>
      <c r="E254">
        <f>SUMIFS('data (1)'!$M:$M,'data (1)'!$A:$A,XYZ!E$1,'data (1)'!$J:$J,XYZ!$A254)</f>
        <v>0</v>
      </c>
      <c r="F254">
        <f>SUMIFS('data (1)'!$M:$M,'data (1)'!$A:$A,XYZ!F$1,'data (1)'!$J:$J,XYZ!$A254)</f>
        <v>1</v>
      </c>
      <c r="G254">
        <f>SUMIFS('data (1)'!$M:$M,'data (1)'!$A:$A,XYZ!G$1,'data (1)'!$J:$J,XYZ!$A254)</f>
        <v>1</v>
      </c>
    </row>
    <row r="255" spans="1:7" x14ac:dyDescent="0.15">
      <c r="A255" t="s">
        <v>1089</v>
      </c>
      <c r="B255" s="11">
        <f t="shared" si="3"/>
        <v>2.2360679774997894</v>
      </c>
      <c r="C255">
        <f>SUMIFS('data (1)'!$M:$M,'data (1)'!$A:$A,XYZ!C$1,'data (1)'!$J:$J,XYZ!$A255)</f>
        <v>0</v>
      </c>
      <c r="D255">
        <f>SUMIFS('data (1)'!$M:$M,'data (1)'!$A:$A,XYZ!D$1,'data (1)'!$J:$J,XYZ!$A255)</f>
        <v>0</v>
      </c>
      <c r="E255">
        <f>SUMIFS('data (1)'!$M:$M,'data (1)'!$A:$A,XYZ!E$1,'data (1)'!$J:$J,XYZ!$A255)</f>
        <v>0</v>
      </c>
      <c r="F255">
        <f>SUMIFS('data (1)'!$M:$M,'data (1)'!$A:$A,XYZ!F$1,'data (1)'!$J:$J,XYZ!$A255)</f>
        <v>0</v>
      </c>
      <c r="G255">
        <f>SUMIFS('data (1)'!$M:$M,'data (1)'!$A:$A,XYZ!G$1,'data (1)'!$J:$J,XYZ!$A255)</f>
        <v>2</v>
      </c>
    </row>
    <row r="256" spans="1:7" x14ac:dyDescent="0.15">
      <c r="A256" t="s">
        <v>168</v>
      </c>
      <c r="B256" s="11">
        <f t="shared" si="3"/>
        <v>2.2360679774997894</v>
      </c>
      <c r="C256">
        <f>SUMIFS('data (1)'!$M:$M,'data (1)'!$A:$A,XYZ!C$1,'data (1)'!$J:$J,XYZ!$A256)</f>
        <v>2</v>
      </c>
      <c r="D256">
        <f>SUMIFS('data (1)'!$M:$M,'data (1)'!$A:$A,XYZ!D$1,'data (1)'!$J:$J,XYZ!$A256)</f>
        <v>0</v>
      </c>
      <c r="E256">
        <f>SUMIFS('data (1)'!$M:$M,'data (1)'!$A:$A,XYZ!E$1,'data (1)'!$J:$J,XYZ!$A256)</f>
        <v>0</v>
      </c>
      <c r="F256">
        <f>SUMIFS('data (1)'!$M:$M,'data (1)'!$A:$A,XYZ!F$1,'data (1)'!$J:$J,XYZ!$A256)</f>
        <v>0</v>
      </c>
      <c r="G256">
        <f>SUMIFS('data (1)'!$M:$M,'data (1)'!$A:$A,XYZ!G$1,'data (1)'!$J:$J,XYZ!$A256)</f>
        <v>0</v>
      </c>
    </row>
    <row r="257" spans="1:7" x14ac:dyDescent="0.15">
      <c r="A257" t="s">
        <v>390</v>
      </c>
      <c r="B257" s="11">
        <f t="shared" si="3"/>
        <v>2.2360679774997894</v>
      </c>
      <c r="C257">
        <f>SUMIFS('data (1)'!$M:$M,'data (1)'!$A:$A,XYZ!C$1,'data (1)'!$J:$J,XYZ!$A257)</f>
        <v>2</v>
      </c>
      <c r="D257">
        <f>SUMIFS('data (1)'!$M:$M,'data (1)'!$A:$A,XYZ!D$1,'data (1)'!$J:$J,XYZ!$A257)</f>
        <v>0</v>
      </c>
      <c r="E257">
        <f>SUMIFS('data (1)'!$M:$M,'data (1)'!$A:$A,XYZ!E$1,'data (1)'!$J:$J,XYZ!$A257)</f>
        <v>0</v>
      </c>
      <c r="F257">
        <f>SUMIFS('data (1)'!$M:$M,'data (1)'!$A:$A,XYZ!F$1,'data (1)'!$J:$J,XYZ!$A257)</f>
        <v>0</v>
      </c>
      <c r="G257">
        <f>SUMIFS('data (1)'!$M:$M,'data (1)'!$A:$A,XYZ!G$1,'data (1)'!$J:$J,XYZ!$A257)</f>
        <v>0</v>
      </c>
    </row>
    <row r="258" spans="1:7" x14ac:dyDescent="0.15">
      <c r="A258" t="s">
        <v>615</v>
      </c>
      <c r="B258" s="11">
        <f t="shared" si="3"/>
        <v>2.2360679774997894</v>
      </c>
      <c r="C258">
        <f>SUMIFS('data (1)'!$M:$M,'data (1)'!$A:$A,XYZ!C$1,'data (1)'!$J:$J,XYZ!$A258)</f>
        <v>0</v>
      </c>
      <c r="D258">
        <f>SUMIFS('data (1)'!$M:$M,'data (1)'!$A:$A,XYZ!D$1,'data (1)'!$J:$J,XYZ!$A258)</f>
        <v>2</v>
      </c>
      <c r="E258">
        <f>SUMIFS('data (1)'!$M:$M,'data (1)'!$A:$A,XYZ!E$1,'data (1)'!$J:$J,XYZ!$A258)</f>
        <v>0</v>
      </c>
      <c r="F258">
        <f>SUMIFS('data (1)'!$M:$M,'data (1)'!$A:$A,XYZ!F$1,'data (1)'!$J:$J,XYZ!$A258)</f>
        <v>0</v>
      </c>
      <c r="G258">
        <f>SUMIFS('data (1)'!$M:$M,'data (1)'!$A:$A,XYZ!G$1,'data (1)'!$J:$J,XYZ!$A258)</f>
        <v>0</v>
      </c>
    </row>
    <row r="259" spans="1:7" x14ac:dyDescent="0.15">
      <c r="A259" t="s">
        <v>1080</v>
      </c>
      <c r="B259" s="11">
        <f t="shared" ref="B259:B322" si="4">_xlfn.STDEV.S(C259:G259)/AVERAGE(C259:G259)</f>
        <v>2.2360679774997894</v>
      </c>
      <c r="C259">
        <f>SUMIFS('data (1)'!$M:$M,'data (1)'!$A:$A,XYZ!C$1,'data (1)'!$J:$J,XYZ!$A259)</f>
        <v>0</v>
      </c>
      <c r="D259">
        <f>SUMIFS('data (1)'!$M:$M,'data (1)'!$A:$A,XYZ!D$1,'data (1)'!$J:$J,XYZ!$A259)</f>
        <v>0</v>
      </c>
      <c r="E259">
        <f>SUMIFS('data (1)'!$M:$M,'data (1)'!$A:$A,XYZ!E$1,'data (1)'!$J:$J,XYZ!$A259)</f>
        <v>0</v>
      </c>
      <c r="F259">
        <f>SUMIFS('data (1)'!$M:$M,'data (1)'!$A:$A,XYZ!F$1,'data (1)'!$J:$J,XYZ!$A259)</f>
        <v>0</v>
      </c>
      <c r="G259">
        <f>SUMIFS('data (1)'!$M:$M,'data (1)'!$A:$A,XYZ!G$1,'data (1)'!$J:$J,XYZ!$A259)</f>
        <v>2</v>
      </c>
    </row>
    <row r="260" spans="1:7" x14ac:dyDescent="0.15">
      <c r="A260" t="s">
        <v>675</v>
      </c>
      <c r="B260" s="11">
        <f t="shared" si="4"/>
        <v>1.3693063937629151</v>
      </c>
      <c r="C260">
        <f>SUMIFS('data (1)'!$M:$M,'data (1)'!$A:$A,XYZ!C$1,'data (1)'!$J:$J,XYZ!$A260)</f>
        <v>0</v>
      </c>
      <c r="D260">
        <f>SUMIFS('data (1)'!$M:$M,'data (1)'!$A:$A,XYZ!D$1,'data (1)'!$J:$J,XYZ!$A260)</f>
        <v>1</v>
      </c>
      <c r="E260">
        <f>SUMIFS('data (1)'!$M:$M,'data (1)'!$A:$A,XYZ!E$1,'data (1)'!$J:$J,XYZ!$A260)</f>
        <v>0</v>
      </c>
      <c r="F260">
        <f>SUMIFS('data (1)'!$M:$M,'data (1)'!$A:$A,XYZ!F$1,'data (1)'!$J:$J,XYZ!$A260)</f>
        <v>0</v>
      </c>
      <c r="G260">
        <f>SUMIFS('data (1)'!$M:$M,'data (1)'!$A:$A,XYZ!G$1,'data (1)'!$J:$J,XYZ!$A260)</f>
        <v>1</v>
      </c>
    </row>
    <row r="261" spans="1:7" x14ac:dyDescent="0.15">
      <c r="A261" t="s">
        <v>994</v>
      </c>
      <c r="B261" s="11">
        <f t="shared" si="4"/>
        <v>1.3693063937629151</v>
      </c>
      <c r="C261">
        <f>SUMIFS('data (1)'!$M:$M,'data (1)'!$A:$A,XYZ!C$1,'data (1)'!$J:$J,XYZ!$A261)</f>
        <v>0</v>
      </c>
      <c r="D261">
        <f>SUMIFS('data (1)'!$M:$M,'data (1)'!$A:$A,XYZ!D$1,'data (1)'!$J:$J,XYZ!$A261)</f>
        <v>0</v>
      </c>
      <c r="E261">
        <f>SUMIFS('data (1)'!$M:$M,'data (1)'!$A:$A,XYZ!E$1,'data (1)'!$J:$J,XYZ!$A261)</f>
        <v>0</v>
      </c>
      <c r="F261">
        <f>SUMIFS('data (1)'!$M:$M,'data (1)'!$A:$A,XYZ!F$1,'data (1)'!$J:$J,XYZ!$A261)</f>
        <v>1</v>
      </c>
      <c r="G261">
        <f>SUMIFS('data (1)'!$M:$M,'data (1)'!$A:$A,XYZ!G$1,'data (1)'!$J:$J,XYZ!$A261)</f>
        <v>1</v>
      </c>
    </row>
    <row r="262" spans="1:7" x14ac:dyDescent="0.15">
      <c r="A262" t="s">
        <v>967</v>
      </c>
      <c r="B262" s="11">
        <f t="shared" si="4"/>
        <v>2.2360679774997894</v>
      </c>
      <c r="C262">
        <f>SUMIFS('data (1)'!$M:$M,'data (1)'!$A:$A,XYZ!C$1,'data (1)'!$J:$J,XYZ!$A262)</f>
        <v>0</v>
      </c>
      <c r="D262">
        <f>SUMIFS('data (1)'!$M:$M,'data (1)'!$A:$A,XYZ!D$1,'data (1)'!$J:$J,XYZ!$A262)</f>
        <v>0</v>
      </c>
      <c r="E262">
        <f>SUMIFS('data (1)'!$M:$M,'data (1)'!$A:$A,XYZ!E$1,'data (1)'!$J:$J,XYZ!$A262)</f>
        <v>0</v>
      </c>
      <c r="F262">
        <f>SUMIFS('data (1)'!$M:$M,'data (1)'!$A:$A,XYZ!F$1,'data (1)'!$J:$J,XYZ!$A262)</f>
        <v>2</v>
      </c>
      <c r="G262">
        <f>SUMIFS('data (1)'!$M:$M,'data (1)'!$A:$A,XYZ!G$1,'data (1)'!$J:$J,XYZ!$A262)</f>
        <v>0</v>
      </c>
    </row>
    <row r="263" spans="1:7" x14ac:dyDescent="0.15">
      <c r="A263" t="s">
        <v>923</v>
      </c>
      <c r="B263" s="11">
        <f t="shared" si="4"/>
        <v>2.2360679774997894</v>
      </c>
      <c r="C263">
        <f>SUMIFS('data (1)'!$M:$M,'data (1)'!$A:$A,XYZ!C$1,'data (1)'!$J:$J,XYZ!$A263)</f>
        <v>0</v>
      </c>
      <c r="D263">
        <f>SUMIFS('data (1)'!$M:$M,'data (1)'!$A:$A,XYZ!D$1,'data (1)'!$J:$J,XYZ!$A263)</f>
        <v>0</v>
      </c>
      <c r="E263">
        <f>SUMIFS('data (1)'!$M:$M,'data (1)'!$A:$A,XYZ!E$1,'data (1)'!$J:$J,XYZ!$A263)</f>
        <v>2</v>
      </c>
      <c r="F263">
        <f>SUMIFS('data (1)'!$M:$M,'data (1)'!$A:$A,XYZ!F$1,'data (1)'!$J:$J,XYZ!$A263)</f>
        <v>0</v>
      </c>
      <c r="G263">
        <f>SUMIFS('data (1)'!$M:$M,'data (1)'!$A:$A,XYZ!G$1,'data (1)'!$J:$J,XYZ!$A263)</f>
        <v>0</v>
      </c>
    </row>
    <row r="264" spans="1:7" x14ac:dyDescent="0.15">
      <c r="A264" t="s">
        <v>33</v>
      </c>
      <c r="B264" s="11">
        <f t="shared" si="4"/>
        <v>2.2360679774997894</v>
      </c>
      <c r="C264">
        <f>SUMIFS('data (1)'!$M:$M,'data (1)'!$A:$A,XYZ!C$1,'data (1)'!$J:$J,XYZ!$A264)</f>
        <v>2</v>
      </c>
      <c r="D264">
        <f>SUMIFS('data (1)'!$M:$M,'data (1)'!$A:$A,XYZ!D$1,'data (1)'!$J:$J,XYZ!$A264)</f>
        <v>0</v>
      </c>
      <c r="E264">
        <f>SUMIFS('data (1)'!$M:$M,'data (1)'!$A:$A,XYZ!E$1,'data (1)'!$J:$J,XYZ!$A264)</f>
        <v>0</v>
      </c>
      <c r="F264">
        <f>SUMIFS('data (1)'!$M:$M,'data (1)'!$A:$A,XYZ!F$1,'data (1)'!$J:$J,XYZ!$A264)</f>
        <v>0</v>
      </c>
      <c r="G264">
        <f>SUMIFS('data (1)'!$M:$M,'data (1)'!$A:$A,XYZ!G$1,'data (1)'!$J:$J,XYZ!$A264)</f>
        <v>0</v>
      </c>
    </row>
    <row r="265" spans="1:7" x14ac:dyDescent="0.15">
      <c r="A265" t="s">
        <v>1053</v>
      </c>
      <c r="B265" s="11">
        <f t="shared" si="4"/>
        <v>1.3693063937629151</v>
      </c>
      <c r="C265">
        <f>SUMIFS('data (1)'!$M:$M,'data (1)'!$A:$A,XYZ!C$1,'data (1)'!$J:$J,XYZ!$A265)</f>
        <v>0</v>
      </c>
      <c r="D265">
        <f>SUMIFS('data (1)'!$M:$M,'data (1)'!$A:$A,XYZ!D$1,'data (1)'!$J:$J,XYZ!$A265)</f>
        <v>0</v>
      </c>
      <c r="E265">
        <f>SUMIFS('data (1)'!$M:$M,'data (1)'!$A:$A,XYZ!E$1,'data (1)'!$J:$J,XYZ!$A265)</f>
        <v>0</v>
      </c>
      <c r="F265">
        <f>SUMIFS('data (1)'!$M:$M,'data (1)'!$A:$A,XYZ!F$1,'data (1)'!$J:$J,XYZ!$A265)</f>
        <v>1</v>
      </c>
      <c r="G265">
        <f>SUMIFS('data (1)'!$M:$M,'data (1)'!$A:$A,XYZ!G$1,'data (1)'!$J:$J,XYZ!$A265)</f>
        <v>1</v>
      </c>
    </row>
    <row r="266" spans="1:7" x14ac:dyDescent="0.15">
      <c r="A266" t="s">
        <v>899</v>
      </c>
      <c r="B266" s="11">
        <f t="shared" si="4"/>
        <v>2.2360679774997894</v>
      </c>
      <c r="C266">
        <f>SUMIFS('data (1)'!$M:$M,'data (1)'!$A:$A,XYZ!C$1,'data (1)'!$J:$J,XYZ!$A266)</f>
        <v>0</v>
      </c>
      <c r="D266">
        <f>SUMIFS('data (1)'!$M:$M,'data (1)'!$A:$A,XYZ!D$1,'data (1)'!$J:$J,XYZ!$A266)</f>
        <v>0</v>
      </c>
      <c r="E266">
        <f>SUMIFS('data (1)'!$M:$M,'data (1)'!$A:$A,XYZ!E$1,'data (1)'!$J:$J,XYZ!$A266)</f>
        <v>2</v>
      </c>
      <c r="F266">
        <f>SUMIFS('data (1)'!$M:$M,'data (1)'!$A:$A,XYZ!F$1,'data (1)'!$J:$J,XYZ!$A266)</f>
        <v>0</v>
      </c>
      <c r="G266">
        <f>SUMIFS('data (1)'!$M:$M,'data (1)'!$A:$A,XYZ!G$1,'data (1)'!$J:$J,XYZ!$A266)</f>
        <v>0</v>
      </c>
    </row>
    <row r="267" spans="1:7" x14ac:dyDescent="0.15">
      <c r="A267" t="s">
        <v>96</v>
      </c>
      <c r="B267" s="11">
        <f t="shared" si="4"/>
        <v>2.2360679774997894</v>
      </c>
      <c r="C267">
        <f>SUMIFS('data (1)'!$M:$M,'data (1)'!$A:$A,XYZ!C$1,'data (1)'!$J:$J,XYZ!$A267)</f>
        <v>2</v>
      </c>
      <c r="D267">
        <f>SUMIFS('data (1)'!$M:$M,'data (1)'!$A:$A,XYZ!D$1,'data (1)'!$J:$J,XYZ!$A267)</f>
        <v>0</v>
      </c>
      <c r="E267">
        <f>SUMIFS('data (1)'!$M:$M,'data (1)'!$A:$A,XYZ!E$1,'data (1)'!$J:$J,XYZ!$A267)</f>
        <v>0</v>
      </c>
      <c r="F267">
        <f>SUMIFS('data (1)'!$M:$M,'data (1)'!$A:$A,XYZ!F$1,'data (1)'!$J:$J,XYZ!$A267)</f>
        <v>0</v>
      </c>
      <c r="G267">
        <f>SUMIFS('data (1)'!$M:$M,'data (1)'!$A:$A,XYZ!G$1,'data (1)'!$J:$J,XYZ!$A267)</f>
        <v>0</v>
      </c>
    </row>
    <row r="268" spans="1:7" x14ac:dyDescent="0.15">
      <c r="A268" t="s">
        <v>440</v>
      </c>
      <c r="B268" s="11">
        <f t="shared" si="4"/>
        <v>1.3693063937629151</v>
      </c>
      <c r="C268">
        <f>SUMIFS('data (1)'!$M:$M,'data (1)'!$A:$A,XYZ!C$1,'data (1)'!$J:$J,XYZ!$A268)</f>
        <v>1</v>
      </c>
      <c r="D268">
        <f>SUMIFS('data (1)'!$M:$M,'data (1)'!$A:$A,XYZ!D$1,'data (1)'!$J:$J,XYZ!$A268)</f>
        <v>1</v>
      </c>
      <c r="E268">
        <f>SUMIFS('data (1)'!$M:$M,'data (1)'!$A:$A,XYZ!E$1,'data (1)'!$J:$J,XYZ!$A268)</f>
        <v>0</v>
      </c>
      <c r="F268">
        <f>SUMIFS('data (1)'!$M:$M,'data (1)'!$A:$A,XYZ!F$1,'data (1)'!$J:$J,XYZ!$A268)</f>
        <v>0</v>
      </c>
      <c r="G268">
        <f>SUMIFS('data (1)'!$M:$M,'data (1)'!$A:$A,XYZ!G$1,'data (1)'!$J:$J,XYZ!$A268)</f>
        <v>0</v>
      </c>
    </row>
    <row r="269" spans="1:7" x14ac:dyDescent="0.15">
      <c r="A269" t="s">
        <v>416</v>
      </c>
      <c r="B269" s="11">
        <f t="shared" si="4"/>
        <v>1.599741103314263</v>
      </c>
      <c r="C269">
        <f>SUMIFS('data (1)'!$M:$M,'data (1)'!$A:$A,XYZ!C$1,'data (1)'!$J:$J,XYZ!$A269)</f>
        <v>0.1</v>
      </c>
      <c r="D269">
        <f>SUMIFS('data (1)'!$M:$M,'data (1)'!$A:$A,XYZ!D$1,'data (1)'!$J:$J,XYZ!$A269)</f>
        <v>0.1</v>
      </c>
      <c r="E269">
        <f>SUMIFS('data (1)'!$M:$M,'data (1)'!$A:$A,XYZ!E$1,'data (1)'!$J:$J,XYZ!$A269)</f>
        <v>1</v>
      </c>
      <c r="F269">
        <f>SUMIFS('data (1)'!$M:$M,'data (1)'!$A:$A,XYZ!F$1,'data (1)'!$J:$J,XYZ!$A269)</f>
        <v>0.1</v>
      </c>
      <c r="G269">
        <f>SUMIFS('data (1)'!$M:$M,'data (1)'!$A:$A,XYZ!G$1,'data (1)'!$J:$J,XYZ!$A269)</f>
        <v>0</v>
      </c>
    </row>
    <row r="270" spans="1:7" x14ac:dyDescent="0.15">
      <c r="A270" t="s">
        <v>60</v>
      </c>
      <c r="B270" s="11">
        <f t="shared" si="4"/>
        <v>2.2360679774997894</v>
      </c>
      <c r="C270">
        <f>SUMIFS('data (1)'!$M:$M,'data (1)'!$A:$A,XYZ!C$1,'data (1)'!$J:$J,XYZ!$A270)</f>
        <v>1</v>
      </c>
      <c r="D270">
        <f>SUMIFS('data (1)'!$M:$M,'data (1)'!$A:$A,XYZ!D$1,'data (1)'!$J:$J,XYZ!$A270)</f>
        <v>0</v>
      </c>
      <c r="E270">
        <f>SUMIFS('data (1)'!$M:$M,'data (1)'!$A:$A,XYZ!E$1,'data (1)'!$J:$J,XYZ!$A270)</f>
        <v>0</v>
      </c>
      <c r="F270">
        <f>SUMIFS('data (1)'!$M:$M,'data (1)'!$A:$A,XYZ!F$1,'data (1)'!$J:$J,XYZ!$A270)</f>
        <v>0</v>
      </c>
      <c r="G270">
        <f>SUMIFS('data (1)'!$M:$M,'data (1)'!$A:$A,XYZ!G$1,'data (1)'!$J:$J,XYZ!$A270)</f>
        <v>0</v>
      </c>
    </row>
    <row r="271" spans="1:7" x14ac:dyDescent="0.15">
      <c r="A271" t="s">
        <v>207</v>
      </c>
      <c r="B271" s="11">
        <f t="shared" si="4"/>
        <v>2.2360679774997894</v>
      </c>
      <c r="C271">
        <f>SUMIFS('data (1)'!$M:$M,'data (1)'!$A:$A,XYZ!C$1,'data (1)'!$J:$J,XYZ!$A271)</f>
        <v>1</v>
      </c>
      <c r="D271">
        <f>SUMIFS('data (1)'!$M:$M,'data (1)'!$A:$A,XYZ!D$1,'data (1)'!$J:$J,XYZ!$A271)</f>
        <v>0</v>
      </c>
      <c r="E271">
        <f>SUMIFS('data (1)'!$M:$M,'data (1)'!$A:$A,XYZ!E$1,'data (1)'!$J:$J,XYZ!$A271)</f>
        <v>0</v>
      </c>
      <c r="F271">
        <f>SUMIFS('data (1)'!$M:$M,'data (1)'!$A:$A,XYZ!F$1,'data (1)'!$J:$J,XYZ!$A271)</f>
        <v>0</v>
      </c>
      <c r="G271">
        <f>SUMIFS('data (1)'!$M:$M,'data (1)'!$A:$A,XYZ!G$1,'data (1)'!$J:$J,XYZ!$A271)</f>
        <v>0</v>
      </c>
    </row>
    <row r="272" spans="1:7" x14ac:dyDescent="0.15">
      <c r="A272" t="s">
        <v>535</v>
      </c>
      <c r="B272" s="11">
        <f t="shared" si="4"/>
        <v>2.2360679774997894</v>
      </c>
      <c r="C272">
        <f>SUMIFS('data (1)'!$M:$M,'data (1)'!$A:$A,XYZ!C$1,'data (1)'!$J:$J,XYZ!$A272)</f>
        <v>0</v>
      </c>
      <c r="D272">
        <f>SUMIFS('data (1)'!$M:$M,'data (1)'!$A:$A,XYZ!D$1,'data (1)'!$J:$J,XYZ!$A272)</f>
        <v>1</v>
      </c>
      <c r="E272">
        <f>SUMIFS('data (1)'!$M:$M,'data (1)'!$A:$A,XYZ!E$1,'data (1)'!$J:$J,XYZ!$A272)</f>
        <v>0</v>
      </c>
      <c r="F272">
        <f>SUMIFS('data (1)'!$M:$M,'data (1)'!$A:$A,XYZ!F$1,'data (1)'!$J:$J,XYZ!$A272)</f>
        <v>0</v>
      </c>
      <c r="G272">
        <f>SUMIFS('data (1)'!$M:$M,'data (1)'!$A:$A,XYZ!G$1,'data (1)'!$J:$J,XYZ!$A272)</f>
        <v>0</v>
      </c>
    </row>
    <row r="273" spans="1:7" x14ac:dyDescent="0.15">
      <c r="A273" t="s">
        <v>788</v>
      </c>
      <c r="B273" s="11">
        <f t="shared" si="4"/>
        <v>2.2360679774997894</v>
      </c>
      <c r="C273">
        <f>SUMIFS('data (1)'!$M:$M,'data (1)'!$A:$A,XYZ!C$1,'data (1)'!$J:$J,XYZ!$A273)</f>
        <v>0</v>
      </c>
      <c r="D273">
        <f>SUMIFS('data (1)'!$M:$M,'data (1)'!$A:$A,XYZ!D$1,'data (1)'!$J:$J,XYZ!$A273)</f>
        <v>0</v>
      </c>
      <c r="E273">
        <f>SUMIFS('data (1)'!$M:$M,'data (1)'!$A:$A,XYZ!E$1,'data (1)'!$J:$J,XYZ!$A273)</f>
        <v>1</v>
      </c>
      <c r="F273">
        <f>SUMIFS('data (1)'!$M:$M,'data (1)'!$A:$A,XYZ!F$1,'data (1)'!$J:$J,XYZ!$A273)</f>
        <v>0</v>
      </c>
      <c r="G273">
        <f>SUMIFS('data (1)'!$M:$M,'data (1)'!$A:$A,XYZ!G$1,'data (1)'!$J:$J,XYZ!$A273)</f>
        <v>0</v>
      </c>
    </row>
    <row r="274" spans="1:7" x14ac:dyDescent="0.15">
      <c r="A274" t="s">
        <v>946</v>
      </c>
      <c r="B274" s="11">
        <f t="shared" si="4"/>
        <v>2.2360679774997894</v>
      </c>
      <c r="C274">
        <f>SUMIFS('data (1)'!$M:$M,'data (1)'!$A:$A,XYZ!C$1,'data (1)'!$J:$J,XYZ!$A274)</f>
        <v>0</v>
      </c>
      <c r="D274">
        <f>SUMIFS('data (1)'!$M:$M,'data (1)'!$A:$A,XYZ!D$1,'data (1)'!$J:$J,XYZ!$A274)</f>
        <v>0</v>
      </c>
      <c r="E274">
        <f>SUMIFS('data (1)'!$M:$M,'data (1)'!$A:$A,XYZ!E$1,'data (1)'!$J:$J,XYZ!$A274)</f>
        <v>0</v>
      </c>
      <c r="F274">
        <f>SUMIFS('data (1)'!$M:$M,'data (1)'!$A:$A,XYZ!F$1,'data (1)'!$J:$J,XYZ!$A274)</f>
        <v>1</v>
      </c>
      <c r="G274">
        <f>SUMIFS('data (1)'!$M:$M,'data (1)'!$A:$A,XYZ!G$1,'data (1)'!$J:$J,XYZ!$A274)</f>
        <v>0</v>
      </c>
    </row>
    <row r="275" spans="1:7" x14ac:dyDescent="0.15">
      <c r="A275" t="s">
        <v>1018</v>
      </c>
      <c r="B275" s="11">
        <f t="shared" si="4"/>
        <v>2.2360679774997894</v>
      </c>
      <c r="C275">
        <f>SUMIFS('data (1)'!$M:$M,'data (1)'!$A:$A,XYZ!C$1,'data (1)'!$J:$J,XYZ!$A275)</f>
        <v>0</v>
      </c>
      <c r="D275">
        <f>SUMIFS('data (1)'!$M:$M,'data (1)'!$A:$A,XYZ!D$1,'data (1)'!$J:$J,XYZ!$A275)</f>
        <v>0</v>
      </c>
      <c r="E275">
        <f>SUMIFS('data (1)'!$M:$M,'data (1)'!$A:$A,XYZ!E$1,'data (1)'!$J:$J,XYZ!$A275)</f>
        <v>0</v>
      </c>
      <c r="F275">
        <f>SUMIFS('data (1)'!$M:$M,'data (1)'!$A:$A,XYZ!F$1,'data (1)'!$J:$J,XYZ!$A275)</f>
        <v>1</v>
      </c>
      <c r="G275">
        <f>SUMIFS('data (1)'!$M:$M,'data (1)'!$A:$A,XYZ!G$1,'data (1)'!$J:$J,XYZ!$A275)</f>
        <v>0</v>
      </c>
    </row>
    <row r="276" spans="1:7" x14ac:dyDescent="0.15">
      <c r="A276" t="s">
        <v>1028</v>
      </c>
      <c r="B276" s="11">
        <f t="shared" si="4"/>
        <v>2.2360679774997894</v>
      </c>
      <c r="C276">
        <f>SUMIFS('data (1)'!$M:$M,'data (1)'!$A:$A,XYZ!C$1,'data (1)'!$J:$J,XYZ!$A276)</f>
        <v>0</v>
      </c>
      <c r="D276">
        <f>SUMIFS('data (1)'!$M:$M,'data (1)'!$A:$A,XYZ!D$1,'data (1)'!$J:$J,XYZ!$A276)</f>
        <v>0</v>
      </c>
      <c r="E276">
        <f>SUMIFS('data (1)'!$M:$M,'data (1)'!$A:$A,XYZ!E$1,'data (1)'!$J:$J,XYZ!$A276)</f>
        <v>0</v>
      </c>
      <c r="F276">
        <f>SUMIFS('data (1)'!$M:$M,'data (1)'!$A:$A,XYZ!F$1,'data (1)'!$J:$J,XYZ!$A276)</f>
        <v>1</v>
      </c>
      <c r="G276">
        <f>SUMIFS('data (1)'!$M:$M,'data (1)'!$A:$A,XYZ!G$1,'data (1)'!$J:$J,XYZ!$A276)</f>
        <v>0</v>
      </c>
    </row>
    <row r="277" spans="1:7" x14ac:dyDescent="0.15">
      <c r="A277" t="s">
        <v>88</v>
      </c>
      <c r="B277" s="11">
        <f t="shared" si="4"/>
        <v>2.2360679774997894</v>
      </c>
      <c r="C277">
        <f>SUMIFS('data (1)'!$M:$M,'data (1)'!$A:$A,XYZ!C$1,'data (1)'!$J:$J,XYZ!$A277)</f>
        <v>1</v>
      </c>
      <c r="D277">
        <f>SUMIFS('data (1)'!$M:$M,'data (1)'!$A:$A,XYZ!D$1,'data (1)'!$J:$J,XYZ!$A277)</f>
        <v>0</v>
      </c>
      <c r="E277">
        <f>SUMIFS('data (1)'!$M:$M,'data (1)'!$A:$A,XYZ!E$1,'data (1)'!$J:$J,XYZ!$A277)</f>
        <v>0</v>
      </c>
      <c r="F277">
        <f>SUMIFS('data (1)'!$M:$M,'data (1)'!$A:$A,XYZ!F$1,'data (1)'!$J:$J,XYZ!$A277)</f>
        <v>0</v>
      </c>
      <c r="G277">
        <f>SUMIFS('data (1)'!$M:$M,'data (1)'!$A:$A,XYZ!G$1,'data (1)'!$J:$J,XYZ!$A277)</f>
        <v>0</v>
      </c>
    </row>
    <row r="278" spans="1:7" x14ac:dyDescent="0.15">
      <c r="A278" t="s">
        <v>649</v>
      </c>
      <c r="B278" s="11">
        <f t="shared" si="4"/>
        <v>2.2360679774997894</v>
      </c>
      <c r="C278">
        <f>SUMIFS('data (1)'!$M:$M,'data (1)'!$A:$A,XYZ!C$1,'data (1)'!$J:$J,XYZ!$A278)</f>
        <v>0</v>
      </c>
      <c r="D278">
        <f>SUMIFS('data (1)'!$M:$M,'data (1)'!$A:$A,XYZ!D$1,'data (1)'!$J:$J,XYZ!$A278)</f>
        <v>1</v>
      </c>
      <c r="E278">
        <f>SUMIFS('data (1)'!$M:$M,'data (1)'!$A:$A,XYZ!E$1,'data (1)'!$J:$J,XYZ!$A278)</f>
        <v>0</v>
      </c>
      <c r="F278">
        <f>SUMIFS('data (1)'!$M:$M,'data (1)'!$A:$A,XYZ!F$1,'data (1)'!$J:$J,XYZ!$A278)</f>
        <v>0</v>
      </c>
      <c r="G278">
        <f>SUMIFS('data (1)'!$M:$M,'data (1)'!$A:$A,XYZ!G$1,'data (1)'!$J:$J,XYZ!$A278)</f>
        <v>0</v>
      </c>
    </row>
    <row r="279" spans="1:7" x14ac:dyDescent="0.15">
      <c r="A279" t="s">
        <v>1213</v>
      </c>
      <c r="B279" s="11">
        <f t="shared" si="4"/>
        <v>2.2360679774997894</v>
      </c>
      <c r="C279">
        <f>SUMIFS('data (1)'!$M:$M,'data (1)'!$A:$A,XYZ!C$1,'data (1)'!$J:$J,XYZ!$A279)</f>
        <v>0</v>
      </c>
      <c r="D279">
        <f>SUMIFS('data (1)'!$M:$M,'data (1)'!$A:$A,XYZ!D$1,'data (1)'!$J:$J,XYZ!$A279)</f>
        <v>0</v>
      </c>
      <c r="E279">
        <f>SUMIFS('data (1)'!$M:$M,'data (1)'!$A:$A,XYZ!E$1,'data (1)'!$J:$J,XYZ!$A279)</f>
        <v>0</v>
      </c>
      <c r="F279">
        <f>SUMIFS('data (1)'!$M:$M,'data (1)'!$A:$A,XYZ!F$1,'data (1)'!$J:$J,XYZ!$A279)</f>
        <v>0</v>
      </c>
      <c r="G279">
        <f>SUMIFS('data (1)'!$M:$M,'data (1)'!$A:$A,XYZ!G$1,'data (1)'!$J:$J,XYZ!$A279)</f>
        <v>1</v>
      </c>
    </row>
    <row r="280" spans="1:7" x14ac:dyDescent="0.15">
      <c r="A280" t="s">
        <v>770</v>
      </c>
      <c r="B280" s="11">
        <f t="shared" si="4"/>
        <v>2.2360679774997894</v>
      </c>
      <c r="C280">
        <f>SUMIFS('data (1)'!$M:$M,'data (1)'!$A:$A,XYZ!C$1,'data (1)'!$J:$J,XYZ!$A280)</f>
        <v>0</v>
      </c>
      <c r="D280">
        <f>SUMIFS('data (1)'!$M:$M,'data (1)'!$A:$A,XYZ!D$1,'data (1)'!$J:$J,XYZ!$A280)</f>
        <v>0</v>
      </c>
      <c r="E280">
        <f>SUMIFS('data (1)'!$M:$M,'data (1)'!$A:$A,XYZ!E$1,'data (1)'!$J:$J,XYZ!$A280)</f>
        <v>1</v>
      </c>
      <c r="F280">
        <f>SUMIFS('data (1)'!$M:$M,'data (1)'!$A:$A,XYZ!F$1,'data (1)'!$J:$J,XYZ!$A280)</f>
        <v>0</v>
      </c>
      <c r="G280">
        <f>SUMIFS('data (1)'!$M:$M,'data (1)'!$A:$A,XYZ!G$1,'data (1)'!$J:$J,XYZ!$A280)</f>
        <v>0</v>
      </c>
    </row>
    <row r="281" spans="1:7" x14ac:dyDescent="0.15">
      <c r="A281" t="s">
        <v>170</v>
      </c>
      <c r="B281" s="11">
        <f t="shared" si="4"/>
        <v>2.2360679774997894</v>
      </c>
      <c r="C281">
        <f>SUMIFS('data (1)'!$M:$M,'data (1)'!$A:$A,XYZ!C$1,'data (1)'!$J:$J,XYZ!$A281)</f>
        <v>1</v>
      </c>
      <c r="D281">
        <f>SUMIFS('data (1)'!$M:$M,'data (1)'!$A:$A,XYZ!D$1,'data (1)'!$J:$J,XYZ!$A281)</f>
        <v>0</v>
      </c>
      <c r="E281">
        <f>SUMIFS('data (1)'!$M:$M,'data (1)'!$A:$A,XYZ!E$1,'data (1)'!$J:$J,XYZ!$A281)</f>
        <v>0</v>
      </c>
      <c r="F281">
        <f>SUMIFS('data (1)'!$M:$M,'data (1)'!$A:$A,XYZ!F$1,'data (1)'!$J:$J,XYZ!$A281)</f>
        <v>0</v>
      </c>
      <c r="G281">
        <f>SUMIFS('data (1)'!$M:$M,'data (1)'!$A:$A,XYZ!G$1,'data (1)'!$J:$J,XYZ!$A281)</f>
        <v>0</v>
      </c>
    </row>
    <row r="282" spans="1:7" x14ac:dyDescent="0.15">
      <c r="A282" t="s">
        <v>678</v>
      </c>
      <c r="B282" s="11">
        <f t="shared" si="4"/>
        <v>2.2360679774997894</v>
      </c>
      <c r="C282">
        <f>SUMIFS('data (1)'!$M:$M,'data (1)'!$A:$A,XYZ!C$1,'data (1)'!$J:$J,XYZ!$A282)</f>
        <v>0</v>
      </c>
      <c r="D282">
        <f>SUMIFS('data (1)'!$M:$M,'data (1)'!$A:$A,XYZ!D$1,'data (1)'!$J:$J,XYZ!$A282)</f>
        <v>1</v>
      </c>
      <c r="E282">
        <f>SUMIFS('data (1)'!$M:$M,'data (1)'!$A:$A,XYZ!E$1,'data (1)'!$J:$J,XYZ!$A282)</f>
        <v>0</v>
      </c>
      <c r="F282">
        <f>SUMIFS('data (1)'!$M:$M,'data (1)'!$A:$A,XYZ!F$1,'data (1)'!$J:$J,XYZ!$A282)</f>
        <v>0</v>
      </c>
      <c r="G282">
        <f>SUMIFS('data (1)'!$M:$M,'data (1)'!$A:$A,XYZ!G$1,'data (1)'!$J:$J,XYZ!$A282)</f>
        <v>0</v>
      </c>
    </row>
    <row r="283" spans="1:7" x14ac:dyDescent="0.15">
      <c r="A283" t="s">
        <v>387</v>
      </c>
      <c r="B283" s="11">
        <f t="shared" si="4"/>
        <v>2.2360679774997894</v>
      </c>
      <c r="C283">
        <f>SUMIFS('data (1)'!$M:$M,'data (1)'!$A:$A,XYZ!C$1,'data (1)'!$J:$J,XYZ!$A283)</f>
        <v>1</v>
      </c>
      <c r="D283">
        <f>SUMIFS('data (1)'!$M:$M,'data (1)'!$A:$A,XYZ!D$1,'data (1)'!$J:$J,XYZ!$A283)</f>
        <v>0</v>
      </c>
      <c r="E283">
        <f>SUMIFS('data (1)'!$M:$M,'data (1)'!$A:$A,XYZ!E$1,'data (1)'!$J:$J,XYZ!$A283)</f>
        <v>0</v>
      </c>
      <c r="F283">
        <f>SUMIFS('data (1)'!$M:$M,'data (1)'!$A:$A,XYZ!F$1,'data (1)'!$J:$J,XYZ!$A283)</f>
        <v>0</v>
      </c>
      <c r="G283">
        <f>SUMIFS('data (1)'!$M:$M,'data (1)'!$A:$A,XYZ!G$1,'data (1)'!$J:$J,XYZ!$A283)</f>
        <v>0</v>
      </c>
    </row>
    <row r="284" spans="1:7" x14ac:dyDescent="0.15">
      <c r="A284" t="s">
        <v>283</v>
      </c>
      <c r="B284" s="11">
        <f t="shared" si="4"/>
        <v>2.2360679774997894</v>
      </c>
      <c r="C284">
        <f>SUMIFS('data (1)'!$M:$M,'data (1)'!$A:$A,XYZ!C$1,'data (1)'!$J:$J,XYZ!$A284)</f>
        <v>1</v>
      </c>
      <c r="D284">
        <f>SUMIFS('data (1)'!$M:$M,'data (1)'!$A:$A,XYZ!D$1,'data (1)'!$J:$J,XYZ!$A284)</f>
        <v>0</v>
      </c>
      <c r="E284">
        <f>SUMIFS('data (1)'!$M:$M,'data (1)'!$A:$A,XYZ!E$1,'data (1)'!$J:$J,XYZ!$A284)</f>
        <v>0</v>
      </c>
      <c r="F284">
        <f>SUMIFS('data (1)'!$M:$M,'data (1)'!$A:$A,XYZ!F$1,'data (1)'!$J:$J,XYZ!$A284)</f>
        <v>0</v>
      </c>
      <c r="G284">
        <f>SUMIFS('data (1)'!$M:$M,'data (1)'!$A:$A,XYZ!G$1,'data (1)'!$J:$J,XYZ!$A284)</f>
        <v>0</v>
      </c>
    </row>
    <row r="285" spans="1:7" x14ac:dyDescent="0.15">
      <c r="A285" t="s">
        <v>619</v>
      </c>
      <c r="B285" s="11">
        <f t="shared" si="4"/>
        <v>2.2360679774997894</v>
      </c>
      <c r="C285">
        <f>SUMIFS('data (1)'!$M:$M,'data (1)'!$A:$A,XYZ!C$1,'data (1)'!$J:$J,XYZ!$A285)</f>
        <v>0</v>
      </c>
      <c r="D285">
        <f>SUMIFS('data (1)'!$M:$M,'data (1)'!$A:$A,XYZ!D$1,'data (1)'!$J:$J,XYZ!$A285)</f>
        <v>1</v>
      </c>
      <c r="E285">
        <f>SUMIFS('data (1)'!$M:$M,'data (1)'!$A:$A,XYZ!E$1,'data (1)'!$J:$J,XYZ!$A285)</f>
        <v>0</v>
      </c>
      <c r="F285">
        <f>SUMIFS('data (1)'!$M:$M,'data (1)'!$A:$A,XYZ!F$1,'data (1)'!$J:$J,XYZ!$A285)</f>
        <v>0</v>
      </c>
      <c r="G285">
        <f>SUMIFS('data (1)'!$M:$M,'data (1)'!$A:$A,XYZ!G$1,'data (1)'!$J:$J,XYZ!$A285)</f>
        <v>0</v>
      </c>
    </row>
    <row r="286" spans="1:7" x14ac:dyDescent="0.15">
      <c r="A286" t="s">
        <v>1204</v>
      </c>
      <c r="B286" s="11">
        <f t="shared" si="4"/>
        <v>2.2360679774997894</v>
      </c>
      <c r="C286">
        <f>SUMIFS('data (1)'!$M:$M,'data (1)'!$A:$A,XYZ!C$1,'data (1)'!$J:$J,XYZ!$A286)</f>
        <v>0</v>
      </c>
      <c r="D286">
        <f>SUMIFS('data (1)'!$M:$M,'data (1)'!$A:$A,XYZ!D$1,'data (1)'!$J:$J,XYZ!$A286)</f>
        <v>0</v>
      </c>
      <c r="E286">
        <f>SUMIFS('data (1)'!$M:$M,'data (1)'!$A:$A,XYZ!E$1,'data (1)'!$J:$J,XYZ!$A286)</f>
        <v>0</v>
      </c>
      <c r="F286">
        <f>SUMIFS('data (1)'!$M:$M,'data (1)'!$A:$A,XYZ!F$1,'data (1)'!$J:$J,XYZ!$A286)</f>
        <v>0</v>
      </c>
      <c r="G286">
        <f>SUMIFS('data (1)'!$M:$M,'data (1)'!$A:$A,XYZ!G$1,'data (1)'!$J:$J,XYZ!$A286)</f>
        <v>1</v>
      </c>
    </row>
    <row r="287" spans="1:7" x14ac:dyDescent="0.15">
      <c r="A287" t="s">
        <v>858</v>
      </c>
      <c r="B287" s="11">
        <f t="shared" si="4"/>
        <v>2.2360679774997894</v>
      </c>
      <c r="C287">
        <f>SUMIFS('data (1)'!$M:$M,'data (1)'!$A:$A,XYZ!C$1,'data (1)'!$J:$J,XYZ!$A287)</f>
        <v>0</v>
      </c>
      <c r="D287">
        <f>SUMIFS('data (1)'!$M:$M,'data (1)'!$A:$A,XYZ!D$1,'data (1)'!$J:$J,XYZ!$A287)</f>
        <v>0</v>
      </c>
      <c r="E287">
        <f>SUMIFS('data (1)'!$M:$M,'data (1)'!$A:$A,XYZ!E$1,'data (1)'!$J:$J,XYZ!$A287)</f>
        <v>1</v>
      </c>
      <c r="F287">
        <f>SUMIFS('data (1)'!$M:$M,'data (1)'!$A:$A,XYZ!F$1,'data (1)'!$J:$J,XYZ!$A287)</f>
        <v>0</v>
      </c>
      <c r="G287">
        <f>SUMIFS('data (1)'!$M:$M,'data (1)'!$A:$A,XYZ!G$1,'data (1)'!$J:$J,XYZ!$A287)</f>
        <v>0</v>
      </c>
    </row>
    <row r="288" spans="1:7" x14ac:dyDescent="0.15">
      <c r="A288" t="s">
        <v>778</v>
      </c>
      <c r="B288" s="11">
        <f t="shared" si="4"/>
        <v>2.2360679774997894</v>
      </c>
      <c r="C288">
        <f>SUMIFS('data (1)'!$M:$M,'data (1)'!$A:$A,XYZ!C$1,'data (1)'!$J:$J,XYZ!$A288)</f>
        <v>0</v>
      </c>
      <c r="D288">
        <f>SUMIFS('data (1)'!$M:$M,'data (1)'!$A:$A,XYZ!D$1,'data (1)'!$J:$J,XYZ!$A288)</f>
        <v>0</v>
      </c>
      <c r="E288">
        <f>SUMIFS('data (1)'!$M:$M,'data (1)'!$A:$A,XYZ!E$1,'data (1)'!$J:$J,XYZ!$A288)</f>
        <v>1</v>
      </c>
      <c r="F288">
        <f>SUMIFS('data (1)'!$M:$M,'data (1)'!$A:$A,XYZ!F$1,'data (1)'!$J:$J,XYZ!$A288)</f>
        <v>0</v>
      </c>
      <c r="G288">
        <f>SUMIFS('data (1)'!$M:$M,'data (1)'!$A:$A,XYZ!G$1,'data (1)'!$J:$J,XYZ!$A288)</f>
        <v>0</v>
      </c>
    </row>
    <row r="289" spans="1:7" x14ac:dyDescent="0.15">
      <c r="A289" t="s">
        <v>660</v>
      </c>
      <c r="B289" s="11">
        <f t="shared" si="4"/>
        <v>2.2360679774997894</v>
      </c>
      <c r="C289">
        <f>SUMIFS('data (1)'!$M:$M,'data (1)'!$A:$A,XYZ!C$1,'data (1)'!$J:$J,XYZ!$A289)</f>
        <v>0</v>
      </c>
      <c r="D289">
        <f>SUMIFS('data (1)'!$M:$M,'data (1)'!$A:$A,XYZ!D$1,'data (1)'!$J:$J,XYZ!$A289)</f>
        <v>1</v>
      </c>
      <c r="E289">
        <f>SUMIFS('data (1)'!$M:$M,'data (1)'!$A:$A,XYZ!E$1,'data (1)'!$J:$J,XYZ!$A289)</f>
        <v>0</v>
      </c>
      <c r="F289">
        <f>SUMIFS('data (1)'!$M:$M,'data (1)'!$A:$A,XYZ!F$1,'data (1)'!$J:$J,XYZ!$A289)</f>
        <v>0</v>
      </c>
      <c r="G289">
        <f>SUMIFS('data (1)'!$M:$M,'data (1)'!$A:$A,XYZ!G$1,'data (1)'!$J:$J,XYZ!$A289)</f>
        <v>0</v>
      </c>
    </row>
    <row r="290" spans="1:7" x14ac:dyDescent="0.15">
      <c r="A290" t="s">
        <v>839</v>
      </c>
      <c r="B290" s="11">
        <f t="shared" si="4"/>
        <v>2.2360679774997894</v>
      </c>
      <c r="C290">
        <f>SUMIFS('data (1)'!$M:$M,'data (1)'!$A:$A,XYZ!C$1,'data (1)'!$J:$J,XYZ!$A290)</f>
        <v>0</v>
      </c>
      <c r="D290">
        <f>SUMIFS('data (1)'!$M:$M,'data (1)'!$A:$A,XYZ!D$1,'data (1)'!$J:$J,XYZ!$A290)</f>
        <v>0</v>
      </c>
      <c r="E290">
        <f>SUMIFS('data (1)'!$M:$M,'data (1)'!$A:$A,XYZ!E$1,'data (1)'!$J:$J,XYZ!$A290)</f>
        <v>1</v>
      </c>
      <c r="F290">
        <f>SUMIFS('data (1)'!$M:$M,'data (1)'!$A:$A,XYZ!F$1,'data (1)'!$J:$J,XYZ!$A290)</f>
        <v>0</v>
      </c>
      <c r="G290">
        <f>SUMIFS('data (1)'!$M:$M,'data (1)'!$A:$A,XYZ!G$1,'data (1)'!$J:$J,XYZ!$A290)</f>
        <v>0</v>
      </c>
    </row>
    <row r="291" spans="1:7" x14ac:dyDescent="0.15">
      <c r="A291" t="s">
        <v>1079</v>
      </c>
      <c r="B291" s="11">
        <f t="shared" si="4"/>
        <v>2.2360679774997894</v>
      </c>
      <c r="C291">
        <f>SUMIFS('data (1)'!$M:$M,'data (1)'!$A:$A,XYZ!C$1,'data (1)'!$J:$J,XYZ!$A291)</f>
        <v>0</v>
      </c>
      <c r="D291">
        <f>SUMIFS('data (1)'!$M:$M,'data (1)'!$A:$A,XYZ!D$1,'data (1)'!$J:$J,XYZ!$A291)</f>
        <v>0</v>
      </c>
      <c r="E291">
        <f>SUMIFS('data (1)'!$M:$M,'data (1)'!$A:$A,XYZ!E$1,'data (1)'!$J:$J,XYZ!$A291)</f>
        <v>0</v>
      </c>
      <c r="F291">
        <f>SUMIFS('data (1)'!$M:$M,'data (1)'!$A:$A,XYZ!F$1,'data (1)'!$J:$J,XYZ!$A291)</f>
        <v>0</v>
      </c>
      <c r="G291">
        <f>SUMIFS('data (1)'!$M:$M,'data (1)'!$A:$A,XYZ!G$1,'data (1)'!$J:$J,XYZ!$A291)</f>
        <v>1</v>
      </c>
    </row>
    <row r="292" spans="1:7" x14ac:dyDescent="0.15">
      <c r="A292" t="s">
        <v>1117</v>
      </c>
      <c r="B292" s="11">
        <f t="shared" si="4"/>
        <v>2.2360679774997894</v>
      </c>
      <c r="C292">
        <f>SUMIFS('data (1)'!$M:$M,'data (1)'!$A:$A,XYZ!C$1,'data (1)'!$J:$J,XYZ!$A292)</f>
        <v>0</v>
      </c>
      <c r="D292">
        <f>SUMIFS('data (1)'!$M:$M,'data (1)'!$A:$A,XYZ!D$1,'data (1)'!$J:$J,XYZ!$A292)</f>
        <v>0</v>
      </c>
      <c r="E292">
        <f>SUMIFS('data (1)'!$M:$M,'data (1)'!$A:$A,XYZ!E$1,'data (1)'!$J:$J,XYZ!$A292)</f>
        <v>0</v>
      </c>
      <c r="F292">
        <f>SUMIFS('data (1)'!$M:$M,'data (1)'!$A:$A,XYZ!F$1,'data (1)'!$J:$J,XYZ!$A292)</f>
        <v>0</v>
      </c>
      <c r="G292">
        <f>SUMIFS('data (1)'!$M:$M,'data (1)'!$A:$A,XYZ!G$1,'data (1)'!$J:$J,XYZ!$A292)</f>
        <v>1</v>
      </c>
    </row>
    <row r="293" spans="1:7" x14ac:dyDescent="0.15">
      <c r="A293" t="s">
        <v>1041</v>
      </c>
      <c r="B293" s="11">
        <f t="shared" si="4"/>
        <v>2.2360679774997894</v>
      </c>
      <c r="C293">
        <f>SUMIFS('data (1)'!$M:$M,'data (1)'!$A:$A,XYZ!C$1,'data (1)'!$J:$J,XYZ!$A293)</f>
        <v>0</v>
      </c>
      <c r="D293">
        <f>SUMIFS('data (1)'!$M:$M,'data (1)'!$A:$A,XYZ!D$1,'data (1)'!$J:$J,XYZ!$A293)</f>
        <v>0</v>
      </c>
      <c r="E293">
        <f>SUMIFS('data (1)'!$M:$M,'data (1)'!$A:$A,XYZ!E$1,'data (1)'!$J:$J,XYZ!$A293)</f>
        <v>0</v>
      </c>
      <c r="F293">
        <f>SUMIFS('data (1)'!$M:$M,'data (1)'!$A:$A,XYZ!F$1,'data (1)'!$J:$J,XYZ!$A293)</f>
        <v>1</v>
      </c>
      <c r="G293">
        <f>SUMIFS('data (1)'!$M:$M,'data (1)'!$A:$A,XYZ!G$1,'data (1)'!$J:$J,XYZ!$A293)</f>
        <v>0</v>
      </c>
    </row>
    <row r="294" spans="1:7" x14ac:dyDescent="0.15">
      <c r="A294" t="s">
        <v>953</v>
      </c>
      <c r="B294" s="11">
        <f t="shared" si="4"/>
        <v>2.2360679774997894</v>
      </c>
      <c r="C294">
        <f>SUMIFS('data (1)'!$M:$M,'data (1)'!$A:$A,XYZ!C$1,'data (1)'!$J:$J,XYZ!$A294)</f>
        <v>0</v>
      </c>
      <c r="D294">
        <f>SUMIFS('data (1)'!$M:$M,'data (1)'!$A:$A,XYZ!D$1,'data (1)'!$J:$J,XYZ!$A294)</f>
        <v>0</v>
      </c>
      <c r="E294">
        <f>SUMIFS('data (1)'!$M:$M,'data (1)'!$A:$A,XYZ!E$1,'data (1)'!$J:$J,XYZ!$A294)</f>
        <v>0</v>
      </c>
      <c r="F294">
        <f>SUMIFS('data (1)'!$M:$M,'data (1)'!$A:$A,XYZ!F$1,'data (1)'!$J:$J,XYZ!$A294)</f>
        <v>1</v>
      </c>
      <c r="G294">
        <f>SUMIFS('data (1)'!$M:$M,'data (1)'!$A:$A,XYZ!G$1,'data (1)'!$J:$J,XYZ!$A294)</f>
        <v>0</v>
      </c>
    </row>
    <row r="295" spans="1:7" x14ac:dyDescent="0.15">
      <c r="A295" t="s">
        <v>1036</v>
      </c>
      <c r="B295" s="11">
        <f t="shared" si="4"/>
        <v>2.2360679774997894</v>
      </c>
      <c r="C295">
        <f>SUMIFS('data (1)'!$M:$M,'data (1)'!$A:$A,XYZ!C$1,'data (1)'!$J:$J,XYZ!$A295)</f>
        <v>0</v>
      </c>
      <c r="D295">
        <f>SUMIFS('data (1)'!$M:$M,'data (1)'!$A:$A,XYZ!D$1,'data (1)'!$J:$J,XYZ!$A295)</f>
        <v>0</v>
      </c>
      <c r="E295">
        <f>SUMIFS('data (1)'!$M:$M,'data (1)'!$A:$A,XYZ!E$1,'data (1)'!$J:$J,XYZ!$A295)</f>
        <v>0</v>
      </c>
      <c r="F295">
        <f>SUMIFS('data (1)'!$M:$M,'data (1)'!$A:$A,XYZ!F$1,'data (1)'!$J:$J,XYZ!$A295)</f>
        <v>1</v>
      </c>
      <c r="G295">
        <f>SUMIFS('data (1)'!$M:$M,'data (1)'!$A:$A,XYZ!G$1,'data (1)'!$J:$J,XYZ!$A295)</f>
        <v>0</v>
      </c>
    </row>
    <row r="296" spans="1:7" x14ac:dyDescent="0.15">
      <c r="A296" t="s">
        <v>757</v>
      </c>
      <c r="B296" s="11">
        <f t="shared" si="4"/>
        <v>2.2360679774997894</v>
      </c>
      <c r="C296">
        <f>SUMIFS('data (1)'!$M:$M,'data (1)'!$A:$A,XYZ!C$1,'data (1)'!$J:$J,XYZ!$A296)</f>
        <v>0</v>
      </c>
      <c r="D296">
        <f>SUMIFS('data (1)'!$M:$M,'data (1)'!$A:$A,XYZ!D$1,'data (1)'!$J:$J,XYZ!$A296)</f>
        <v>0</v>
      </c>
      <c r="E296">
        <f>SUMIFS('data (1)'!$M:$M,'data (1)'!$A:$A,XYZ!E$1,'data (1)'!$J:$J,XYZ!$A296)</f>
        <v>1</v>
      </c>
      <c r="F296">
        <f>SUMIFS('data (1)'!$M:$M,'data (1)'!$A:$A,XYZ!F$1,'data (1)'!$J:$J,XYZ!$A296)</f>
        <v>0</v>
      </c>
      <c r="G296">
        <f>SUMIFS('data (1)'!$M:$M,'data (1)'!$A:$A,XYZ!G$1,'data (1)'!$J:$J,XYZ!$A296)</f>
        <v>0</v>
      </c>
    </row>
    <row r="297" spans="1:7" x14ac:dyDescent="0.15">
      <c r="A297" t="s">
        <v>1206</v>
      </c>
      <c r="B297" s="11">
        <f t="shared" si="4"/>
        <v>2.2360679774997894</v>
      </c>
      <c r="C297">
        <f>SUMIFS('data (1)'!$M:$M,'data (1)'!$A:$A,XYZ!C$1,'data (1)'!$J:$J,XYZ!$A297)</f>
        <v>0</v>
      </c>
      <c r="D297">
        <f>SUMIFS('data (1)'!$M:$M,'data (1)'!$A:$A,XYZ!D$1,'data (1)'!$J:$J,XYZ!$A297)</f>
        <v>0</v>
      </c>
      <c r="E297">
        <f>SUMIFS('data (1)'!$M:$M,'data (1)'!$A:$A,XYZ!E$1,'data (1)'!$J:$J,XYZ!$A297)</f>
        <v>0</v>
      </c>
      <c r="F297">
        <f>SUMIFS('data (1)'!$M:$M,'data (1)'!$A:$A,XYZ!F$1,'data (1)'!$J:$J,XYZ!$A297)</f>
        <v>0</v>
      </c>
      <c r="G297">
        <f>SUMIFS('data (1)'!$M:$M,'data (1)'!$A:$A,XYZ!G$1,'data (1)'!$J:$J,XYZ!$A297)</f>
        <v>1</v>
      </c>
    </row>
    <row r="298" spans="1:7" x14ac:dyDescent="0.15">
      <c r="A298" t="s">
        <v>763</v>
      </c>
      <c r="B298" s="11">
        <f t="shared" si="4"/>
        <v>1.4907119896583345</v>
      </c>
      <c r="C298">
        <f>SUMIFS('data (1)'!$M:$M,'data (1)'!$A:$A,XYZ!C$1,'data (1)'!$J:$J,XYZ!$A298)</f>
        <v>0</v>
      </c>
      <c r="D298">
        <f>SUMIFS('data (1)'!$M:$M,'data (1)'!$A:$A,XYZ!D$1,'data (1)'!$J:$J,XYZ!$A298)</f>
        <v>0</v>
      </c>
      <c r="E298">
        <f>SUMIFS('data (1)'!$M:$M,'data (1)'!$A:$A,XYZ!E$1,'data (1)'!$J:$J,XYZ!$A298)</f>
        <v>0.66666667000000002</v>
      </c>
      <c r="F298">
        <f>SUMIFS('data (1)'!$M:$M,'data (1)'!$A:$A,XYZ!F$1,'data (1)'!$J:$J,XYZ!$A298)</f>
        <v>0.33333332999999998</v>
      </c>
      <c r="G298">
        <f>SUMIFS('data (1)'!$M:$M,'data (1)'!$A:$A,XYZ!G$1,'data (1)'!$J:$J,XYZ!$A298)</f>
        <v>0</v>
      </c>
    </row>
    <row r="299" spans="1:7" x14ac:dyDescent="0.15">
      <c r="A299" t="s">
        <v>696</v>
      </c>
      <c r="B299" s="11">
        <f t="shared" si="4"/>
        <v>2.2360679774997894</v>
      </c>
      <c r="C299">
        <f>SUMIFS('data (1)'!$M:$M,'data (1)'!$A:$A,XYZ!C$1,'data (1)'!$J:$J,XYZ!$A299)</f>
        <v>0</v>
      </c>
      <c r="D299">
        <f>SUMIFS('data (1)'!$M:$M,'data (1)'!$A:$A,XYZ!D$1,'data (1)'!$J:$J,XYZ!$A299)</f>
        <v>1</v>
      </c>
      <c r="E299">
        <f>SUMIFS('data (1)'!$M:$M,'data (1)'!$A:$A,XYZ!E$1,'data (1)'!$J:$J,XYZ!$A299)</f>
        <v>0</v>
      </c>
      <c r="F299">
        <f>SUMIFS('data (1)'!$M:$M,'data (1)'!$A:$A,XYZ!F$1,'data (1)'!$J:$J,XYZ!$A299)</f>
        <v>0</v>
      </c>
      <c r="G299">
        <f>SUMIFS('data (1)'!$M:$M,'data (1)'!$A:$A,XYZ!G$1,'data (1)'!$J:$J,XYZ!$A299)</f>
        <v>0</v>
      </c>
    </row>
    <row r="300" spans="1:7" x14ac:dyDescent="0.15">
      <c r="A300" t="s">
        <v>375</v>
      </c>
      <c r="B300" s="11">
        <f t="shared" si="4"/>
        <v>2.2360679774997894</v>
      </c>
      <c r="C300">
        <f>SUMIFS('data (1)'!$M:$M,'data (1)'!$A:$A,XYZ!C$1,'data (1)'!$J:$J,XYZ!$A300)</f>
        <v>1</v>
      </c>
      <c r="D300">
        <f>SUMIFS('data (1)'!$M:$M,'data (1)'!$A:$A,XYZ!D$1,'data (1)'!$J:$J,XYZ!$A300)</f>
        <v>0</v>
      </c>
      <c r="E300">
        <f>SUMIFS('data (1)'!$M:$M,'data (1)'!$A:$A,XYZ!E$1,'data (1)'!$J:$J,XYZ!$A300)</f>
        <v>0</v>
      </c>
      <c r="F300">
        <f>SUMIFS('data (1)'!$M:$M,'data (1)'!$A:$A,XYZ!F$1,'data (1)'!$J:$J,XYZ!$A300)</f>
        <v>0</v>
      </c>
      <c r="G300">
        <f>SUMIFS('data (1)'!$M:$M,'data (1)'!$A:$A,XYZ!G$1,'data (1)'!$J:$J,XYZ!$A300)</f>
        <v>0</v>
      </c>
    </row>
    <row r="301" spans="1:7" x14ac:dyDescent="0.15">
      <c r="A301" t="s">
        <v>931</v>
      </c>
      <c r="B301" s="11">
        <f t="shared" si="4"/>
        <v>2.2360679774997894</v>
      </c>
      <c r="C301">
        <f>SUMIFS('data (1)'!$M:$M,'data (1)'!$A:$A,XYZ!C$1,'data (1)'!$J:$J,XYZ!$A301)</f>
        <v>0</v>
      </c>
      <c r="D301">
        <f>SUMIFS('data (1)'!$M:$M,'data (1)'!$A:$A,XYZ!D$1,'data (1)'!$J:$J,XYZ!$A301)</f>
        <v>0</v>
      </c>
      <c r="E301">
        <f>SUMIFS('data (1)'!$M:$M,'data (1)'!$A:$A,XYZ!E$1,'data (1)'!$J:$J,XYZ!$A301)</f>
        <v>0</v>
      </c>
      <c r="F301">
        <f>SUMIFS('data (1)'!$M:$M,'data (1)'!$A:$A,XYZ!F$1,'data (1)'!$J:$J,XYZ!$A301)</f>
        <v>1</v>
      </c>
      <c r="G301">
        <f>SUMIFS('data (1)'!$M:$M,'data (1)'!$A:$A,XYZ!G$1,'data (1)'!$J:$J,XYZ!$A301)</f>
        <v>0</v>
      </c>
    </row>
    <row r="302" spans="1:7" x14ac:dyDescent="0.15">
      <c r="A302" t="s">
        <v>786</v>
      </c>
      <c r="B302" s="11">
        <f t="shared" si="4"/>
        <v>2.2360679774997894</v>
      </c>
      <c r="C302">
        <f>SUMIFS('data (1)'!$M:$M,'data (1)'!$A:$A,XYZ!C$1,'data (1)'!$J:$J,XYZ!$A302)</f>
        <v>0</v>
      </c>
      <c r="D302">
        <f>SUMIFS('data (1)'!$M:$M,'data (1)'!$A:$A,XYZ!D$1,'data (1)'!$J:$J,XYZ!$A302)</f>
        <v>0</v>
      </c>
      <c r="E302">
        <f>SUMIFS('data (1)'!$M:$M,'data (1)'!$A:$A,XYZ!E$1,'data (1)'!$J:$J,XYZ!$A302)</f>
        <v>1</v>
      </c>
      <c r="F302">
        <f>SUMIFS('data (1)'!$M:$M,'data (1)'!$A:$A,XYZ!F$1,'data (1)'!$J:$J,XYZ!$A302)</f>
        <v>0</v>
      </c>
      <c r="G302">
        <f>SUMIFS('data (1)'!$M:$M,'data (1)'!$A:$A,XYZ!G$1,'data (1)'!$J:$J,XYZ!$A302)</f>
        <v>0</v>
      </c>
    </row>
    <row r="303" spans="1:7" x14ac:dyDescent="0.15">
      <c r="A303" t="s">
        <v>1055</v>
      </c>
      <c r="B303" s="11">
        <f t="shared" si="4"/>
        <v>2.2360679774997894</v>
      </c>
      <c r="C303">
        <f>SUMIFS('data (1)'!$M:$M,'data (1)'!$A:$A,XYZ!C$1,'data (1)'!$J:$J,XYZ!$A303)</f>
        <v>0</v>
      </c>
      <c r="D303">
        <f>SUMIFS('data (1)'!$M:$M,'data (1)'!$A:$A,XYZ!D$1,'data (1)'!$J:$J,XYZ!$A303)</f>
        <v>0</v>
      </c>
      <c r="E303">
        <f>SUMIFS('data (1)'!$M:$M,'data (1)'!$A:$A,XYZ!E$1,'data (1)'!$J:$J,XYZ!$A303)</f>
        <v>0</v>
      </c>
      <c r="F303">
        <f>SUMIFS('data (1)'!$M:$M,'data (1)'!$A:$A,XYZ!F$1,'data (1)'!$J:$J,XYZ!$A303)</f>
        <v>1</v>
      </c>
      <c r="G303">
        <f>SUMIFS('data (1)'!$M:$M,'data (1)'!$A:$A,XYZ!G$1,'data (1)'!$J:$J,XYZ!$A303)</f>
        <v>0</v>
      </c>
    </row>
    <row r="304" spans="1:7" x14ac:dyDescent="0.15">
      <c r="A304" t="s">
        <v>181</v>
      </c>
      <c r="B304" s="11">
        <f t="shared" si="4"/>
        <v>2.2360679774997894</v>
      </c>
      <c r="C304">
        <f>SUMIFS('data (1)'!$M:$M,'data (1)'!$A:$A,XYZ!C$1,'data (1)'!$J:$J,XYZ!$A304)</f>
        <v>1</v>
      </c>
      <c r="D304">
        <f>SUMIFS('data (1)'!$M:$M,'data (1)'!$A:$A,XYZ!D$1,'data (1)'!$J:$J,XYZ!$A304)</f>
        <v>0</v>
      </c>
      <c r="E304">
        <f>SUMIFS('data (1)'!$M:$M,'data (1)'!$A:$A,XYZ!E$1,'data (1)'!$J:$J,XYZ!$A304)</f>
        <v>0</v>
      </c>
      <c r="F304">
        <f>SUMIFS('data (1)'!$M:$M,'data (1)'!$A:$A,XYZ!F$1,'data (1)'!$J:$J,XYZ!$A304)</f>
        <v>0</v>
      </c>
      <c r="G304">
        <f>SUMIFS('data (1)'!$M:$M,'data (1)'!$A:$A,XYZ!G$1,'data (1)'!$J:$J,XYZ!$A304)</f>
        <v>0</v>
      </c>
    </row>
    <row r="305" spans="1:7" x14ac:dyDescent="0.15">
      <c r="A305" t="s">
        <v>711</v>
      </c>
      <c r="B305" s="11">
        <f t="shared" si="4"/>
        <v>2.2360679774997894</v>
      </c>
      <c r="C305">
        <f>SUMIFS('data (1)'!$M:$M,'data (1)'!$A:$A,XYZ!C$1,'data (1)'!$J:$J,XYZ!$A305)</f>
        <v>0</v>
      </c>
      <c r="D305">
        <f>SUMIFS('data (1)'!$M:$M,'data (1)'!$A:$A,XYZ!D$1,'data (1)'!$J:$J,XYZ!$A305)</f>
        <v>0</v>
      </c>
      <c r="E305">
        <f>SUMIFS('data (1)'!$M:$M,'data (1)'!$A:$A,XYZ!E$1,'data (1)'!$J:$J,XYZ!$A305)</f>
        <v>1</v>
      </c>
      <c r="F305">
        <f>SUMIFS('data (1)'!$M:$M,'data (1)'!$A:$A,XYZ!F$1,'data (1)'!$J:$J,XYZ!$A305)</f>
        <v>0</v>
      </c>
      <c r="G305">
        <f>SUMIFS('data (1)'!$M:$M,'data (1)'!$A:$A,XYZ!G$1,'data (1)'!$J:$J,XYZ!$A305)</f>
        <v>0</v>
      </c>
    </row>
    <row r="306" spans="1:7" x14ac:dyDescent="0.15">
      <c r="A306" t="s">
        <v>661</v>
      </c>
      <c r="B306" s="11">
        <f t="shared" si="4"/>
        <v>2.2360679774997894</v>
      </c>
      <c r="C306">
        <f>SUMIFS('data (1)'!$M:$M,'data (1)'!$A:$A,XYZ!C$1,'data (1)'!$J:$J,XYZ!$A306)</f>
        <v>0</v>
      </c>
      <c r="D306">
        <f>SUMIFS('data (1)'!$M:$M,'data (1)'!$A:$A,XYZ!D$1,'data (1)'!$J:$J,XYZ!$A306)</f>
        <v>1</v>
      </c>
      <c r="E306">
        <f>SUMIFS('data (1)'!$M:$M,'data (1)'!$A:$A,XYZ!E$1,'data (1)'!$J:$J,XYZ!$A306)</f>
        <v>0</v>
      </c>
      <c r="F306">
        <f>SUMIFS('data (1)'!$M:$M,'data (1)'!$A:$A,XYZ!F$1,'data (1)'!$J:$J,XYZ!$A306)</f>
        <v>0</v>
      </c>
      <c r="G306">
        <f>SUMIFS('data (1)'!$M:$M,'data (1)'!$A:$A,XYZ!G$1,'data (1)'!$J:$J,XYZ!$A306)</f>
        <v>0</v>
      </c>
    </row>
    <row r="307" spans="1:7" x14ac:dyDescent="0.15">
      <c r="A307" t="s">
        <v>354</v>
      </c>
      <c r="B307" s="11">
        <f t="shared" si="4"/>
        <v>2.2360679774997894</v>
      </c>
      <c r="C307">
        <f>SUMIFS('data (1)'!$M:$M,'data (1)'!$A:$A,XYZ!C$1,'data (1)'!$J:$J,XYZ!$A307)</f>
        <v>1</v>
      </c>
      <c r="D307">
        <f>SUMIFS('data (1)'!$M:$M,'data (1)'!$A:$A,XYZ!D$1,'data (1)'!$J:$J,XYZ!$A307)</f>
        <v>0</v>
      </c>
      <c r="E307">
        <f>SUMIFS('data (1)'!$M:$M,'data (1)'!$A:$A,XYZ!E$1,'data (1)'!$J:$J,XYZ!$A307)</f>
        <v>0</v>
      </c>
      <c r="F307">
        <f>SUMIFS('data (1)'!$M:$M,'data (1)'!$A:$A,XYZ!F$1,'data (1)'!$J:$J,XYZ!$A307)</f>
        <v>0</v>
      </c>
      <c r="G307">
        <f>SUMIFS('data (1)'!$M:$M,'data (1)'!$A:$A,XYZ!G$1,'data (1)'!$J:$J,XYZ!$A307)</f>
        <v>0</v>
      </c>
    </row>
    <row r="308" spans="1:7" x14ac:dyDescent="0.15">
      <c r="A308" t="s">
        <v>897</v>
      </c>
      <c r="B308" s="11">
        <f t="shared" si="4"/>
        <v>2.2360679774997894</v>
      </c>
      <c r="C308">
        <f>SUMIFS('data (1)'!$M:$M,'data (1)'!$A:$A,XYZ!C$1,'data (1)'!$J:$J,XYZ!$A308)</f>
        <v>0</v>
      </c>
      <c r="D308">
        <f>SUMIFS('data (1)'!$M:$M,'data (1)'!$A:$A,XYZ!D$1,'data (1)'!$J:$J,XYZ!$A308)</f>
        <v>0</v>
      </c>
      <c r="E308">
        <f>SUMIFS('data (1)'!$M:$M,'data (1)'!$A:$A,XYZ!E$1,'data (1)'!$J:$J,XYZ!$A308)</f>
        <v>1</v>
      </c>
      <c r="F308">
        <f>SUMIFS('data (1)'!$M:$M,'data (1)'!$A:$A,XYZ!F$1,'data (1)'!$J:$J,XYZ!$A308)</f>
        <v>0</v>
      </c>
      <c r="G308">
        <f>SUMIFS('data (1)'!$M:$M,'data (1)'!$A:$A,XYZ!G$1,'data (1)'!$J:$J,XYZ!$A308)</f>
        <v>0</v>
      </c>
    </row>
    <row r="309" spans="1:7" x14ac:dyDescent="0.15">
      <c r="A309" t="s">
        <v>823</v>
      </c>
      <c r="B309" s="11">
        <f t="shared" si="4"/>
        <v>2.2360679774997894</v>
      </c>
      <c r="C309">
        <f>SUMIFS('data (1)'!$M:$M,'data (1)'!$A:$A,XYZ!C$1,'data (1)'!$J:$J,XYZ!$A309)</f>
        <v>0</v>
      </c>
      <c r="D309">
        <f>SUMIFS('data (1)'!$M:$M,'data (1)'!$A:$A,XYZ!D$1,'data (1)'!$J:$J,XYZ!$A309)</f>
        <v>0</v>
      </c>
      <c r="E309">
        <f>SUMIFS('data (1)'!$M:$M,'data (1)'!$A:$A,XYZ!E$1,'data (1)'!$J:$J,XYZ!$A309)</f>
        <v>1</v>
      </c>
      <c r="F309">
        <f>SUMIFS('data (1)'!$M:$M,'data (1)'!$A:$A,XYZ!F$1,'data (1)'!$J:$J,XYZ!$A309)</f>
        <v>0</v>
      </c>
      <c r="G309">
        <f>SUMIFS('data (1)'!$M:$M,'data (1)'!$A:$A,XYZ!G$1,'data (1)'!$J:$J,XYZ!$A309)</f>
        <v>0</v>
      </c>
    </row>
    <row r="310" spans="1:7" x14ac:dyDescent="0.15">
      <c r="A310" t="s">
        <v>243</v>
      </c>
      <c r="B310" s="11">
        <f t="shared" si="4"/>
        <v>2.2360679774997894</v>
      </c>
      <c r="C310">
        <f>SUMIFS('data (1)'!$M:$M,'data (1)'!$A:$A,XYZ!C$1,'data (1)'!$J:$J,XYZ!$A310)</f>
        <v>1</v>
      </c>
      <c r="D310">
        <f>SUMIFS('data (1)'!$M:$M,'data (1)'!$A:$A,XYZ!D$1,'data (1)'!$J:$J,XYZ!$A310)</f>
        <v>0</v>
      </c>
      <c r="E310">
        <f>SUMIFS('data (1)'!$M:$M,'data (1)'!$A:$A,XYZ!E$1,'data (1)'!$J:$J,XYZ!$A310)</f>
        <v>0</v>
      </c>
      <c r="F310">
        <f>SUMIFS('data (1)'!$M:$M,'data (1)'!$A:$A,XYZ!F$1,'data (1)'!$J:$J,XYZ!$A310)</f>
        <v>0</v>
      </c>
      <c r="G310">
        <f>SUMIFS('data (1)'!$M:$M,'data (1)'!$A:$A,XYZ!G$1,'data (1)'!$J:$J,XYZ!$A310)</f>
        <v>0</v>
      </c>
    </row>
    <row r="311" spans="1:7" x14ac:dyDescent="0.15">
      <c r="A311" t="s">
        <v>621</v>
      </c>
      <c r="B311" s="11">
        <f t="shared" si="4"/>
        <v>2.2360679774997894</v>
      </c>
      <c r="C311">
        <f>SUMIFS('data (1)'!$M:$M,'data (1)'!$A:$A,XYZ!C$1,'data (1)'!$J:$J,XYZ!$A311)</f>
        <v>0</v>
      </c>
      <c r="D311">
        <f>SUMIFS('data (1)'!$M:$M,'data (1)'!$A:$A,XYZ!D$1,'data (1)'!$J:$J,XYZ!$A311)</f>
        <v>1</v>
      </c>
      <c r="E311">
        <f>SUMIFS('data (1)'!$M:$M,'data (1)'!$A:$A,XYZ!E$1,'data (1)'!$J:$J,XYZ!$A311)</f>
        <v>0</v>
      </c>
      <c r="F311">
        <f>SUMIFS('data (1)'!$M:$M,'data (1)'!$A:$A,XYZ!F$1,'data (1)'!$J:$J,XYZ!$A311)</f>
        <v>0</v>
      </c>
      <c r="G311">
        <f>SUMIFS('data (1)'!$M:$M,'data (1)'!$A:$A,XYZ!G$1,'data (1)'!$J:$J,XYZ!$A311)</f>
        <v>0</v>
      </c>
    </row>
    <row r="312" spans="1:7" x14ac:dyDescent="0.15">
      <c r="A312" t="s">
        <v>686</v>
      </c>
      <c r="B312" s="11">
        <f t="shared" si="4"/>
        <v>2.2360679774997894</v>
      </c>
      <c r="C312">
        <f>SUMIFS('data (1)'!$M:$M,'data (1)'!$A:$A,XYZ!C$1,'data (1)'!$J:$J,XYZ!$A312)</f>
        <v>0</v>
      </c>
      <c r="D312">
        <f>SUMIFS('data (1)'!$M:$M,'data (1)'!$A:$A,XYZ!D$1,'data (1)'!$J:$J,XYZ!$A312)</f>
        <v>1</v>
      </c>
      <c r="E312">
        <f>SUMIFS('data (1)'!$M:$M,'data (1)'!$A:$A,XYZ!E$1,'data (1)'!$J:$J,XYZ!$A312)</f>
        <v>0</v>
      </c>
      <c r="F312">
        <f>SUMIFS('data (1)'!$M:$M,'data (1)'!$A:$A,XYZ!F$1,'data (1)'!$J:$J,XYZ!$A312)</f>
        <v>0</v>
      </c>
      <c r="G312">
        <f>SUMIFS('data (1)'!$M:$M,'data (1)'!$A:$A,XYZ!G$1,'data (1)'!$J:$J,XYZ!$A312)</f>
        <v>0</v>
      </c>
    </row>
    <row r="313" spans="1:7" x14ac:dyDescent="0.15">
      <c r="A313" t="s">
        <v>785</v>
      </c>
      <c r="B313" s="11">
        <f t="shared" si="4"/>
        <v>2.2360679774997894</v>
      </c>
      <c r="C313">
        <f>SUMIFS('data (1)'!$M:$M,'data (1)'!$A:$A,XYZ!C$1,'data (1)'!$J:$J,XYZ!$A313)</f>
        <v>0</v>
      </c>
      <c r="D313">
        <f>SUMIFS('data (1)'!$M:$M,'data (1)'!$A:$A,XYZ!D$1,'data (1)'!$J:$J,XYZ!$A313)</f>
        <v>0</v>
      </c>
      <c r="E313">
        <f>SUMIFS('data (1)'!$M:$M,'data (1)'!$A:$A,XYZ!E$1,'data (1)'!$J:$J,XYZ!$A313)</f>
        <v>1</v>
      </c>
      <c r="F313">
        <f>SUMIFS('data (1)'!$M:$M,'data (1)'!$A:$A,XYZ!F$1,'data (1)'!$J:$J,XYZ!$A313)</f>
        <v>0</v>
      </c>
      <c r="G313">
        <f>SUMIFS('data (1)'!$M:$M,'data (1)'!$A:$A,XYZ!G$1,'data (1)'!$J:$J,XYZ!$A313)</f>
        <v>0</v>
      </c>
    </row>
    <row r="314" spans="1:7" x14ac:dyDescent="0.15">
      <c r="A314" t="s">
        <v>476</v>
      </c>
      <c r="B314" s="11">
        <f t="shared" si="4"/>
        <v>2.2360679774997894</v>
      </c>
      <c r="C314">
        <f>SUMIFS('data (1)'!$M:$M,'data (1)'!$A:$A,XYZ!C$1,'data (1)'!$J:$J,XYZ!$A314)</f>
        <v>0</v>
      </c>
      <c r="D314">
        <f>SUMIFS('data (1)'!$M:$M,'data (1)'!$A:$A,XYZ!D$1,'data (1)'!$J:$J,XYZ!$A314)</f>
        <v>1</v>
      </c>
      <c r="E314">
        <f>SUMIFS('data (1)'!$M:$M,'data (1)'!$A:$A,XYZ!E$1,'data (1)'!$J:$J,XYZ!$A314)</f>
        <v>0</v>
      </c>
      <c r="F314">
        <f>SUMIFS('data (1)'!$M:$M,'data (1)'!$A:$A,XYZ!F$1,'data (1)'!$J:$J,XYZ!$A314)</f>
        <v>0</v>
      </c>
      <c r="G314">
        <f>SUMIFS('data (1)'!$M:$M,'data (1)'!$A:$A,XYZ!G$1,'data (1)'!$J:$J,XYZ!$A314)</f>
        <v>0</v>
      </c>
    </row>
    <row r="315" spans="1:7" x14ac:dyDescent="0.15">
      <c r="A315" t="s">
        <v>489</v>
      </c>
      <c r="B315" s="11">
        <f t="shared" si="4"/>
        <v>2.2360679774997894</v>
      </c>
      <c r="C315">
        <f>SUMIFS('data (1)'!$M:$M,'data (1)'!$A:$A,XYZ!C$1,'data (1)'!$J:$J,XYZ!$A315)</f>
        <v>0</v>
      </c>
      <c r="D315">
        <f>SUMIFS('data (1)'!$M:$M,'data (1)'!$A:$A,XYZ!D$1,'data (1)'!$J:$J,XYZ!$A315)</f>
        <v>1</v>
      </c>
      <c r="E315">
        <f>SUMIFS('data (1)'!$M:$M,'data (1)'!$A:$A,XYZ!E$1,'data (1)'!$J:$J,XYZ!$A315)</f>
        <v>0</v>
      </c>
      <c r="F315">
        <f>SUMIFS('data (1)'!$M:$M,'data (1)'!$A:$A,XYZ!F$1,'data (1)'!$J:$J,XYZ!$A315)</f>
        <v>0</v>
      </c>
      <c r="G315">
        <f>SUMIFS('data (1)'!$M:$M,'data (1)'!$A:$A,XYZ!G$1,'data (1)'!$J:$J,XYZ!$A315)</f>
        <v>0</v>
      </c>
    </row>
    <row r="316" spans="1:7" x14ac:dyDescent="0.15">
      <c r="A316" t="s">
        <v>644</v>
      </c>
      <c r="B316" s="11">
        <f t="shared" si="4"/>
        <v>2.2360679774997894</v>
      </c>
      <c r="C316">
        <f>SUMIFS('data (1)'!$M:$M,'data (1)'!$A:$A,XYZ!C$1,'data (1)'!$J:$J,XYZ!$A316)</f>
        <v>0</v>
      </c>
      <c r="D316">
        <f>SUMIFS('data (1)'!$M:$M,'data (1)'!$A:$A,XYZ!D$1,'data (1)'!$J:$J,XYZ!$A316)</f>
        <v>1</v>
      </c>
      <c r="E316">
        <f>SUMIFS('data (1)'!$M:$M,'data (1)'!$A:$A,XYZ!E$1,'data (1)'!$J:$J,XYZ!$A316)</f>
        <v>0</v>
      </c>
      <c r="F316">
        <f>SUMIFS('data (1)'!$M:$M,'data (1)'!$A:$A,XYZ!F$1,'data (1)'!$J:$J,XYZ!$A316)</f>
        <v>0</v>
      </c>
      <c r="G316">
        <f>SUMIFS('data (1)'!$M:$M,'data (1)'!$A:$A,XYZ!G$1,'data (1)'!$J:$J,XYZ!$A316)</f>
        <v>0</v>
      </c>
    </row>
    <row r="317" spans="1:7" x14ac:dyDescent="0.15">
      <c r="A317" t="s">
        <v>1061</v>
      </c>
      <c r="B317" s="11">
        <f t="shared" si="4"/>
        <v>2.2360679774997894</v>
      </c>
      <c r="C317">
        <f>SUMIFS('data (1)'!$M:$M,'data (1)'!$A:$A,XYZ!C$1,'data (1)'!$J:$J,XYZ!$A317)</f>
        <v>0</v>
      </c>
      <c r="D317">
        <f>SUMIFS('data (1)'!$M:$M,'data (1)'!$A:$A,XYZ!D$1,'data (1)'!$J:$J,XYZ!$A317)</f>
        <v>0</v>
      </c>
      <c r="E317">
        <f>SUMIFS('data (1)'!$M:$M,'data (1)'!$A:$A,XYZ!E$1,'data (1)'!$J:$J,XYZ!$A317)</f>
        <v>0</v>
      </c>
      <c r="F317">
        <f>SUMIFS('data (1)'!$M:$M,'data (1)'!$A:$A,XYZ!F$1,'data (1)'!$J:$J,XYZ!$A317)</f>
        <v>1</v>
      </c>
      <c r="G317">
        <f>SUMIFS('data (1)'!$M:$M,'data (1)'!$A:$A,XYZ!G$1,'data (1)'!$J:$J,XYZ!$A317)</f>
        <v>0</v>
      </c>
    </row>
    <row r="318" spans="1:7" x14ac:dyDescent="0.15">
      <c r="A318" t="s">
        <v>768</v>
      </c>
      <c r="B318" s="11">
        <f t="shared" si="4"/>
        <v>2.2360679774997894</v>
      </c>
      <c r="C318">
        <f>SUMIFS('data (1)'!$M:$M,'data (1)'!$A:$A,XYZ!C$1,'data (1)'!$J:$J,XYZ!$A318)</f>
        <v>0</v>
      </c>
      <c r="D318">
        <f>SUMIFS('data (1)'!$M:$M,'data (1)'!$A:$A,XYZ!D$1,'data (1)'!$J:$J,XYZ!$A318)</f>
        <v>0</v>
      </c>
      <c r="E318">
        <f>SUMIFS('data (1)'!$M:$M,'data (1)'!$A:$A,XYZ!E$1,'data (1)'!$J:$J,XYZ!$A318)</f>
        <v>1</v>
      </c>
      <c r="F318">
        <f>SUMIFS('data (1)'!$M:$M,'data (1)'!$A:$A,XYZ!F$1,'data (1)'!$J:$J,XYZ!$A318)</f>
        <v>0</v>
      </c>
      <c r="G318">
        <f>SUMIFS('data (1)'!$M:$M,'data (1)'!$A:$A,XYZ!G$1,'data (1)'!$J:$J,XYZ!$A318)</f>
        <v>0</v>
      </c>
    </row>
    <row r="319" spans="1:7" x14ac:dyDescent="0.15">
      <c r="A319" t="s">
        <v>606</v>
      </c>
      <c r="B319" s="11">
        <f t="shared" si="4"/>
        <v>2.2360679774997894</v>
      </c>
      <c r="C319">
        <f>SUMIFS('data (1)'!$M:$M,'data (1)'!$A:$A,XYZ!C$1,'data (1)'!$J:$J,XYZ!$A319)</f>
        <v>0</v>
      </c>
      <c r="D319">
        <f>SUMIFS('data (1)'!$M:$M,'data (1)'!$A:$A,XYZ!D$1,'data (1)'!$J:$J,XYZ!$A319)</f>
        <v>1</v>
      </c>
      <c r="E319">
        <f>SUMIFS('data (1)'!$M:$M,'data (1)'!$A:$A,XYZ!E$1,'data (1)'!$J:$J,XYZ!$A319)</f>
        <v>0</v>
      </c>
      <c r="F319">
        <f>SUMIFS('data (1)'!$M:$M,'data (1)'!$A:$A,XYZ!F$1,'data (1)'!$J:$J,XYZ!$A319)</f>
        <v>0</v>
      </c>
      <c r="G319">
        <f>SUMIFS('data (1)'!$M:$M,'data (1)'!$A:$A,XYZ!G$1,'data (1)'!$J:$J,XYZ!$A319)</f>
        <v>0</v>
      </c>
    </row>
    <row r="320" spans="1:7" x14ac:dyDescent="0.15">
      <c r="A320" t="s">
        <v>889</v>
      </c>
      <c r="B320" s="11">
        <f t="shared" si="4"/>
        <v>2.2360679774997894</v>
      </c>
      <c r="C320">
        <f>SUMIFS('data (1)'!$M:$M,'data (1)'!$A:$A,XYZ!C$1,'data (1)'!$J:$J,XYZ!$A320)</f>
        <v>0</v>
      </c>
      <c r="D320">
        <f>SUMIFS('data (1)'!$M:$M,'data (1)'!$A:$A,XYZ!D$1,'data (1)'!$J:$J,XYZ!$A320)</f>
        <v>0</v>
      </c>
      <c r="E320">
        <f>SUMIFS('data (1)'!$M:$M,'data (1)'!$A:$A,XYZ!E$1,'data (1)'!$J:$J,XYZ!$A320)</f>
        <v>1</v>
      </c>
      <c r="F320">
        <f>SUMIFS('data (1)'!$M:$M,'data (1)'!$A:$A,XYZ!F$1,'data (1)'!$J:$J,XYZ!$A320)</f>
        <v>0</v>
      </c>
      <c r="G320">
        <f>SUMIFS('data (1)'!$M:$M,'data (1)'!$A:$A,XYZ!G$1,'data (1)'!$J:$J,XYZ!$A320)</f>
        <v>0</v>
      </c>
    </row>
    <row r="321" spans="1:7" x14ac:dyDescent="0.15">
      <c r="A321" t="s">
        <v>687</v>
      </c>
      <c r="B321" s="11">
        <f t="shared" si="4"/>
        <v>2.2360679774997894</v>
      </c>
      <c r="C321">
        <f>SUMIFS('data (1)'!$M:$M,'data (1)'!$A:$A,XYZ!C$1,'data (1)'!$J:$J,XYZ!$A321)</f>
        <v>0</v>
      </c>
      <c r="D321">
        <f>SUMIFS('data (1)'!$M:$M,'data (1)'!$A:$A,XYZ!D$1,'data (1)'!$J:$J,XYZ!$A321)</f>
        <v>1</v>
      </c>
      <c r="E321">
        <f>SUMIFS('data (1)'!$M:$M,'data (1)'!$A:$A,XYZ!E$1,'data (1)'!$J:$J,XYZ!$A321)</f>
        <v>0</v>
      </c>
      <c r="F321">
        <f>SUMIFS('data (1)'!$M:$M,'data (1)'!$A:$A,XYZ!F$1,'data (1)'!$J:$J,XYZ!$A321)</f>
        <v>0</v>
      </c>
      <c r="G321">
        <f>SUMIFS('data (1)'!$M:$M,'data (1)'!$A:$A,XYZ!G$1,'data (1)'!$J:$J,XYZ!$A321)</f>
        <v>0</v>
      </c>
    </row>
    <row r="322" spans="1:7" x14ac:dyDescent="0.15">
      <c r="A322" t="s">
        <v>1184</v>
      </c>
      <c r="B322" s="11">
        <f t="shared" si="4"/>
        <v>2.2360679774997894</v>
      </c>
      <c r="C322">
        <f>SUMIFS('data (1)'!$M:$M,'data (1)'!$A:$A,XYZ!C$1,'data (1)'!$J:$J,XYZ!$A322)</f>
        <v>0</v>
      </c>
      <c r="D322">
        <f>SUMIFS('data (1)'!$M:$M,'data (1)'!$A:$A,XYZ!D$1,'data (1)'!$J:$J,XYZ!$A322)</f>
        <v>0</v>
      </c>
      <c r="E322">
        <f>SUMIFS('data (1)'!$M:$M,'data (1)'!$A:$A,XYZ!E$1,'data (1)'!$J:$J,XYZ!$A322)</f>
        <v>0</v>
      </c>
      <c r="F322">
        <f>SUMIFS('data (1)'!$M:$M,'data (1)'!$A:$A,XYZ!F$1,'data (1)'!$J:$J,XYZ!$A322)</f>
        <v>0</v>
      </c>
      <c r="G322">
        <f>SUMIFS('data (1)'!$M:$M,'data (1)'!$A:$A,XYZ!G$1,'data (1)'!$J:$J,XYZ!$A322)</f>
        <v>1</v>
      </c>
    </row>
    <row r="323" spans="1:7" x14ac:dyDescent="0.15">
      <c r="A323" t="s">
        <v>275</v>
      </c>
      <c r="B323" s="11">
        <f t="shared" ref="B323:B386" si="5">_xlfn.STDEV.S(C323:G323)/AVERAGE(C323:G323)</f>
        <v>2.2360679774997894</v>
      </c>
      <c r="C323">
        <f>SUMIFS('data (1)'!$M:$M,'data (1)'!$A:$A,XYZ!C$1,'data (1)'!$J:$J,XYZ!$A323)</f>
        <v>1</v>
      </c>
      <c r="D323">
        <f>SUMIFS('data (1)'!$M:$M,'data (1)'!$A:$A,XYZ!D$1,'data (1)'!$J:$J,XYZ!$A323)</f>
        <v>0</v>
      </c>
      <c r="E323">
        <f>SUMIFS('data (1)'!$M:$M,'data (1)'!$A:$A,XYZ!E$1,'data (1)'!$J:$J,XYZ!$A323)</f>
        <v>0</v>
      </c>
      <c r="F323">
        <f>SUMIFS('data (1)'!$M:$M,'data (1)'!$A:$A,XYZ!F$1,'data (1)'!$J:$J,XYZ!$A323)</f>
        <v>0</v>
      </c>
      <c r="G323">
        <f>SUMIFS('data (1)'!$M:$M,'data (1)'!$A:$A,XYZ!G$1,'data (1)'!$J:$J,XYZ!$A323)</f>
        <v>0</v>
      </c>
    </row>
    <row r="324" spans="1:7" x14ac:dyDescent="0.15">
      <c r="A324" t="s">
        <v>1125</v>
      </c>
      <c r="B324" s="11">
        <f t="shared" si="5"/>
        <v>2.2360679774997894</v>
      </c>
      <c r="C324">
        <f>SUMIFS('data (1)'!$M:$M,'data (1)'!$A:$A,XYZ!C$1,'data (1)'!$J:$J,XYZ!$A324)</f>
        <v>0</v>
      </c>
      <c r="D324">
        <f>SUMIFS('data (1)'!$M:$M,'data (1)'!$A:$A,XYZ!D$1,'data (1)'!$J:$J,XYZ!$A324)</f>
        <v>0</v>
      </c>
      <c r="E324">
        <f>SUMIFS('data (1)'!$M:$M,'data (1)'!$A:$A,XYZ!E$1,'data (1)'!$J:$J,XYZ!$A324)</f>
        <v>0</v>
      </c>
      <c r="F324">
        <f>SUMIFS('data (1)'!$M:$M,'data (1)'!$A:$A,XYZ!F$1,'data (1)'!$J:$J,XYZ!$A324)</f>
        <v>0</v>
      </c>
      <c r="G324">
        <f>SUMIFS('data (1)'!$M:$M,'data (1)'!$A:$A,XYZ!G$1,'data (1)'!$J:$J,XYZ!$A324)</f>
        <v>1</v>
      </c>
    </row>
    <row r="325" spans="1:7" x14ac:dyDescent="0.15">
      <c r="A325" t="s">
        <v>698</v>
      </c>
      <c r="B325" s="11">
        <f t="shared" si="5"/>
        <v>2.2360679774997894</v>
      </c>
      <c r="C325">
        <f>SUMIFS('data (1)'!$M:$M,'data (1)'!$A:$A,XYZ!C$1,'data (1)'!$J:$J,XYZ!$A325)</f>
        <v>0</v>
      </c>
      <c r="D325">
        <f>SUMIFS('data (1)'!$M:$M,'data (1)'!$A:$A,XYZ!D$1,'data (1)'!$J:$J,XYZ!$A325)</f>
        <v>1</v>
      </c>
      <c r="E325">
        <f>SUMIFS('data (1)'!$M:$M,'data (1)'!$A:$A,XYZ!E$1,'data (1)'!$J:$J,XYZ!$A325)</f>
        <v>0</v>
      </c>
      <c r="F325">
        <f>SUMIFS('data (1)'!$M:$M,'data (1)'!$A:$A,XYZ!F$1,'data (1)'!$J:$J,XYZ!$A325)</f>
        <v>0</v>
      </c>
      <c r="G325">
        <f>SUMIFS('data (1)'!$M:$M,'data (1)'!$A:$A,XYZ!G$1,'data (1)'!$J:$J,XYZ!$A325)</f>
        <v>0</v>
      </c>
    </row>
    <row r="326" spans="1:7" x14ac:dyDescent="0.15">
      <c r="A326" t="s">
        <v>1120</v>
      </c>
      <c r="B326" s="11">
        <f t="shared" si="5"/>
        <v>2.2360679774997894</v>
      </c>
      <c r="C326">
        <f>SUMIFS('data (1)'!$M:$M,'data (1)'!$A:$A,XYZ!C$1,'data (1)'!$J:$J,XYZ!$A326)</f>
        <v>0</v>
      </c>
      <c r="D326">
        <f>SUMIFS('data (1)'!$M:$M,'data (1)'!$A:$A,XYZ!D$1,'data (1)'!$J:$J,XYZ!$A326)</f>
        <v>0</v>
      </c>
      <c r="E326">
        <f>SUMIFS('data (1)'!$M:$M,'data (1)'!$A:$A,XYZ!E$1,'data (1)'!$J:$J,XYZ!$A326)</f>
        <v>0</v>
      </c>
      <c r="F326">
        <f>SUMIFS('data (1)'!$M:$M,'data (1)'!$A:$A,XYZ!F$1,'data (1)'!$J:$J,XYZ!$A326)</f>
        <v>0</v>
      </c>
      <c r="G326">
        <f>SUMIFS('data (1)'!$M:$M,'data (1)'!$A:$A,XYZ!G$1,'data (1)'!$J:$J,XYZ!$A326)</f>
        <v>1</v>
      </c>
    </row>
    <row r="327" spans="1:7" x14ac:dyDescent="0.15">
      <c r="A327" t="s">
        <v>1060</v>
      </c>
      <c r="B327" s="11">
        <f t="shared" si="5"/>
        <v>2.2360679774997894</v>
      </c>
      <c r="C327">
        <f>SUMIFS('data (1)'!$M:$M,'data (1)'!$A:$A,XYZ!C$1,'data (1)'!$J:$J,XYZ!$A327)</f>
        <v>0</v>
      </c>
      <c r="D327">
        <f>SUMIFS('data (1)'!$M:$M,'data (1)'!$A:$A,XYZ!D$1,'data (1)'!$J:$J,XYZ!$A327)</f>
        <v>0</v>
      </c>
      <c r="E327">
        <f>SUMIFS('data (1)'!$M:$M,'data (1)'!$A:$A,XYZ!E$1,'data (1)'!$J:$J,XYZ!$A327)</f>
        <v>0</v>
      </c>
      <c r="F327">
        <f>SUMIFS('data (1)'!$M:$M,'data (1)'!$A:$A,XYZ!F$1,'data (1)'!$J:$J,XYZ!$A327)</f>
        <v>1</v>
      </c>
      <c r="G327">
        <f>SUMIFS('data (1)'!$M:$M,'data (1)'!$A:$A,XYZ!G$1,'data (1)'!$J:$J,XYZ!$A327)</f>
        <v>0</v>
      </c>
    </row>
    <row r="328" spans="1:7" x14ac:dyDescent="0.15">
      <c r="A328" t="s">
        <v>412</v>
      </c>
      <c r="B328" s="11">
        <f t="shared" si="5"/>
        <v>2.2360679774997894</v>
      </c>
      <c r="C328">
        <f>SUMIFS('data (1)'!$M:$M,'data (1)'!$A:$A,XYZ!C$1,'data (1)'!$J:$J,XYZ!$A328)</f>
        <v>1</v>
      </c>
      <c r="D328">
        <f>SUMIFS('data (1)'!$M:$M,'data (1)'!$A:$A,XYZ!D$1,'data (1)'!$J:$J,XYZ!$A328)</f>
        <v>0</v>
      </c>
      <c r="E328">
        <f>SUMIFS('data (1)'!$M:$M,'data (1)'!$A:$A,XYZ!E$1,'data (1)'!$J:$J,XYZ!$A328)</f>
        <v>0</v>
      </c>
      <c r="F328">
        <f>SUMIFS('data (1)'!$M:$M,'data (1)'!$A:$A,XYZ!F$1,'data (1)'!$J:$J,XYZ!$A328)</f>
        <v>0</v>
      </c>
      <c r="G328">
        <f>SUMIFS('data (1)'!$M:$M,'data (1)'!$A:$A,XYZ!G$1,'data (1)'!$J:$J,XYZ!$A328)</f>
        <v>0</v>
      </c>
    </row>
    <row r="329" spans="1:7" x14ac:dyDescent="0.15">
      <c r="A329" t="s">
        <v>909</v>
      </c>
      <c r="B329" s="11">
        <f t="shared" si="5"/>
        <v>2.2360679774997894</v>
      </c>
      <c r="C329">
        <f>SUMIFS('data (1)'!$M:$M,'data (1)'!$A:$A,XYZ!C$1,'data (1)'!$J:$J,XYZ!$A329)</f>
        <v>0</v>
      </c>
      <c r="D329">
        <f>SUMIFS('data (1)'!$M:$M,'data (1)'!$A:$A,XYZ!D$1,'data (1)'!$J:$J,XYZ!$A329)</f>
        <v>0</v>
      </c>
      <c r="E329">
        <f>SUMIFS('data (1)'!$M:$M,'data (1)'!$A:$A,XYZ!E$1,'data (1)'!$J:$J,XYZ!$A329)</f>
        <v>1</v>
      </c>
      <c r="F329">
        <f>SUMIFS('data (1)'!$M:$M,'data (1)'!$A:$A,XYZ!F$1,'data (1)'!$J:$J,XYZ!$A329)</f>
        <v>0</v>
      </c>
      <c r="G329">
        <f>SUMIFS('data (1)'!$M:$M,'data (1)'!$A:$A,XYZ!G$1,'data (1)'!$J:$J,XYZ!$A329)</f>
        <v>0</v>
      </c>
    </row>
    <row r="330" spans="1:7" x14ac:dyDescent="0.15">
      <c r="A330" t="s">
        <v>588</v>
      </c>
      <c r="B330" s="11">
        <f t="shared" si="5"/>
        <v>2.2360679774997894</v>
      </c>
      <c r="C330">
        <f>SUMIFS('data (1)'!$M:$M,'data (1)'!$A:$A,XYZ!C$1,'data (1)'!$J:$J,XYZ!$A330)</f>
        <v>0</v>
      </c>
      <c r="D330">
        <f>SUMIFS('data (1)'!$M:$M,'data (1)'!$A:$A,XYZ!D$1,'data (1)'!$J:$J,XYZ!$A330)</f>
        <v>1</v>
      </c>
      <c r="E330">
        <f>SUMIFS('data (1)'!$M:$M,'data (1)'!$A:$A,XYZ!E$1,'data (1)'!$J:$J,XYZ!$A330)</f>
        <v>0</v>
      </c>
      <c r="F330">
        <f>SUMIFS('data (1)'!$M:$M,'data (1)'!$A:$A,XYZ!F$1,'data (1)'!$J:$J,XYZ!$A330)</f>
        <v>0</v>
      </c>
      <c r="G330">
        <f>SUMIFS('data (1)'!$M:$M,'data (1)'!$A:$A,XYZ!G$1,'data (1)'!$J:$J,XYZ!$A330)</f>
        <v>0</v>
      </c>
    </row>
    <row r="331" spans="1:7" x14ac:dyDescent="0.15">
      <c r="A331" t="s">
        <v>841</v>
      </c>
      <c r="B331" s="11">
        <f t="shared" si="5"/>
        <v>2.2360679774997894</v>
      </c>
      <c r="C331">
        <f>SUMIFS('data (1)'!$M:$M,'data (1)'!$A:$A,XYZ!C$1,'data (1)'!$J:$J,XYZ!$A331)</f>
        <v>0</v>
      </c>
      <c r="D331">
        <f>SUMIFS('data (1)'!$M:$M,'data (1)'!$A:$A,XYZ!D$1,'data (1)'!$J:$J,XYZ!$A331)</f>
        <v>0</v>
      </c>
      <c r="E331">
        <f>SUMIFS('data (1)'!$M:$M,'data (1)'!$A:$A,XYZ!E$1,'data (1)'!$J:$J,XYZ!$A331)</f>
        <v>1</v>
      </c>
      <c r="F331">
        <f>SUMIFS('data (1)'!$M:$M,'data (1)'!$A:$A,XYZ!F$1,'data (1)'!$J:$J,XYZ!$A331)</f>
        <v>0</v>
      </c>
      <c r="G331">
        <f>SUMIFS('data (1)'!$M:$M,'data (1)'!$A:$A,XYZ!G$1,'data (1)'!$J:$J,XYZ!$A331)</f>
        <v>0</v>
      </c>
    </row>
    <row r="332" spans="1:7" x14ac:dyDescent="0.15">
      <c r="A332" t="s">
        <v>510</v>
      </c>
      <c r="B332" s="11">
        <f t="shared" si="5"/>
        <v>2.2360679774997894</v>
      </c>
      <c r="C332">
        <f>SUMIFS('data (1)'!$M:$M,'data (1)'!$A:$A,XYZ!C$1,'data (1)'!$J:$J,XYZ!$A332)</f>
        <v>0</v>
      </c>
      <c r="D332">
        <f>SUMIFS('data (1)'!$M:$M,'data (1)'!$A:$A,XYZ!D$1,'data (1)'!$J:$J,XYZ!$A332)</f>
        <v>1</v>
      </c>
      <c r="E332">
        <f>SUMIFS('data (1)'!$M:$M,'data (1)'!$A:$A,XYZ!E$1,'data (1)'!$J:$J,XYZ!$A332)</f>
        <v>0</v>
      </c>
      <c r="F332">
        <f>SUMIFS('data (1)'!$M:$M,'data (1)'!$A:$A,XYZ!F$1,'data (1)'!$J:$J,XYZ!$A332)</f>
        <v>0</v>
      </c>
      <c r="G332">
        <f>SUMIFS('data (1)'!$M:$M,'data (1)'!$A:$A,XYZ!G$1,'data (1)'!$J:$J,XYZ!$A332)</f>
        <v>0</v>
      </c>
    </row>
    <row r="333" spans="1:7" x14ac:dyDescent="0.15">
      <c r="A333" t="s">
        <v>537</v>
      </c>
      <c r="B333" s="11">
        <f t="shared" si="5"/>
        <v>2.2360679774997894</v>
      </c>
      <c r="C333">
        <f>SUMIFS('data (1)'!$M:$M,'data (1)'!$A:$A,XYZ!C$1,'data (1)'!$J:$J,XYZ!$A333)</f>
        <v>0</v>
      </c>
      <c r="D333">
        <f>SUMIFS('data (1)'!$M:$M,'data (1)'!$A:$A,XYZ!D$1,'data (1)'!$J:$J,XYZ!$A333)</f>
        <v>1</v>
      </c>
      <c r="E333">
        <f>SUMIFS('data (1)'!$M:$M,'data (1)'!$A:$A,XYZ!E$1,'data (1)'!$J:$J,XYZ!$A333)</f>
        <v>0</v>
      </c>
      <c r="F333">
        <f>SUMIFS('data (1)'!$M:$M,'data (1)'!$A:$A,XYZ!F$1,'data (1)'!$J:$J,XYZ!$A333)</f>
        <v>0</v>
      </c>
      <c r="G333">
        <f>SUMIFS('data (1)'!$M:$M,'data (1)'!$A:$A,XYZ!G$1,'data (1)'!$J:$J,XYZ!$A333)</f>
        <v>0</v>
      </c>
    </row>
    <row r="334" spans="1:7" x14ac:dyDescent="0.15">
      <c r="A334" t="s">
        <v>603</v>
      </c>
      <c r="B334" s="11">
        <f t="shared" si="5"/>
        <v>2.2360679774997894</v>
      </c>
      <c r="C334">
        <f>SUMIFS('data (1)'!$M:$M,'data (1)'!$A:$A,XYZ!C$1,'data (1)'!$J:$J,XYZ!$A334)</f>
        <v>0</v>
      </c>
      <c r="D334">
        <f>SUMIFS('data (1)'!$M:$M,'data (1)'!$A:$A,XYZ!D$1,'data (1)'!$J:$J,XYZ!$A334)</f>
        <v>1</v>
      </c>
      <c r="E334">
        <f>SUMIFS('data (1)'!$M:$M,'data (1)'!$A:$A,XYZ!E$1,'data (1)'!$J:$J,XYZ!$A334)</f>
        <v>0</v>
      </c>
      <c r="F334">
        <f>SUMIFS('data (1)'!$M:$M,'data (1)'!$A:$A,XYZ!F$1,'data (1)'!$J:$J,XYZ!$A334)</f>
        <v>0</v>
      </c>
      <c r="G334">
        <f>SUMIFS('data (1)'!$M:$M,'data (1)'!$A:$A,XYZ!G$1,'data (1)'!$J:$J,XYZ!$A334)</f>
        <v>0</v>
      </c>
    </row>
    <row r="335" spans="1:7" x14ac:dyDescent="0.15">
      <c r="A335" t="s">
        <v>1119</v>
      </c>
      <c r="B335" s="11">
        <f t="shared" si="5"/>
        <v>2.2360679774997894</v>
      </c>
      <c r="C335">
        <f>SUMIFS('data (1)'!$M:$M,'data (1)'!$A:$A,XYZ!C$1,'data (1)'!$J:$J,XYZ!$A335)</f>
        <v>0</v>
      </c>
      <c r="D335">
        <f>SUMIFS('data (1)'!$M:$M,'data (1)'!$A:$A,XYZ!D$1,'data (1)'!$J:$J,XYZ!$A335)</f>
        <v>0</v>
      </c>
      <c r="E335">
        <f>SUMIFS('data (1)'!$M:$M,'data (1)'!$A:$A,XYZ!E$1,'data (1)'!$J:$J,XYZ!$A335)</f>
        <v>0</v>
      </c>
      <c r="F335">
        <f>SUMIFS('data (1)'!$M:$M,'data (1)'!$A:$A,XYZ!F$1,'data (1)'!$J:$J,XYZ!$A335)</f>
        <v>0</v>
      </c>
      <c r="G335">
        <f>SUMIFS('data (1)'!$M:$M,'data (1)'!$A:$A,XYZ!G$1,'data (1)'!$J:$J,XYZ!$A335)</f>
        <v>1</v>
      </c>
    </row>
    <row r="336" spans="1:7" x14ac:dyDescent="0.15">
      <c r="A336" t="s">
        <v>1171</v>
      </c>
      <c r="B336" s="11">
        <f t="shared" si="5"/>
        <v>2.2360679774997894</v>
      </c>
      <c r="C336">
        <f>SUMIFS('data (1)'!$M:$M,'data (1)'!$A:$A,XYZ!C$1,'data (1)'!$J:$J,XYZ!$A336)</f>
        <v>0</v>
      </c>
      <c r="D336">
        <f>SUMIFS('data (1)'!$M:$M,'data (1)'!$A:$A,XYZ!D$1,'data (1)'!$J:$J,XYZ!$A336)</f>
        <v>0</v>
      </c>
      <c r="E336">
        <f>SUMIFS('data (1)'!$M:$M,'data (1)'!$A:$A,XYZ!E$1,'data (1)'!$J:$J,XYZ!$A336)</f>
        <v>0</v>
      </c>
      <c r="F336">
        <f>SUMIFS('data (1)'!$M:$M,'data (1)'!$A:$A,XYZ!F$1,'data (1)'!$J:$J,XYZ!$A336)</f>
        <v>0</v>
      </c>
      <c r="G336">
        <f>SUMIFS('data (1)'!$M:$M,'data (1)'!$A:$A,XYZ!G$1,'data (1)'!$J:$J,XYZ!$A336)</f>
        <v>1</v>
      </c>
    </row>
    <row r="337" spans="1:7" x14ac:dyDescent="0.15">
      <c r="A337" t="s">
        <v>1195</v>
      </c>
      <c r="B337" s="11">
        <f t="shared" si="5"/>
        <v>2.2360679774997894</v>
      </c>
      <c r="C337">
        <f>SUMIFS('data (1)'!$M:$M,'data (1)'!$A:$A,XYZ!C$1,'data (1)'!$J:$J,XYZ!$A337)</f>
        <v>0</v>
      </c>
      <c r="D337">
        <f>SUMIFS('data (1)'!$M:$M,'data (1)'!$A:$A,XYZ!D$1,'data (1)'!$J:$J,XYZ!$A337)</f>
        <v>0</v>
      </c>
      <c r="E337">
        <f>SUMIFS('data (1)'!$M:$M,'data (1)'!$A:$A,XYZ!E$1,'data (1)'!$J:$J,XYZ!$A337)</f>
        <v>0</v>
      </c>
      <c r="F337">
        <f>SUMIFS('data (1)'!$M:$M,'data (1)'!$A:$A,XYZ!F$1,'data (1)'!$J:$J,XYZ!$A337)</f>
        <v>0</v>
      </c>
      <c r="G337">
        <f>SUMIFS('data (1)'!$M:$M,'data (1)'!$A:$A,XYZ!G$1,'data (1)'!$J:$J,XYZ!$A337)</f>
        <v>1</v>
      </c>
    </row>
    <row r="338" spans="1:7" x14ac:dyDescent="0.15">
      <c r="A338" t="s">
        <v>693</v>
      </c>
      <c r="B338" s="11">
        <f t="shared" si="5"/>
        <v>2.2360679774997894</v>
      </c>
      <c r="C338">
        <f>SUMIFS('data (1)'!$M:$M,'data (1)'!$A:$A,XYZ!C$1,'data (1)'!$J:$J,XYZ!$A338)</f>
        <v>0</v>
      </c>
      <c r="D338">
        <f>SUMIFS('data (1)'!$M:$M,'data (1)'!$A:$A,XYZ!D$1,'data (1)'!$J:$J,XYZ!$A338)</f>
        <v>1</v>
      </c>
      <c r="E338">
        <f>SUMIFS('data (1)'!$M:$M,'data (1)'!$A:$A,XYZ!E$1,'data (1)'!$J:$J,XYZ!$A338)</f>
        <v>0</v>
      </c>
      <c r="F338">
        <f>SUMIFS('data (1)'!$M:$M,'data (1)'!$A:$A,XYZ!F$1,'data (1)'!$J:$J,XYZ!$A338)</f>
        <v>0</v>
      </c>
      <c r="G338">
        <f>SUMIFS('data (1)'!$M:$M,'data (1)'!$A:$A,XYZ!G$1,'data (1)'!$J:$J,XYZ!$A338)</f>
        <v>0</v>
      </c>
    </row>
    <row r="339" spans="1:7" x14ac:dyDescent="0.15">
      <c r="A339" t="s">
        <v>38</v>
      </c>
      <c r="B339" s="11">
        <f t="shared" si="5"/>
        <v>2.2360679774997894</v>
      </c>
      <c r="C339">
        <f>SUMIFS('data (1)'!$M:$M,'data (1)'!$A:$A,XYZ!C$1,'data (1)'!$J:$J,XYZ!$A339)</f>
        <v>1</v>
      </c>
      <c r="D339">
        <f>SUMIFS('data (1)'!$M:$M,'data (1)'!$A:$A,XYZ!D$1,'data (1)'!$J:$J,XYZ!$A339)</f>
        <v>0</v>
      </c>
      <c r="E339">
        <f>SUMIFS('data (1)'!$M:$M,'data (1)'!$A:$A,XYZ!E$1,'data (1)'!$J:$J,XYZ!$A339)</f>
        <v>0</v>
      </c>
      <c r="F339">
        <f>SUMIFS('data (1)'!$M:$M,'data (1)'!$A:$A,XYZ!F$1,'data (1)'!$J:$J,XYZ!$A339)</f>
        <v>0</v>
      </c>
      <c r="G339">
        <f>SUMIFS('data (1)'!$M:$M,'data (1)'!$A:$A,XYZ!G$1,'data (1)'!$J:$J,XYZ!$A339)</f>
        <v>0</v>
      </c>
    </row>
    <row r="340" spans="1:7" x14ac:dyDescent="0.15">
      <c r="A340" t="s">
        <v>366</v>
      </c>
      <c r="B340" s="11">
        <f t="shared" si="5"/>
        <v>2.2360679774997894</v>
      </c>
      <c r="C340">
        <f>SUMIFS('data (1)'!$M:$M,'data (1)'!$A:$A,XYZ!C$1,'data (1)'!$J:$J,XYZ!$A340)</f>
        <v>1</v>
      </c>
      <c r="D340">
        <f>SUMIFS('data (1)'!$M:$M,'data (1)'!$A:$A,XYZ!D$1,'data (1)'!$J:$J,XYZ!$A340)</f>
        <v>0</v>
      </c>
      <c r="E340">
        <f>SUMIFS('data (1)'!$M:$M,'data (1)'!$A:$A,XYZ!E$1,'data (1)'!$J:$J,XYZ!$A340)</f>
        <v>0</v>
      </c>
      <c r="F340">
        <f>SUMIFS('data (1)'!$M:$M,'data (1)'!$A:$A,XYZ!F$1,'data (1)'!$J:$J,XYZ!$A340)</f>
        <v>0</v>
      </c>
      <c r="G340">
        <f>SUMIFS('data (1)'!$M:$M,'data (1)'!$A:$A,XYZ!G$1,'data (1)'!$J:$J,XYZ!$A340)</f>
        <v>0</v>
      </c>
    </row>
    <row r="341" spans="1:7" x14ac:dyDescent="0.15">
      <c r="A341" t="s">
        <v>556</v>
      </c>
      <c r="B341" s="11">
        <f t="shared" si="5"/>
        <v>2.2360679774997894</v>
      </c>
      <c r="C341">
        <f>SUMIFS('data (1)'!$M:$M,'data (1)'!$A:$A,XYZ!C$1,'data (1)'!$J:$J,XYZ!$A341)</f>
        <v>0</v>
      </c>
      <c r="D341">
        <f>SUMIFS('data (1)'!$M:$M,'data (1)'!$A:$A,XYZ!D$1,'data (1)'!$J:$J,XYZ!$A341)</f>
        <v>1</v>
      </c>
      <c r="E341">
        <f>SUMIFS('data (1)'!$M:$M,'data (1)'!$A:$A,XYZ!E$1,'data (1)'!$J:$J,XYZ!$A341)</f>
        <v>0</v>
      </c>
      <c r="F341">
        <f>SUMIFS('data (1)'!$M:$M,'data (1)'!$A:$A,XYZ!F$1,'data (1)'!$J:$J,XYZ!$A341)</f>
        <v>0</v>
      </c>
      <c r="G341">
        <f>SUMIFS('data (1)'!$M:$M,'data (1)'!$A:$A,XYZ!G$1,'data (1)'!$J:$J,XYZ!$A341)</f>
        <v>0</v>
      </c>
    </row>
    <row r="342" spans="1:7" x14ac:dyDescent="0.15">
      <c r="A342" t="s">
        <v>796</v>
      </c>
      <c r="B342" s="11">
        <f t="shared" si="5"/>
        <v>2.2360679774997894</v>
      </c>
      <c r="C342">
        <f>SUMIFS('data (1)'!$M:$M,'data (1)'!$A:$A,XYZ!C$1,'data (1)'!$J:$J,XYZ!$A342)</f>
        <v>0</v>
      </c>
      <c r="D342">
        <f>SUMIFS('data (1)'!$M:$M,'data (1)'!$A:$A,XYZ!D$1,'data (1)'!$J:$J,XYZ!$A342)</f>
        <v>0</v>
      </c>
      <c r="E342">
        <f>SUMIFS('data (1)'!$M:$M,'data (1)'!$A:$A,XYZ!E$1,'data (1)'!$J:$J,XYZ!$A342)</f>
        <v>1</v>
      </c>
      <c r="F342">
        <f>SUMIFS('data (1)'!$M:$M,'data (1)'!$A:$A,XYZ!F$1,'data (1)'!$J:$J,XYZ!$A342)</f>
        <v>0</v>
      </c>
      <c r="G342">
        <f>SUMIFS('data (1)'!$M:$M,'data (1)'!$A:$A,XYZ!G$1,'data (1)'!$J:$J,XYZ!$A342)</f>
        <v>0</v>
      </c>
    </row>
    <row r="343" spans="1:7" x14ac:dyDescent="0.15">
      <c r="A343" t="s">
        <v>940</v>
      </c>
      <c r="B343" s="11">
        <f t="shared" si="5"/>
        <v>2.2360679774997894</v>
      </c>
      <c r="C343">
        <f>SUMIFS('data (1)'!$M:$M,'data (1)'!$A:$A,XYZ!C$1,'data (1)'!$J:$J,XYZ!$A343)</f>
        <v>0</v>
      </c>
      <c r="D343">
        <f>SUMIFS('data (1)'!$M:$M,'data (1)'!$A:$A,XYZ!D$1,'data (1)'!$J:$J,XYZ!$A343)</f>
        <v>0</v>
      </c>
      <c r="E343">
        <f>SUMIFS('data (1)'!$M:$M,'data (1)'!$A:$A,XYZ!E$1,'data (1)'!$J:$J,XYZ!$A343)</f>
        <v>0</v>
      </c>
      <c r="F343">
        <f>SUMIFS('data (1)'!$M:$M,'data (1)'!$A:$A,XYZ!F$1,'data (1)'!$J:$J,XYZ!$A343)</f>
        <v>1</v>
      </c>
      <c r="G343">
        <f>SUMIFS('data (1)'!$M:$M,'data (1)'!$A:$A,XYZ!G$1,'data (1)'!$J:$J,XYZ!$A343)</f>
        <v>0</v>
      </c>
    </row>
    <row r="344" spans="1:7" x14ac:dyDescent="0.15">
      <c r="A344" t="s">
        <v>956</v>
      </c>
      <c r="B344" s="11">
        <f t="shared" si="5"/>
        <v>2.2360679774997894</v>
      </c>
      <c r="C344">
        <f>SUMIFS('data (1)'!$M:$M,'data (1)'!$A:$A,XYZ!C$1,'data (1)'!$J:$J,XYZ!$A344)</f>
        <v>0</v>
      </c>
      <c r="D344">
        <f>SUMIFS('data (1)'!$M:$M,'data (1)'!$A:$A,XYZ!D$1,'data (1)'!$J:$J,XYZ!$A344)</f>
        <v>0</v>
      </c>
      <c r="E344">
        <f>SUMIFS('data (1)'!$M:$M,'data (1)'!$A:$A,XYZ!E$1,'data (1)'!$J:$J,XYZ!$A344)</f>
        <v>0</v>
      </c>
      <c r="F344">
        <f>SUMIFS('data (1)'!$M:$M,'data (1)'!$A:$A,XYZ!F$1,'data (1)'!$J:$J,XYZ!$A344)</f>
        <v>1</v>
      </c>
      <c r="G344">
        <f>SUMIFS('data (1)'!$M:$M,'data (1)'!$A:$A,XYZ!G$1,'data (1)'!$J:$J,XYZ!$A344)</f>
        <v>0</v>
      </c>
    </row>
    <row r="345" spans="1:7" x14ac:dyDescent="0.15">
      <c r="A345" t="s">
        <v>892</v>
      </c>
      <c r="B345" s="11">
        <f t="shared" si="5"/>
        <v>2.2360679774997894</v>
      </c>
      <c r="C345">
        <f>SUMIFS('data (1)'!$M:$M,'data (1)'!$A:$A,XYZ!C$1,'data (1)'!$J:$J,XYZ!$A345)</f>
        <v>0</v>
      </c>
      <c r="D345">
        <f>SUMIFS('data (1)'!$M:$M,'data (1)'!$A:$A,XYZ!D$1,'data (1)'!$J:$J,XYZ!$A345)</f>
        <v>0</v>
      </c>
      <c r="E345">
        <f>SUMIFS('data (1)'!$M:$M,'data (1)'!$A:$A,XYZ!E$1,'data (1)'!$J:$J,XYZ!$A345)</f>
        <v>1</v>
      </c>
      <c r="F345">
        <f>SUMIFS('data (1)'!$M:$M,'data (1)'!$A:$A,XYZ!F$1,'data (1)'!$J:$J,XYZ!$A345)</f>
        <v>0</v>
      </c>
      <c r="G345">
        <f>SUMIFS('data (1)'!$M:$M,'data (1)'!$A:$A,XYZ!G$1,'data (1)'!$J:$J,XYZ!$A345)</f>
        <v>0</v>
      </c>
    </row>
    <row r="346" spans="1:7" x14ac:dyDescent="0.15">
      <c r="A346" t="s">
        <v>1096</v>
      </c>
      <c r="B346" s="11">
        <f t="shared" si="5"/>
        <v>2.2360679774997894</v>
      </c>
      <c r="C346">
        <f>SUMIFS('data (1)'!$M:$M,'data (1)'!$A:$A,XYZ!C$1,'data (1)'!$J:$J,XYZ!$A346)</f>
        <v>0</v>
      </c>
      <c r="D346">
        <f>SUMIFS('data (1)'!$M:$M,'data (1)'!$A:$A,XYZ!D$1,'data (1)'!$J:$J,XYZ!$A346)</f>
        <v>0</v>
      </c>
      <c r="E346">
        <f>SUMIFS('data (1)'!$M:$M,'data (1)'!$A:$A,XYZ!E$1,'data (1)'!$J:$J,XYZ!$A346)</f>
        <v>0</v>
      </c>
      <c r="F346">
        <f>SUMIFS('data (1)'!$M:$M,'data (1)'!$A:$A,XYZ!F$1,'data (1)'!$J:$J,XYZ!$A346)</f>
        <v>0</v>
      </c>
      <c r="G346">
        <f>SUMIFS('data (1)'!$M:$M,'data (1)'!$A:$A,XYZ!G$1,'data (1)'!$J:$J,XYZ!$A346)</f>
        <v>1</v>
      </c>
    </row>
    <row r="347" spans="1:7" x14ac:dyDescent="0.15">
      <c r="A347" t="s">
        <v>933</v>
      </c>
      <c r="B347" s="11">
        <f t="shared" si="5"/>
        <v>2.2360679774997894</v>
      </c>
      <c r="C347">
        <f>SUMIFS('data (1)'!$M:$M,'data (1)'!$A:$A,XYZ!C$1,'data (1)'!$J:$J,XYZ!$A347)</f>
        <v>0</v>
      </c>
      <c r="D347">
        <f>SUMIFS('data (1)'!$M:$M,'data (1)'!$A:$A,XYZ!D$1,'data (1)'!$J:$J,XYZ!$A347)</f>
        <v>0</v>
      </c>
      <c r="E347">
        <f>SUMIFS('data (1)'!$M:$M,'data (1)'!$A:$A,XYZ!E$1,'data (1)'!$J:$J,XYZ!$A347)</f>
        <v>0</v>
      </c>
      <c r="F347">
        <f>SUMIFS('data (1)'!$M:$M,'data (1)'!$A:$A,XYZ!F$1,'data (1)'!$J:$J,XYZ!$A347)</f>
        <v>1</v>
      </c>
      <c r="G347">
        <f>SUMIFS('data (1)'!$M:$M,'data (1)'!$A:$A,XYZ!G$1,'data (1)'!$J:$J,XYZ!$A347)</f>
        <v>0</v>
      </c>
    </row>
    <row r="348" spans="1:7" x14ac:dyDescent="0.15">
      <c r="A348" t="s">
        <v>1129</v>
      </c>
      <c r="B348" s="11">
        <f t="shared" si="5"/>
        <v>2.2360679774997894</v>
      </c>
      <c r="C348">
        <f>SUMIFS('data (1)'!$M:$M,'data (1)'!$A:$A,XYZ!C$1,'data (1)'!$J:$J,XYZ!$A348)</f>
        <v>0</v>
      </c>
      <c r="D348">
        <f>SUMIFS('data (1)'!$M:$M,'data (1)'!$A:$A,XYZ!D$1,'data (1)'!$J:$J,XYZ!$A348)</f>
        <v>0</v>
      </c>
      <c r="E348">
        <f>SUMIFS('data (1)'!$M:$M,'data (1)'!$A:$A,XYZ!E$1,'data (1)'!$J:$J,XYZ!$A348)</f>
        <v>0</v>
      </c>
      <c r="F348">
        <f>SUMIFS('data (1)'!$M:$M,'data (1)'!$A:$A,XYZ!F$1,'data (1)'!$J:$J,XYZ!$A348)</f>
        <v>0</v>
      </c>
      <c r="G348">
        <f>SUMIFS('data (1)'!$M:$M,'data (1)'!$A:$A,XYZ!G$1,'data (1)'!$J:$J,XYZ!$A348)</f>
        <v>1</v>
      </c>
    </row>
    <row r="349" spans="1:7" x14ac:dyDescent="0.15">
      <c r="A349" t="s">
        <v>1099</v>
      </c>
      <c r="B349" s="11">
        <f t="shared" si="5"/>
        <v>2.2360679774997894</v>
      </c>
      <c r="C349">
        <f>SUMIFS('data (1)'!$M:$M,'data (1)'!$A:$A,XYZ!C$1,'data (1)'!$J:$J,XYZ!$A349)</f>
        <v>0</v>
      </c>
      <c r="D349">
        <f>SUMIFS('data (1)'!$M:$M,'data (1)'!$A:$A,XYZ!D$1,'data (1)'!$J:$J,XYZ!$A349)</f>
        <v>0</v>
      </c>
      <c r="E349">
        <f>SUMIFS('data (1)'!$M:$M,'data (1)'!$A:$A,XYZ!E$1,'data (1)'!$J:$J,XYZ!$A349)</f>
        <v>0</v>
      </c>
      <c r="F349">
        <f>SUMIFS('data (1)'!$M:$M,'data (1)'!$A:$A,XYZ!F$1,'data (1)'!$J:$J,XYZ!$A349)</f>
        <v>0</v>
      </c>
      <c r="G349">
        <f>SUMIFS('data (1)'!$M:$M,'data (1)'!$A:$A,XYZ!G$1,'data (1)'!$J:$J,XYZ!$A349)</f>
        <v>1</v>
      </c>
    </row>
    <row r="350" spans="1:7" x14ac:dyDescent="0.15">
      <c r="A350" t="s">
        <v>964</v>
      </c>
      <c r="B350" s="11">
        <f t="shared" si="5"/>
        <v>2.2360679774997894</v>
      </c>
      <c r="C350">
        <f>SUMIFS('data (1)'!$M:$M,'data (1)'!$A:$A,XYZ!C$1,'data (1)'!$J:$J,XYZ!$A350)</f>
        <v>0</v>
      </c>
      <c r="D350">
        <f>SUMIFS('data (1)'!$M:$M,'data (1)'!$A:$A,XYZ!D$1,'data (1)'!$J:$J,XYZ!$A350)</f>
        <v>0</v>
      </c>
      <c r="E350">
        <f>SUMIFS('data (1)'!$M:$M,'data (1)'!$A:$A,XYZ!E$1,'data (1)'!$J:$J,XYZ!$A350)</f>
        <v>0</v>
      </c>
      <c r="F350">
        <f>SUMIFS('data (1)'!$M:$M,'data (1)'!$A:$A,XYZ!F$1,'data (1)'!$J:$J,XYZ!$A350)</f>
        <v>1</v>
      </c>
      <c r="G350">
        <f>SUMIFS('data (1)'!$M:$M,'data (1)'!$A:$A,XYZ!G$1,'data (1)'!$J:$J,XYZ!$A350)</f>
        <v>0</v>
      </c>
    </row>
    <row r="351" spans="1:7" x14ac:dyDescent="0.15">
      <c r="A351" t="s">
        <v>183</v>
      </c>
      <c r="B351" s="11">
        <f t="shared" si="5"/>
        <v>2.2360679774997894</v>
      </c>
      <c r="C351">
        <f>SUMIFS('data (1)'!$M:$M,'data (1)'!$A:$A,XYZ!C$1,'data (1)'!$J:$J,XYZ!$A351)</f>
        <v>1</v>
      </c>
      <c r="D351">
        <f>SUMIFS('data (1)'!$M:$M,'data (1)'!$A:$A,XYZ!D$1,'data (1)'!$J:$J,XYZ!$A351)</f>
        <v>0</v>
      </c>
      <c r="E351">
        <f>SUMIFS('data (1)'!$M:$M,'data (1)'!$A:$A,XYZ!E$1,'data (1)'!$J:$J,XYZ!$A351)</f>
        <v>0</v>
      </c>
      <c r="F351">
        <f>SUMIFS('data (1)'!$M:$M,'data (1)'!$A:$A,XYZ!F$1,'data (1)'!$J:$J,XYZ!$A351)</f>
        <v>0</v>
      </c>
      <c r="G351">
        <f>SUMIFS('data (1)'!$M:$M,'data (1)'!$A:$A,XYZ!G$1,'data (1)'!$J:$J,XYZ!$A351)</f>
        <v>0</v>
      </c>
    </row>
    <row r="352" spans="1:7" x14ac:dyDescent="0.15">
      <c r="A352" t="s">
        <v>450</v>
      </c>
      <c r="B352" s="11">
        <f t="shared" si="5"/>
        <v>2.2360679774997894</v>
      </c>
      <c r="C352">
        <f>SUMIFS('data (1)'!$M:$M,'data (1)'!$A:$A,XYZ!C$1,'data (1)'!$J:$J,XYZ!$A352)</f>
        <v>1</v>
      </c>
      <c r="D352">
        <f>SUMIFS('data (1)'!$M:$M,'data (1)'!$A:$A,XYZ!D$1,'data (1)'!$J:$J,XYZ!$A352)</f>
        <v>0</v>
      </c>
      <c r="E352">
        <f>SUMIFS('data (1)'!$M:$M,'data (1)'!$A:$A,XYZ!E$1,'data (1)'!$J:$J,XYZ!$A352)</f>
        <v>0</v>
      </c>
      <c r="F352">
        <f>SUMIFS('data (1)'!$M:$M,'data (1)'!$A:$A,XYZ!F$1,'data (1)'!$J:$J,XYZ!$A352)</f>
        <v>0</v>
      </c>
      <c r="G352">
        <f>SUMIFS('data (1)'!$M:$M,'data (1)'!$A:$A,XYZ!G$1,'data (1)'!$J:$J,XYZ!$A352)</f>
        <v>0</v>
      </c>
    </row>
    <row r="353" spans="1:7" x14ac:dyDescent="0.15">
      <c r="A353" t="s">
        <v>596</v>
      </c>
      <c r="B353" s="11">
        <f t="shared" si="5"/>
        <v>2.2360679774997894</v>
      </c>
      <c r="C353">
        <f>SUMIFS('data (1)'!$M:$M,'data (1)'!$A:$A,XYZ!C$1,'data (1)'!$J:$J,XYZ!$A353)</f>
        <v>0</v>
      </c>
      <c r="D353">
        <f>SUMIFS('data (1)'!$M:$M,'data (1)'!$A:$A,XYZ!D$1,'data (1)'!$J:$J,XYZ!$A353)</f>
        <v>1</v>
      </c>
      <c r="E353">
        <f>SUMIFS('data (1)'!$M:$M,'data (1)'!$A:$A,XYZ!E$1,'data (1)'!$J:$J,XYZ!$A353)</f>
        <v>0</v>
      </c>
      <c r="F353">
        <f>SUMIFS('data (1)'!$M:$M,'data (1)'!$A:$A,XYZ!F$1,'data (1)'!$J:$J,XYZ!$A353)</f>
        <v>0</v>
      </c>
      <c r="G353">
        <f>SUMIFS('data (1)'!$M:$M,'data (1)'!$A:$A,XYZ!G$1,'data (1)'!$J:$J,XYZ!$A353)</f>
        <v>0</v>
      </c>
    </row>
    <row r="354" spans="1:7" x14ac:dyDescent="0.15">
      <c r="A354" t="s">
        <v>982</v>
      </c>
      <c r="B354" s="11">
        <f t="shared" si="5"/>
        <v>2.2360679774997894</v>
      </c>
      <c r="C354">
        <f>SUMIFS('data (1)'!$M:$M,'data (1)'!$A:$A,XYZ!C$1,'data (1)'!$J:$J,XYZ!$A354)</f>
        <v>0</v>
      </c>
      <c r="D354">
        <f>SUMIFS('data (1)'!$M:$M,'data (1)'!$A:$A,XYZ!D$1,'data (1)'!$J:$J,XYZ!$A354)</f>
        <v>0</v>
      </c>
      <c r="E354">
        <f>SUMIFS('data (1)'!$M:$M,'data (1)'!$A:$A,XYZ!E$1,'data (1)'!$J:$J,XYZ!$A354)</f>
        <v>0</v>
      </c>
      <c r="F354">
        <f>SUMIFS('data (1)'!$M:$M,'data (1)'!$A:$A,XYZ!F$1,'data (1)'!$J:$J,XYZ!$A354)</f>
        <v>1</v>
      </c>
      <c r="G354">
        <f>SUMIFS('data (1)'!$M:$M,'data (1)'!$A:$A,XYZ!G$1,'data (1)'!$J:$J,XYZ!$A354)</f>
        <v>0</v>
      </c>
    </row>
    <row r="355" spans="1:7" x14ac:dyDescent="0.15">
      <c r="A355" t="s">
        <v>1005</v>
      </c>
      <c r="B355" s="11">
        <f t="shared" si="5"/>
        <v>2.2360679774997894</v>
      </c>
      <c r="C355">
        <f>SUMIFS('data (1)'!$M:$M,'data (1)'!$A:$A,XYZ!C$1,'data (1)'!$J:$J,XYZ!$A355)</f>
        <v>0</v>
      </c>
      <c r="D355">
        <f>SUMIFS('data (1)'!$M:$M,'data (1)'!$A:$A,XYZ!D$1,'data (1)'!$J:$J,XYZ!$A355)</f>
        <v>0</v>
      </c>
      <c r="E355">
        <f>SUMIFS('data (1)'!$M:$M,'data (1)'!$A:$A,XYZ!E$1,'data (1)'!$J:$J,XYZ!$A355)</f>
        <v>0</v>
      </c>
      <c r="F355">
        <f>SUMIFS('data (1)'!$M:$M,'data (1)'!$A:$A,XYZ!F$1,'data (1)'!$J:$J,XYZ!$A355)</f>
        <v>1</v>
      </c>
      <c r="G355">
        <f>SUMIFS('data (1)'!$M:$M,'data (1)'!$A:$A,XYZ!G$1,'data (1)'!$J:$J,XYZ!$A355)</f>
        <v>0</v>
      </c>
    </row>
    <row r="356" spans="1:7" x14ac:dyDescent="0.15">
      <c r="A356" t="s">
        <v>1045</v>
      </c>
      <c r="B356" s="11">
        <f t="shared" si="5"/>
        <v>2.2360679774997894</v>
      </c>
      <c r="C356">
        <f>SUMIFS('data (1)'!$M:$M,'data (1)'!$A:$A,XYZ!C$1,'data (1)'!$J:$J,XYZ!$A356)</f>
        <v>0</v>
      </c>
      <c r="D356">
        <f>SUMIFS('data (1)'!$M:$M,'data (1)'!$A:$A,XYZ!D$1,'data (1)'!$J:$J,XYZ!$A356)</f>
        <v>0</v>
      </c>
      <c r="E356">
        <f>SUMIFS('data (1)'!$M:$M,'data (1)'!$A:$A,XYZ!E$1,'data (1)'!$J:$J,XYZ!$A356)</f>
        <v>0</v>
      </c>
      <c r="F356">
        <f>SUMIFS('data (1)'!$M:$M,'data (1)'!$A:$A,XYZ!F$1,'data (1)'!$J:$J,XYZ!$A356)</f>
        <v>1</v>
      </c>
      <c r="G356">
        <f>SUMIFS('data (1)'!$M:$M,'data (1)'!$A:$A,XYZ!G$1,'data (1)'!$J:$J,XYZ!$A356)</f>
        <v>0</v>
      </c>
    </row>
    <row r="357" spans="1:7" x14ac:dyDescent="0.15">
      <c r="A357" t="s">
        <v>726</v>
      </c>
      <c r="B357" s="11">
        <f t="shared" si="5"/>
        <v>2.2360679774997894</v>
      </c>
      <c r="C357">
        <f>SUMIFS('data (1)'!$M:$M,'data (1)'!$A:$A,XYZ!C$1,'data (1)'!$J:$J,XYZ!$A357)</f>
        <v>0</v>
      </c>
      <c r="D357">
        <f>SUMIFS('data (1)'!$M:$M,'data (1)'!$A:$A,XYZ!D$1,'data (1)'!$J:$J,XYZ!$A357)</f>
        <v>0</v>
      </c>
      <c r="E357">
        <f>SUMIFS('data (1)'!$M:$M,'data (1)'!$A:$A,XYZ!E$1,'data (1)'!$J:$J,XYZ!$A357)</f>
        <v>1</v>
      </c>
      <c r="F357">
        <f>SUMIFS('data (1)'!$M:$M,'data (1)'!$A:$A,XYZ!F$1,'data (1)'!$J:$J,XYZ!$A357)</f>
        <v>0</v>
      </c>
      <c r="G357">
        <f>SUMIFS('data (1)'!$M:$M,'data (1)'!$A:$A,XYZ!G$1,'data (1)'!$J:$J,XYZ!$A357)</f>
        <v>0</v>
      </c>
    </row>
    <row r="358" spans="1:7" x14ac:dyDescent="0.15">
      <c r="A358" t="s">
        <v>294</v>
      </c>
      <c r="B358" s="11">
        <f t="shared" si="5"/>
        <v>2.2360679774997894</v>
      </c>
      <c r="C358">
        <f>SUMIFS('data (1)'!$M:$M,'data (1)'!$A:$A,XYZ!C$1,'data (1)'!$J:$J,XYZ!$A358)</f>
        <v>1</v>
      </c>
      <c r="D358">
        <f>SUMIFS('data (1)'!$M:$M,'data (1)'!$A:$A,XYZ!D$1,'data (1)'!$J:$J,XYZ!$A358)</f>
        <v>0</v>
      </c>
      <c r="E358">
        <f>SUMIFS('data (1)'!$M:$M,'data (1)'!$A:$A,XYZ!E$1,'data (1)'!$J:$J,XYZ!$A358)</f>
        <v>0</v>
      </c>
      <c r="F358">
        <f>SUMIFS('data (1)'!$M:$M,'data (1)'!$A:$A,XYZ!F$1,'data (1)'!$J:$J,XYZ!$A358)</f>
        <v>0</v>
      </c>
      <c r="G358">
        <f>SUMIFS('data (1)'!$M:$M,'data (1)'!$A:$A,XYZ!G$1,'data (1)'!$J:$J,XYZ!$A358)</f>
        <v>0</v>
      </c>
    </row>
    <row r="359" spans="1:7" x14ac:dyDescent="0.15">
      <c r="A359" t="s">
        <v>461</v>
      </c>
      <c r="B359" s="11">
        <f t="shared" si="5"/>
        <v>2.2360679774997894</v>
      </c>
      <c r="C359">
        <f>SUMIFS('data (1)'!$M:$M,'data (1)'!$A:$A,XYZ!C$1,'data (1)'!$J:$J,XYZ!$A359)</f>
        <v>1</v>
      </c>
      <c r="D359">
        <f>SUMIFS('data (1)'!$M:$M,'data (1)'!$A:$A,XYZ!D$1,'data (1)'!$J:$J,XYZ!$A359)</f>
        <v>0</v>
      </c>
      <c r="E359">
        <f>SUMIFS('data (1)'!$M:$M,'data (1)'!$A:$A,XYZ!E$1,'data (1)'!$J:$J,XYZ!$A359)</f>
        <v>0</v>
      </c>
      <c r="F359">
        <f>SUMIFS('data (1)'!$M:$M,'data (1)'!$A:$A,XYZ!F$1,'data (1)'!$J:$J,XYZ!$A359)</f>
        <v>0</v>
      </c>
      <c r="G359">
        <f>SUMIFS('data (1)'!$M:$M,'data (1)'!$A:$A,XYZ!G$1,'data (1)'!$J:$J,XYZ!$A359)</f>
        <v>0</v>
      </c>
    </row>
    <row r="360" spans="1:7" x14ac:dyDescent="0.15">
      <c r="A360" t="s">
        <v>1208</v>
      </c>
      <c r="B360" s="11">
        <f t="shared" si="5"/>
        <v>2.2360679774997894</v>
      </c>
      <c r="C360">
        <f>SUMIFS('data (1)'!$M:$M,'data (1)'!$A:$A,XYZ!C$1,'data (1)'!$J:$J,XYZ!$A360)</f>
        <v>0</v>
      </c>
      <c r="D360">
        <f>SUMIFS('data (1)'!$M:$M,'data (1)'!$A:$A,XYZ!D$1,'data (1)'!$J:$J,XYZ!$A360)</f>
        <v>0</v>
      </c>
      <c r="E360">
        <f>SUMIFS('data (1)'!$M:$M,'data (1)'!$A:$A,XYZ!E$1,'data (1)'!$J:$J,XYZ!$A360)</f>
        <v>0</v>
      </c>
      <c r="F360">
        <f>SUMIFS('data (1)'!$M:$M,'data (1)'!$A:$A,XYZ!F$1,'data (1)'!$J:$J,XYZ!$A360)</f>
        <v>0</v>
      </c>
      <c r="G360">
        <f>SUMIFS('data (1)'!$M:$M,'data (1)'!$A:$A,XYZ!G$1,'data (1)'!$J:$J,XYZ!$A360)</f>
        <v>1</v>
      </c>
    </row>
    <row r="361" spans="1:7" x14ac:dyDescent="0.15">
      <c r="A361" t="s">
        <v>898</v>
      </c>
      <c r="B361" s="11">
        <f t="shared" si="5"/>
        <v>2.2360679774997894</v>
      </c>
      <c r="C361">
        <f>SUMIFS('data (1)'!$M:$M,'data (1)'!$A:$A,XYZ!C$1,'data (1)'!$J:$J,XYZ!$A361)</f>
        <v>0</v>
      </c>
      <c r="D361">
        <f>SUMIFS('data (1)'!$M:$M,'data (1)'!$A:$A,XYZ!D$1,'data (1)'!$J:$J,XYZ!$A361)</f>
        <v>0</v>
      </c>
      <c r="E361">
        <f>SUMIFS('data (1)'!$M:$M,'data (1)'!$A:$A,XYZ!E$1,'data (1)'!$J:$J,XYZ!$A361)</f>
        <v>1</v>
      </c>
      <c r="F361">
        <f>SUMIFS('data (1)'!$M:$M,'data (1)'!$A:$A,XYZ!F$1,'data (1)'!$J:$J,XYZ!$A361)</f>
        <v>0</v>
      </c>
      <c r="G361">
        <f>SUMIFS('data (1)'!$M:$M,'data (1)'!$A:$A,XYZ!G$1,'data (1)'!$J:$J,XYZ!$A361)</f>
        <v>0</v>
      </c>
    </row>
    <row r="362" spans="1:7" x14ac:dyDescent="0.15">
      <c r="A362" t="s">
        <v>544</v>
      </c>
      <c r="B362" s="11">
        <f t="shared" si="5"/>
        <v>2.2360679774997894</v>
      </c>
      <c r="C362">
        <f>SUMIFS('data (1)'!$M:$M,'data (1)'!$A:$A,XYZ!C$1,'data (1)'!$J:$J,XYZ!$A362)</f>
        <v>0</v>
      </c>
      <c r="D362">
        <f>SUMIFS('data (1)'!$M:$M,'data (1)'!$A:$A,XYZ!D$1,'data (1)'!$J:$J,XYZ!$A362)</f>
        <v>1</v>
      </c>
      <c r="E362">
        <f>SUMIFS('data (1)'!$M:$M,'data (1)'!$A:$A,XYZ!E$1,'data (1)'!$J:$J,XYZ!$A362)</f>
        <v>0</v>
      </c>
      <c r="F362">
        <f>SUMIFS('data (1)'!$M:$M,'data (1)'!$A:$A,XYZ!F$1,'data (1)'!$J:$J,XYZ!$A362)</f>
        <v>0</v>
      </c>
      <c r="G362">
        <f>SUMIFS('data (1)'!$M:$M,'data (1)'!$A:$A,XYZ!G$1,'data (1)'!$J:$J,XYZ!$A362)</f>
        <v>0</v>
      </c>
    </row>
    <row r="363" spans="1:7" x14ac:dyDescent="0.15">
      <c r="A363" t="s">
        <v>196</v>
      </c>
      <c r="B363" s="11">
        <f t="shared" si="5"/>
        <v>2.2360679774997894</v>
      </c>
      <c r="C363">
        <f>SUMIFS('data (1)'!$M:$M,'data (1)'!$A:$A,XYZ!C$1,'data (1)'!$J:$J,XYZ!$A363)</f>
        <v>1</v>
      </c>
      <c r="D363">
        <f>SUMIFS('data (1)'!$M:$M,'data (1)'!$A:$A,XYZ!D$1,'data (1)'!$J:$J,XYZ!$A363)</f>
        <v>0</v>
      </c>
      <c r="E363">
        <f>SUMIFS('data (1)'!$M:$M,'data (1)'!$A:$A,XYZ!E$1,'data (1)'!$J:$J,XYZ!$A363)</f>
        <v>0</v>
      </c>
      <c r="F363">
        <f>SUMIFS('data (1)'!$M:$M,'data (1)'!$A:$A,XYZ!F$1,'data (1)'!$J:$J,XYZ!$A363)</f>
        <v>0</v>
      </c>
      <c r="G363">
        <f>SUMIFS('data (1)'!$M:$M,'data (1)'!$A:$A,XYZ!G$1,'data (1)'!$J:$J,XYZ!$A363)</f>
        <v>0</v>
      </c>
    </row>
    <row r="364" spans="1:7" x14ac:dyDescent="0.15">
      <c r="A364" t="s">
        <v>663</v>
      </c>
      <c r="B364" s="11">
        <f t="shared" si="5"/>
        <v>2.2360679774997894</v>
      </c>
      <c r="C364">
        <f>SUMIFS('data (1)'!$M:$M,'data (1)'!$A:$A,XYZ!C$1,'data (1)'!$J:$J,XYZ!$A364)</f>
        <v>0</v>
      </c>
      <c r="D364">
        <f>SUMIFS('data (1)'!$M:$M,'data (1)'!$A:$A,XYZ!D$1,'data (1)'!$J:$J,XYZ!$A364)</f>
        <v>1</v>
      </c>
      <c r="E364">
        <f>SUMIFS('data (1)'!$M:$M,'data (1)'!$A:$A,XYZ!E$1,'data (1)'!$J:$J,XYZ!$A364)</f>
        <v>0</v>
      </c>
      <c r="F364">
        <f>SUMIFS('data (1)'!$M:$M,'data (1)'!$A:$A,XYZ!F$1,'data (1)'!$J:$J,XYZ!$A364)</f>
        <v>0</v>
      </c>
      <c r="G364">
        <f>SUMIFS('data (1)'!$M:$M,'data (1)'!$A:$A,XYZ!G$1,'data (1)'!$J:$J,XYZ!$A364)</f>
        <v>0</v>
      </c>
    </row>
    <row r="365" spans="1:7" x14ac:dyDescent="0.15">
      <c r="A365" t="s">
        <v>607</v>
      </c>
      <c r="B365" s="11">
        <f t="shared" si="5"/>
        <v>2.2360679774997894</v>
      </c>
      <c r="C365">
        <f>SUMIFS('data (1)'!$M:$M,'data (1)'!$A:$A,XYZ!C$1,'data (1)'!$J:$J,XYZ!$A365)</f>
        <v>0</v>
      </c>
      <c r="D365">
        <f>SUMIFS('data (1)'!$M:$M,'data (1)'!$A:$A,XYZ!D$1,'data (1)'!$J:$J,XYZ!$A365)</f>
        <v>1</v>
      </c>
      <c r="E365">
        <f>SUMIFS('data (1)'!$M:$M,'data (1)'!$A:$A,XYZ!E$1,'data (1)'!$J:$J,XYZ!$A365)</f>
        <v>0</v>
      </c>
      <c r="F365">
        <f>SUMIFS('data (1)'!$M:$M,'data (1)'!$A:$A,XYZ!F$1,'data (1)'!$J:$J,XYZ!$A365)</f>
        <v>0</v>
      </c>
      <c r="G365">
        <f>SUMIFS('data (1)'!$M:$M,'data (1)'!$A:$A,XYZ!G$1,'data (1)'!$J:$J,XYZ!$A365)</f>
        <v>0</v>
      </c>
    </row>
    <row r="366" spans="1:7" x14ac:dyDescent="0.15">
      <c r="A366" t="s">
        <v>486</v>
      </c>
      <c r="B366" s="11">
        <f t="shared" si="5"/>
        <v>2.2360679774997894</v>
      </c>
      <c r="C366">
        <f>SUMIFS('data (1)'!$M:$M,'data (1)'!$A:$A,XYZ!C$1,'data (1)'!$J:$J,XYZ!$A366)</f>
        <v>0</v>
      </c>
      <c r="D366">
        <f>SUMIFS('data (1)'!$M:$M,'data (1)'!$A:$A,XYZ!D$1,'data (1)'!$J:$J,XYZ!$A366)</f>
        <v>1</v>
      </c>
      <c r="E366">
        <f>SUMIFS('data (1)'!$M:$M,'data (1)'!$A:$A,XYZ!E$1,'data (1)'!$J:$J,XYZ!$A366)</f>
        <v>0</v>
      </c>
      <c r="F366">
        <f>SUMIFS('data (1)'!$M:$M,'data (1)'!$A:$A,XYZ!F$1,'data (1)'!$J:$J,XYZ!$A366)</f>
        <v>0</v>
      </c>
      <c r="G366">
        <f>SUMIFS('data (1)'!$M:$M,'data (1)'!$A:$A,XYZ!G$1,'data (1)'!$J:$J,XYZ!$A366)</f>
        <v>0</v>
      </c>
    </row>
    <row r="367" spans="1:7" x14ac:dyDescent="0.15">
      <c r="A367" t="s">
        <v>957</v>
      </c>
      <c r="B367" s="11">
        <f t="shared" si="5"/>
        <v>2.2360679774997894</v>
      </c>
      <c r="C367">
        <f>SUMIFS('data (1)'!$M:$M,'data (1)'!$A:$A,XYZ!C$1,'data (1)'!$J:$J,XYZ!$A367)</f>
        <v>0</v>
      </c>
      <c r="D367">
        <f>SUMIFS('data (1)'!$M:$M,'data (1)'!$A:$A,XYZ!D$1,'data (1)'!$J:$J,XYZ!$A367)</f>
        <v>0</v>
      </c>
      <c r="E367">
        <f>SUMIFS('data (1)'!$M:$M,'data (1)'!$A:$A,XYZ!E$1,'data (1)'!$J:$J,XYZ!$A367)</f>
        <v>0</v>
      </c>
      <c r="F367">
        <f>SUMIFS('data (1)'!$M:$M,'data (1)'!$A:$A,XYZ!F$1,'data (1)'!$J:$J,XYZ!$A367)</f>
        <v>1</v>
      </c>
      <c r="G367">
        <f>SUMIFS('data (1)'!$M:$M,'data (1)'!$A:$A,XYZ!G$1,'data (1)'!$J:$J,XYZ!$A367)</f>
        <v>0</v>
      </c>
    </row>
    <row r="368" spans="1:7" x14ac:dyDescent="0.15">
      <c r="A368" t="s">
        <v>949</v>
      </c>
      <c r="B368" s="11">
        <f t="shared" si="5"/>
        <v>2.2360679774997894</v>
      </c>
      <c r="C368">
        <f>SUMIFS('data (1)'!$M:$M,'data (1)'!$A:$A,XYZ!C$1,'data (1)'!$J:$J,XYZ!$A368)</f>
        <v>0</v>
      </c>
      <c r="D368">
        <f>SUMIFS('data (1)'!$M:$M,'data (1)'!$A:$A,XYZ!D$1,'data (1)'!$J:$J,XYZ!$A368)</f>
        <v>0</v>
      </c>
      <c r="E368">
        <f>SUMIFS('data (1)'!$M:$M,'data (1)'!$A:$A,XYZ!E$1,'data (1)'!$J:$J,XYZ!$A368)</f>
        <v>0</v>
      </c>
      <c r="F368">
        <f>SUMIFS('data (1)'!$M:$M,'data (1)'!$A:$A,XYZ!F$1,'data (1)'!$J:$J,XYZ!$A368)</f>
        <v>1</v>
      </c>
      <c r="G368">
        <f>SUMIFS('data (1)'!$M:$M,'data (1)'!$A:$A,XYZ!G$1,'data (1)'!$J:$J,XYZ!$A368)</f>
        <v>0</v>
      </c>
    </row>
    <row r="369" spans="1:7" x14ac:dyDescent="0.15">
      <c r="A369" t="s">
        <v>808</v>
      </c>
      <c r="B369" s="11">
        <f t="shared" si="5"/>
        <v>2.2360679774997894</v>
      </c>
      <c r="C369">
        <f>SUMIFS('data (1)'!$M:$M,'data (1)'!$A:$A,XYZ!C$1,'data (1)'!$J:$J,XYZ!$A369)</f>
        <v>0</v>
      </c>
      <c r="D369">
        <f>SUMIFS('data (1)'!$M:$M,'data (1)'!$A:$A,XYZ!D$1,'data (1)'!$J:$J,XYZ!$A369)</f>
        <v>0</v>
      </c>
      <c r="E369">
        <f>SUMIFS('data (1)'!$M:$M,'data (1)'!$A:$A,XYZ!E$1,'data (1)'!$J:$J,XYZ!$A369)</f>
        <v>1</v>
      </c>
      <c r="F369">
        <f>SUMIFS('data (1)'!$M:$M,'data (1)'!$A:$A,XYZ!F$1,'data (1)'!$J:$J,XYZ!$A369)</f>
        <v>0</v>
      </c>
      <c r="G369">
        <f>SUMIFS('data (1)'!$M:$M,'data (1)'!$A:$A,XYZ!G$1,'data (1)'!$J:$J,XYZ!$A369)</f>
        <v>0</v>
      </c>
    </row>
    <row r="370" spans="1:7" x14ac:dyDescent="0.15">
      <c r="A370" t="s">
        <v>990</v>
      </c>
      <c r="B370" s="11">
        <f t="shared" si="5"/>
        <v>2.2360679774997894</v>
      </c>
      <c r="C370">
        <f>SUMIFS('data (1)'!$M:$M,'data (1)'!$A:$A,XYZ!C$1,'data (1)'!$J:$J,XYZ!$A370)</f>
        <v>0</v>
      </c>
      <c r="D370">
        <f>SUMIFS('data (1)'!$M:$M,'data (1)'!$A:$A,XYZ!D$1,'data (1)'!$J:$J,XYZ!$A370)</f>
        <v>0</v>
      </c>
      <c r="E370">
        <f>SUMIFS('data (1)'!$M:$M,'data (1)'!$A:$A,XYZ!E$1,'data (1)'!$J:$J,XYZ!$A370)</f>
        <v>0</v>
      </c>
      <c r="F370">
        <f>SUMIFS('data (1)'!$M:$M,'data (1)'!$A:$A,XYZ!F$1,'data (1)'!$J:$J,XYZ!$A370)</f>
        <v>1</v>
      </c>
      <c r="G370">
        <f>SUMIFS('data (1)'!$M:$M,'data (1)'!$A:$A,XYZ!G$1,'data (1)'!$J:$J,XYZ!$A370)</f>
        <v>0</v>
      </c>
    </row>
    <row r="371" spans="1:7" x14ac:dyDescent="0.15">
      <c r="A371" t="s">
        <v>710</v>
      </c>
      <c r="B371" s="11">
        <f t="shared" si="5"/>
        <v>2.2360679774997894</v>
      </c>
      <c r="C371">
        <f>SUMIFS('data (1)'!$M:$M,'data (1)'!$A:$A,XYZ!C$1,'data (1)'!$J:$J,XYZ!$A371)</f>
        <v>0</v>
      </c>
      <c r="D371">
        <f>SUMIFS('data (1)'!$M:$M,'data (1)'!$A:$A,XYZ!D$1,'data (1)'!$J:$J,XYZ!$A371)</f>
        <v>0</v>
      </c>
      <c r="E371">
        <f>SUMIFS('data (1)'!$M:$M,'data (1)'!$A:$A,XYZ!E$1,'data (1)'!$J:$J,XYZ!$A371)</f>
        <v>1</v>
      </c>
      <c r="F371">
        <f>SUMIFS('data (1)'!$M:$M,'data (1)'!$A:$A,XYZ!F$1,'data (1)'!$J:$J,XYZ!$A371)</f>
        <v>0</v>
      </c>
      <c r="G371">
        <f>SUMIFS('data (1)'!$M:$M,'data (1)'!$A:$A,XYZ!G$1,'data (1)'!$J:$J,XYZ!$A371)</f>
        <v>0</v>
      </c>
    </row>
    <row r="372" spans="1:7" x14ac:dyDescent="0.15">
      <c r="A372" t="s">
        <v>1075</v>
      </c>
      <c r="B372" s="11">
        <f t="shared" si="5"/>
        <v>2.2360679774997894</v>
      </c>
      <c r="C372">
        <f>SUMIFS('data (1)'!$M:$M,'data (1)'!$A:$A,XYZ!C$1,'data (1)'!$J:$J,XYZ!$A372)</f>
        <v>0</v>
      </c>
      <c r="D372">
        <f>SUMIFS('data (1)'!$M:$M,'data (1)'!$A:$A,XYZ!D$1,'data (1)'!$J:$J,XYZ!$A372)</f>
        <v>0</v>
      </c>
      <c r="E372">
        <f>SUMIFS('data (1)'!$M:$M,'data (1)'!$A:$A,XYZ!E$1,'data (1)'!$J:$J,XYZ!$A372)</f>
        <v>0</v>
      </c>
      <c r="F372">
        <f>SUMIFS('data (1)'!$M:$M,'data (1)'!$A:$A,XYZ!F$1,'data (1)'!$J:$J,XYZ!$A372)</f>
        <v>0</v>
      </c>
      <c r="G372">
        <f>SUMIFS('data (1)'!$M:$M,'data (1)'!$A:$A,XYZ!G$1,'data (1)'!$J:$J,XYZ!$A372)</f>
        <v>1</v>
      </c>
    </row>
    <row r="373" spans="1:7" x14ac:dyDescent="0.15">
      <c r="A373" t="s">
        <v>1002</v>
      </c>
      <c r="B373" s="11">
        <f t="shared" si="5"/>
        <v>2.2360679774997894</v>
      </c>
      <c r="C373">
        <f>SUMIFS('data (1)'!$M:$M,'data (1)'!$A:$A,XYZ!C$1,'data (1)'!$J:$J,XYZ!$A373)</f>
        <v>0</v>
      </c>
      <c r="D373">
        <f>SUMIFS('data (1)'!$M:$M,'data (1)'!$A:$A,XYZ!D$1,'data (1)'!$J:$J,XYZ!$A373)</f>
        <v>0</v>
      </c>
      <c r="E373">
        <f>SUMIFS('data (1)'!$M:$M,'data (1)'!$A:$A,XYZ!E$1,'data (1)'!$J:$J,XYZ!$A373)</f>
        <v>0</v>
      </c>
      <c r="F373">
        <f>SUMIFS('data (1)'!$M:$M,'data (1)'!$A:$A,XYZ!F$1,'data (1)'!$J:$J,XYZ!$A373)</f>
        <v>1</v>
      </c>
      <c r="G373">
        <f>SUMIFS('data (1)'!$M:$M,'data (1)'!$A:$A,XYZ!G$1,'data (1)'!$J:$J,XYZ!$A373)</f>
        <v>0</v>
      </c>
    </row>
    <row r="374" spans="1:7" x14ac:dyDescent="0.15">
      <c r="A374" t="s">
        <v>430</v>
      </c>
      <c r="B374" s="11">
        <f t="shared" si="5"/>
        <v>2.2360679774997894</v>
      </c>
      <c r="C374">
        <f>SUMIFS('data (1)'!$M:$M,'data (1)'!$A:$A,XYZ!C$1,'data (1)'!$J:$J,XYZ!$A374)</f>
        <v>1</v>
      </c>
      <c r="D374">
        <f>SUMIFS('data (1)'!$M:$M,'data (1)'!$A:$A,XYZ!D$1,'data (1)'!$J:$J,XYZ!$A374)</f>
        <v>0</v>
      </c>
      <c r="E374">
        <f>SUMIFS('data (1)'!$M:$M,'data (1)'!$A:$A,XYZ!E$1,'data (1)'!$J:$J,XYZ!$A374)</f>
        <v>0</v>
      </c>
      <c r="F374">
        <f>SUMIFS('data (1)'!$M:$M,'data (1)'!$A:$A,XYZ!F$1,'data (1)'!$J:$J,XYZ!$A374)</f>
        <v>0</v>
      </c>
      <c r="G374">
        <f>SUMIFS('data (1)'!$M:$M,'data (1)'!$A:$A,XYZ!G$1,'data (1)'!$J:$J,XYZ!$A374)</f>
        <v>0</v>
      </c>
    </row>
    <row r="375" spans="1:7" x14ac:dyDescent="0.15">
      <c r="A375" t="s">
        <v>934</v>
      </c>
      <c r="B375" s="11">
        <f t="shared" si="5"/>
        <v>2.2360679774997894</v>
      </c>
      <c r="C375">
        <f>SUMIFS('data (1)'!$M:$M,'data (1)'!$A:$A,XYZ!C$1,'data (1)'!$J:$J,XYZ!$A375)</f>
        <v>0</v>
      </c>
      <c r="D375">
        <f>SUMIFS('data (1)'!$M:$M,'data (1)'!$A:$A,XYZ!D$1,'data (1)'!$J:$J,XYZ!$A375)</f>
        <v>0</v>
      </c>
      <c r="E375">
        <f>SUMIFS('data (1)'!$M:$M,'data (1)'!$A:$A,XYZ!E$1,'data (1)'!$J:$J,XYZ!$A375)</f>
        <v>0</v>
      </c>
      <c r="F375">
        <f>SUMIFS('data (1)'!$M:$M,'data (1)'!$A:$A,XYZ!F$1,'data (1)'!$J:$J,XYZ!$A375)</f>
        <v>1</v>
      </c>
      <c r="G375">
        <f>SUMIFS('data (1)'!$M:$M,'data (1)'!$A:$A,XYZ!G$1,'data (1)'!$J:$J,XYZ!$A375)</f>
        <v>0</v>
      </c>
    </row>
    <row r="376" spans="1:7" x14ac:dyDescent="0.15">
      <c r="A376" t="s">
        <v>901</v>
      </c>
      <c r="B376" s="11">
        <f t="shared" si="5"/>
        <v>2.2360679774997894</v>
      </c>
      <c r="C376">
        <f>SUMIFS('data (1)'!$M:$M,'data (1)'!$A:$A,XYZ!C$1,'data (1)'!$J:$J,XYZ!$A376)</f>
        <v>0</v>
      </c>
      <c r="D376">
        <f>SUMIFS('data (1)'!$M:$M,'data (1)'!$A:$A,XYZ!D$1,'data (1)'!$J:$J,XYZ!$A376)</f>
        <v>0</v>
      </c>
      <c r="E376">
        <f>SUMIFS('data (1)'!$M:$M,'data (1)'!$A:$A,XYZ!E$1,'data (1)'!$J:$J,XYZ!$A376)</f>
        <v>1</v>
      </c>
      <c r="F376">
        <f>SUMIFS('data (1)'!$M:$M,'data (1)'!$A:$A,XYZ!F$1,'data (1)'!$J:$J,XYZ!$A376)</f>
        <v>0</v>
      </c>
      <c r="G376">
        <f>SUMIFS('data (1)'!$M:$M,'data (1)'!$A:$A,XYZ!G$1,'data (1)'!$J:$J,XYZ!$A376)</f>
        <v>0</v>
      </c>
    </row>
    <row r="377" spans="1:7" x14ac:dyDescent="0.15">
      <c r="A377" t="s">
        <v>579</v>
      </c>
      <c r="B377" s="11">
        <f t="shared" si="5"/>
        <v>2.2360679774997894</v>
      </c>
      <c r="C377">
        <f>SUMIFS('data (1)'!$M:$M,'data (1)'!$A:$A,XYZ!C$1,'data (1)'!$J:$J,XYZ!$A377)</f>
        <v>0</v>
      </c>
      <c r="D377">
        <f>SUMIFS('data (1)'!$M:$M,'data (1)'!$A:$A,XYZ!D$1,'data (1)'!$J:$J,XYZ!$A377)</f>
        <v>1</v>
      </c>
      <c r="E377">
        <f>SUMIFS('data (1)'!$M:$M,'data (1)'!$A:$A,XYZ!E$1,'data (1)'!$J:$J,XYZ!$A377)</f>
        <v>0</v>
      </c>
      <c r="F377">
        <f>SUMIFS('data (1)'!$M:$M,'data (1)'!$A:$A,XYZ!F$1,'data (1)'!$J:$J,XYZ!$A377)</f>
        <v>0</v>
      </c>
      <c r="G377">
        <f>SUMIFS('data (1)'!$M:$M,'data (1)'!$A:$A,XYZ!G$1,'data (1)'!$J:$J,XYZ!$A377)</f>
        <v>0</v>
      </c>
    </row>
    <row r="378" spans="1:7" x14ac:dyDescent="0.15">
      <c r="A378" t="s">
        <v>371</v>
      </c>
      <c r="B378" s="11">
        <f t="shared" si="5"/>
        <v>2.2360679774997894</v>
      </c>
      <c r="C378">
        <f>SUMIFS('data (1)'!$M:$M,'data (1)'!$A:$A,XYZ!C$1,'data (1)'!$J:$J,XYZ!$A378)</f>
        <v>1</v>
      </c>
      <c r="D378">
        <f>SUMIFS('data (1)'!$M:$M,'data (1)'!$A:$A,XYZ!D$1,'data (1)'!$J:$J,XYZ!$A378)</f>
        <v>0</v>
      </c>
      <c r="E378">
        <f>SUMIFS('data (1)'!$M:$M,'data (1)'!$A:$A,XYZ!E$1,'data (1)'!$J:$J,XYZ!$A378)</f>
        <v>0</v>
      </c>
      <c r="F378">
        <f>SUMIFS('data (1)'!$M:$M,'data (1)'!$A:$A,XYZ!F$1,'data (1)'!$J:$J,XYZ!$A378)</f>
        <v>0</v>
      </c>
      <c r="G378">
        <f>SUMIFS('data (1)'!$M:$M,'data (1)'!$A:$A,XYZ!G$1,'data (1)'!$J:$J,XYZ!$A378)</f>
        <v>0</v>
      </c>
    </row>
    <row r="379" spans="1:7" x14ac:dyDescent="0.15">
      <c r="A379" t="s">
        <v>57</v>
      </c>
      <c r="B379" s="11">
        <f t="shared" si="5"/>
        <v>2.2360679774997894</v>
      </c>
      <c r="C379">
        <f>SUMIFS('data (1)'!$M:$M,'data (1)'!$A:$A,XYZ!C$1,'data (1)'!$J:$J,XYZ!$A379)</f>
        <v>1</v>
      </c>
      <c r="D379">
        <f>SUMIFS('data (1)'!$M:$M,'data (1)'!$A:$A,XYZ!D$1,'data (1)'!$J:$J,XYZ!$A379)</f>
        <v>0</v>
      </c>
      <c r="E379">
        <f>SUMIFS('data (1)'!$M:$M,'data (1)'!$A:$A,XYZ!E$1,'data (1)'!$J:$J,XYZ!$A379)</f>
        <v>0</v>
      </c>
      <c r="F379">
        <f>SUMIFS('data (1)'!$M:$M,'data (1)'!$A:$A,XYZ!F$1,'data (1)'!$J:$J,XYZ!$A379)</f>
        <v>0</v>
      </c>
      <c r="G379">
        <f>SUMIFS('data (1)'!$M:$M,'data (1)'!$A:$A,XYZ!G$1,'data (1)'!$J:$J,XYZ!$A379)</f>
        <v>0</v>
      </c>
    </row>
    <row r="380" spans="1:7" x14ac:dyDescent="0.15">
      <c r="A380" t="s">
        <v>820</v>
      </c>
      <c r="B380" s="11">
        <f t="shared" si="5"/>
        <v>2.2360679774997894</v>
      </c>
      <c r="C380">
        <f>SUMIFS('data (1)'!$M:$M,'data (1)'!$A:$A,XYZ!C$1,'data (1)'!$J:$J,XYZ!$A380)</f>
        <v>0</v>
      </c>
      <c r="D380">
        <f>SUMIFS('data (1)'!$M:$M,'data (1)'!$A:$A,XYZ!D$1,'data (1)'!$J:$J,XYZ!$A380)</f>
        <v>0</v>
      </c>
      <c r="E380">
        <f>SUMIFS('data (1)'!$M:$M,'data (1)'!$A:$A,XYZ!E$1,'data (1)'!$J:$J,XYZ!$A380)</f>
        <v>1</v>
      </c>
      <c r="F380">
        <f>SUMIFS('data (1)'!$M:$M,'data (1)'!$A:$A,XYZ!F$1,'data (1)'!$J:$J,XYZ!$A380)</f>
        <v>0</v>
      </c>
      <c r="G380">
        <f>SUMIFS('data (1)'!$M:$M,'data (1)'!$A:$A,XYZ!G$1,'data (1)'!$J:$J,XYZ!$A380)</f>
        <v>0</v>
      </c>
    </row>
    <row r="381" spans="1:7" x14ac:dyDescent="0.15">
      <c r="A381" t="s">
        <v>716</v>
      </c>
      <c r="B381" s="11">
        <f t="shared" si="5"/>
        <v>2.2360679774997894</v>
      </c>
      <c r="C381">
        <f>SUMIFS('data (1)'!$M:$M,'data (1)'!$A:$A,XYZ!C$1,'data (1)'!$J:$J,XYZ!$A381)</f>
        <v>0</v>
      </c>
      <c r="D381">
        <f>SUMIFS('data (1)'!$M:$M,'data (1)'!$A:$A,XYZ!D$1,'data (1)'!$J:$J,XYZ!$A381)</f>
        <v>0</v>
      </c>
      <c r="E381">
        <f>SUMIFS('data (1)'!$M:$M,'data (1)'!$A:$A,XYZ!E$1,'data (1)'!$J:$J,XYZ!$A381)</f>
        <v>1</v>
      </c>
      <c r="F381">
        <f>SUMIFS('data (1)'!$M:$M,'data (1)'!$A:$A,XYZ!F$1,'data (1)'!$J:$J,XYZ!$A381)</f>
        <v>0</v>
      </c>
      <c r="G381">
        <f>SUMIFS('data (1)'!$M:$M,'data (1)'!$A:$A,XYZ!G$1,'data (1)'!$J:$J,XYZ!$A381)</f>
        <v>0</v>
      </c>
    </row>
    <row r="382" spans="1:7" x14ac:dyDescent="0.15">
      <c r="A382" t="s">
        <v>70</v>
      </c>
      <c r="B382" s="11">
        <f t="shared" si="5"/>
        <v>2.2360679774997894</v>
      </c>
      <c r="C382">
        <f>SUMIFS('data (1)'!$M:$M,'data (1)'!$A:$A,XYZ!C$1,'data (1)'!$J:$J,XYZ!$A382)</f>
        <v>1</v>
      </c>
      <c r="D382">
        <f>SUMIFS('data (1)'!$M:$M,'data (1)'!$A:$A,XYZ!D$1,'data (1)'!$J:$J,XYZ!$A382)</f>
        <v>0</v>
      </c>
      <c r="E382">
        <f>SUMIFS('data (1)'!$M:$M,'data (1)'!$A:$A,XYZ!E$1,'data (1)'!$J:$J,XYZ!$A382)</f>
        <v>0</v>
      </c>
      <c r="F382">
        <f>SUMIFS('data (1)'!$M:$M,'data (1)'!$A:$A,XYZ!F$1,'data (1)'!$J:$J,XYZ!$A382)</f>
        <v>0</v>
      </c>
      <c r="G382">
        <f>SUMIFS('data (1)'!$M:$M,'data (1)'!$A:$A,XYZ!G$1,'data (1)'!$J:$J,XYZ!$A382)</f>
        <v>0</v>
      </c>
    </row>
    <row r="383" spans="1:7" x14ac:dyDescent="0.15">
      <c r="A383" t="s">
        <v>911</v>
      </c>
      <c r="B383" s="11">
        <f t="shared" si="5"/>
        <v>2.2360679774997894</v>
      </c>
      <c r="C383">
        <f>SUMIFS('data (1)'!$M:$M,'data (1)'!$A:$A,XYZ!C$1,'data (1)'!$J:$J,XYZ!$A383)</f>
        <v>0</v>
      </c>
      <c r="D383">
        <f>SUMIFS('data (1)'!$M:$M,'data (1)'!$A:$A,XYZ!D$1,'data (1)'!$J:$J,XYZ!$A383)</f>
        <v>0</v>
      </c>
      <c r="E383">
        <f>SUMIFS('data (1)'!$M:$M,'data (1)'!$A:$A,XYZ!E$1,'data (1)'!$J:$J,XYZ!$A383)</f>
        <v>1</v>
      </c>
      <c r="F383">
        <f>SUMIFS('data (1)'!$M:$M,'data (1)'!$A:$A,XYZ!F$1,'data (1)'!$J:$J,XYZ!$A383)</f>
        <v>0</v>
      </c>
      <c r="G383">
        <f>SUMIFS('data (1)'!$M:$M,'data (1)'!$A:$A,XYZ!G$1,'data (1)'!$J:$J,XYZ!$A383)</f>
        <v>0</v>
      </c>
    </row>
    <row r="384" spans="1:7" x14ac:dyDescent="0.15">
      <c r="A384" t="s">
        <v>1042</v>
      </c>
      <c r="B384" s="11">
        <f t="shared" si="5"/>
        <v>2.2360679774997894</v>
      </c>
      <c r="C384">
        <f>SUMIFS('data (1)'!$M:$M,'data (1)'!$A:$A,XYZ!C$1,'data (1)'!$J:$J,XYZ!$A384)</f>
        <v>0</v>
      </c>
      <c r="D384">
        <f>SUMIFS('data (1)'!$M:$M,'data (1)'!$A:$A,XYZ!D$1,'data (1)'!$J:$J,XYZ!$A384)</f>
        <v>0</v>
      </c>
      <c r="E384">
        <f>SUMIFS('data (1)'!$M:$M,'data (1)'!$A:$A,XYZ!E$1,'data (1)'!$J:$J,XYZ!$A384)</f>
        <v>0</v>
      </c>
      <c r="F384">
        <f>SUMIFS('data (1)'!$M:$M,'data (1)'!$A:$A,XYZ!F$1,'data (1)'!$J:$J,XYZ!$A384)</f>
        <v>1</v>
      </c>
      <c r="G384">
        <f>SUMIFS('data (1)'!$M:$M,'data (1)'!$A:$A,XYZ!G$1,'data (1)'!$J:$J,XYZ!$A384)</f>
        <v>0</v>
      </c>
    </row>
    <row r="385" spans="1:7" x14ac:dyDescent="0.15">
      <c r="A385" t="s">
        <v>372</v>
      </c>
      <c r="B385" s="11">
        <f t="shared" si="5"/>
        <v>2.2360679774997894</v>
      </c>
      <c r="C385">
        <f>SUMIFS('data (1)'!$M:$M,'data (1)'!$A:$A,XYZ!C$1,'data (1)'!$J:$J,XYZ!$A385)</f>
        <v>1</v>
      </c>
      <c r="D385">
        <f>SUMIFS('data (1)'!$M:$M,'data (1)'!$A:$A,XYZ!D$1,'data (1)'!$J:$J,XYZ!$A385)</f>
        <v>0</v>
      </c>
      <c r="E385">
        <f>SUMIFS('data (1)'!$M:$M,'data (1)'!$A:$A,XYZ!E$1,'data (1)'!$J:$J,XYZ!$A385)</f>
        <v>0</v>
      </c>
      <c r="F385">
        <f>SUMIFS('data (1)'!$M:$M,'data (1)'!$A:$A,XYZ!F$1,'data (1)'!$J:$J,XYZ!$A385)</f>
        <v>0</v>
      </c>
      <c r="G385">
        <f>SUMIFS('data (1)'!$M:$M,'data (1)'!$A:$A,XYZ!G$1,'data (1)'!$J:$J,XYZ!$A385)</f>
        <v>0</v>
      </c>
    </row>
    <row r="386" spans="1:7" x14ac:dyDescent="0.15">
      <c r="A386" t="s">
        <v>837</v>
      </c>
      <c r="B386" s="11">
        <f t="shared" si="5"/>
        <v>2.2360679774997894</v>
      </c>
      <c r="C386">
        <f>SUMIFS('data (1)'!$M:$M,'data (1)'!$A:$A,XYZ!C$1,'data (1)'!$J:$J,XYZ!$A386)</f>
        <v>0</v>
      </c>
      <c r="D386">
        <f>SUMIFS('data (1)'!$M:$M,'data (1)'!$A:$A,XYZ!D$1,'data (1)'!$J:$J,XYZ!$A386)</f>
        <v>0</v>
      </c>
      <c r="E386">
        <f>SUMIFS('data (1)'!$M:$M,'data (1)'!$A:$A,XYZ!E$1,'data (1)'!$J:$J,XYZ!$A386)</f>
        <v>1</v>
      </c>
      <c r="F386">
        <f>SUMIFS('data (1)'!$M:$M,'data (1)'!$A:$A,XYZ!F$1,'data (1)'!$J:$J,XYZ!$A386)</f>
        <v>0</v>
      </c>
      <c r="G386">
        <f>SUMIFS('data (1)'!$M:$M,'data (1)'!$A:$A,XYZ!G$1,'data (1)'!$J:$J,XYZ!$A386)</f>
        <v>0</v>
      </c>
    </row>
    <row r="387" spans="1:7" x14ac:dyDescent="0.15">
      <c r="A387" t="s">
        <v>346</v>
      </c>
      <c r="B387" s="11">
        <f t="shared" ref="B387:B450" si="6">_xlfn.STDEV.S(C387:G387)/AVERAGE(C387:G387)</f>
        <v>2.2360679774997894</v>
      </c>
      <c r="C387">
        <f>SUMIFS('data (1)'!$M:$M,'data (1)'!$A:$A,XYZ!C$1,'data (1)'!$J:$J,XYZ!$A387)</f>
        <v>1</v>
      </c>
      <c r="D387">
        <f>SUMIFS('data (1)'!$M:$M,'data (1)'!$A:$A,XYZ!D$1,'data (1)'!$J:$J,XYZ!$A387)</f>
        <v>0</v>
      </c>
      <c r="E387">
        <f>SUMIFS('data (1)'!$M:$M,'data (1)'!$A:$A,XYZ!E$1,'data (1)'!$J:$J,XYZ!$A387)</f>
        <v>0</v>
      </c>
      <c r="F387">
        <f>SUMIFS('data (1)'!$M:$M,'data (1)'!$A:$A,XYZ!F$1,'data (1)'!$J:$J,XYZ!$A387)</f>
        <v>0</v>
      </c>
      <c r="G387">
        <f>SUMIFS('data (1)'!$M:$M,'data (1)'!$A:$A,XYZ!G$1,'data (1)'!$J:$J,XYZ!$A387)</f>
        <v>0</v>
      </c>
    </row>
    <row r="388" spans="1:7" x14ac:dyDescent="0.15">
      <c r="A388" t="s">
        <v>927</v>
      </c>
      <c r="B388" s="11">
        <f t="shared" si="6"/>
        <v>2.2360679774997894</v>
      </c>
      <c r="C388">
        <f>SUMIFS('data (1)'!$M:$M,'data (1)'!$A:$A,XYZ!C$1,'data (1)'!$J:$J,XYZ!$A388)</f>
        <v>0</v>
      </c>
      <c r="D388">
        <f>SUMIFS('data (1)'!$M:$M,'data (1)'!$A:$A,XYZ!D$1,'data (1)'!$J:$J,XYZ!$A388)</f>
        <v>0</v>
      </c>
      <c r="E388">
        <f>SUMIFS('data (1)'!$M:$M,'data (1)'!$A:$A,XYZ!E$1,'data (1)'!$J:$J,XYZ!$A388)</f>
        <v>0</v>
      </c>
      <c r="F388">
        <f>SUMIFS('data (1)'!$M:$M,'data (1)'!$A:$A,XYZ!F$1,'data (1)'!$J:$J,XYZ!$A388)</f>
        <v>1</v>
      </c>
      <c r="G388">
        <f>SUMIFS('data (1)'!$M:$M,'data (1)'!$A:$A,XYZ!G$1,'data (1)'!$J:$J,XYZ!$A388)</f>
        <v>0</v>
      </c>
    </row>
    <row r="389" spans="1:7" x14ac:dyDescent="0.15">
      <c r="A389" t="s">
        <v>1217</v>
      </c>
      <c r="B389" s="11">
        <f t="shared" si="6"/>
        <v>2.2360679774997894</v>
      </c>
      <c r="C389">
        <f>SUMIFS('data (1)'!$M:$M,'data (1)'!$A:$A,XYZ!C$1,'data (1)'!$J:$J,XYZ!$A389)</f>
        <v>0</v>
      </c>
      <c r="D389">
        <f>SUMIFS('data (1)'!$M:$M,'data (1)'!$A:$A,XYZ!D$1,'data (1)'!$J:$J,XYZ!$A389)</f>
        <v>0</v>
      </c>
      <c r="E389">
        <f>SUMIFS('data (1)'!$M:$M,'data (1)'!$A:$A,XYZ!E$1,'data (1)'!$J:$J,XYZ!$A389)</f>
        <v>0</v>
      </c>
      <c r="F389">
        <f>SUMIFS('data (1)'!$M:$M,'data (1)'!$A:$A,XYZ!F$1,'data (1)'!$J:$J,XYZ!$A389)</f>
        <v>0</v>
      </c>
      <c r="G389">
        <f>SUMIFS('data (1)'!$M:$M,'data (1)'!$A:$A,XYZ!G$1,'data (1)'!$J:$J,XYZ!$A389)</f>
        <v>1</v>
      </c>
    </row>
    <row r="390" spans="1:7" x14ac:dyDescent="0.15">
      <c r="A390" t="s">
        <v>314</v>
      </c>
      <c r="B390" s="11">
        <f t="shared" si="6"/>
        <v>2.2360679774997894</v>
      </c>
      <c r="C390">
        <f>SUMIFS('data (1)'!$M:$M,'data (1)'!$A:$A,XYZ!C$1,'data (1)'!$J:$J,XYZ!$A390)</f>
        <v>1</v>
      </c>
      <c r="D390">
        <f>SUMIFS('data (1)'!$M:$M,'data (1)'!$A:$A,XYZ!D$1,'data (1)'!$J:$J,XYZ!$A390)</f>
        <v>0</v>
      </c>
      <c r="E390">
        <f>SUMIFS('data (1)'!$M:$M,'data (1)'!$A:$A,XYZ!E$1,'data (1)'!$J:$J,XYZ!$A390)</f>
        <v>0</v>
      </c>
      <c r="F390">
        <f>SUMIFS('data (1)'!$M:$M,'data (1)'!$A:$A,XYZ!F$1,'data (1)'!$J:$J,XYZ!$A390)</f>
        <v>0</v>
      </c>
      <c r="G390">
        <f>SUMIFS('data (1)'!$M:$M,'data (1)'!$A:$A,XYZ!G$1,'data (1)'!$J:$J,XYZ!$A390)</f>
        <v>0</v>
      </c>
    </row>
    <row r="391" spans="1:7" x14ac:dyDescent="0.15">
      <c r="A391" t="s">
        <v>632</v>
      </c>
      <c r="B391" s="11">
        <f t="shared" si="6"/>
        <v>2.2360679774997894</v>
      </c>
      <c r="C391">
        <f>SUMIFS('data (1)'!$M:$M,'data (1)'!$A:$A,XYZ!C$1,'data (1)'!$J:$J,XYZ!$A391)</f>
        <v>0</v>
      </c>
      <c r="D391">
        <f>SUMIFS('data (1)'!$M:$M,'data (1)'!$A:$A,XYZ!D$1,'data (1)'!$J:$J,XYZ!$A391)</f>
        <v>1</v>
      </c>
      <c r="E391">
        <f>SUMIFS('data (1)'!$M:$M,'data (1)'!$A:$A,XYZ!E$1,'data (1)'!$J:$J,XYZ!$A391)</f>
        <v>0</v>
      </c>
      <c r="F391">
        <f>SUMIFS('data (1)'!$M:$M,'data (1)'!$A:$A,XYZ!F$1,'data (1)'!$J:$J,XYZ!$A391)</f>
        <v>0</v>
      </c>
      <c r="G391">
        <f>SUMIFS('data (1)'!$M:$M,'data (1)'!$A:$A,XYZ!G$1,'data (1)'!$J:$J,XYZ!$A391)</f>
        <v>0</v>
      </c>
    </row>
    <row r="392" spans="1:7" x14ac:dyDescent="0.15">
      <c r="A392" t="s">
        <v>751</v>
      </c>
      <c r="B392" s="11">
        <f t="shared" si="6"/>
        <v>2.2360679774997894</v>
      </c>
      <c r="C392">
        <f>SUMIFS('data (1)'!$M:$M,'data (1)'!$A:$A,XYZ!C$1,'data (1)'!$J:$J,XYZ!$A392)</f>
        <v>0</v>
      </c>
      <c r="D392">
        <f>SUMIFS('data (1)'!$M:$M,'data (1)'!$A:$A,XYZ!D$1,'data (1)'!$J:$J,XYZ!$A392)</f>
        <v>0</v>
      </c>
      <c r="E392">
        <f>SUMIFS('data (1)'!$M:$M,'data (1)'!$A:$A,XYZ!E$1,'data (1)'!$J:$J,XYZ!$A392)</f>
        <v>1</v>
      </c>
      <c r="F392">
        <f>SUMIFS('data (1)'!$M:$M,'data (1)'!$A:$A,XYZ!F$1,'data (1)'!$J:$J,XYZ!$A392)</f>
        <v>0</v>
      </c>
      <c r="G392">
        <f>SUMIFS('data (1)'!$M:$M,'data (1)'!$A:$A,XYZ!G$1,'data (1)'!$J:$J,XYZ!$A392)</f>
        <v>0</v>
      </c>
    </row>
    <row r="393" spans="1:7" x14ac:dyDescent="0.15">
      <c r="A393" t="s">
        <v>1180</v>
      </c>
      <c r="B393" s="11">
        <f t="shared" si="6"/>
        <v>2.2360679774997894</v>
      </c>
      <c r="C393">
        <f>SUMIFS('data (1)'!$M:$M,'data (1)'!$A:$A,XYZ!C$1,'data (1)'!$J:$J,XYZ!$A393)</f>
        <v>0</v>
      </c>
      <c r="D393">
        <f>SUMIFS('data (1)'!$M:$M,'data (1)'!$A:$A,XYZ!D$1,'data (1)'!$J:$J,XYZ!$A393)</f>
        <v>0</v>
      </c>
      <c r="E393">
        <f>SUMIFS('data (1)'!$M:$M,'data (1)'!$A:$A,XYZ!E$1,'data (1)'!$J:$J,XYZ!$A393)</f>
        <v>0</v>
      </c>
      <c r="F393">
        <f>SUMIFS('data (1)'!$M:$M,'data (1)'!$A:$A,XYZ!F$1,'data (1)'!$J:$J,XYZ!$A393)</f>
        <v>0</v>
      </c>
      <c r="G393">
        <f>SUMIFS('data (1)'!$M:$M,'data (1)'!$A:$A,XYZ!G$1,'data (1)'!$J:$J,XYZ!$A393)</f>
        <v>1</v>
      </c>
    </row>
    <row r="394" spans="1:7" x14ac:dyDescent="0.15">
      <c r="A394" t="s">
        <v>1054</v>
      </c>
      <c r="B394" s="11">
        <f t="shared" si="6"/>
        <v>2.2360679774997894</v>
      </c>
      <c r="C394">
        <f>SUMIFS('data (1)'!$M:$M,'data (1)'!$A:$A,XYZ!C$1,'data (1)'!$J:$J,XYZ!$A394)</f>
        <v>0</v>
      </c>
      <c r="D394">
        <f>SUMIFS('data (1)'!$M:$M,'data (1)'!$A:$A,XYZ!D$1,'data (1)'!$J:$J,XYZ!$A394)</f>
        <v>0</v>
      </c>
      <c r="E394">
        <f>SUMIFS('data (1)'!$M:$M,'data (1)'!$A:$A,XYZ!E$1,'data (1)'!$J:$J,XYZ!$A394)</f>
        <v>0</v>
      </c>
      <c r="F394">
        <f>SUMIFS('data (1)'!$M:$M,'data (1)'!$A:$A,XYZ!F$1,'data (1)'!$J:$J,XYZ!$A394)</f>
        <v>1</v>
      </c>
      <c r="G394">
        <f>SUMIFS('data (1)'!$M:$M,'data (1)'!$A:$A,XYZ!G$1,'data (1)'!$J:$J,XYZ!$A394)</f>
        <v>0</v>
      </c>
    </row>
    <row r="395" spans="1:7" x14ac:dyDescent="0.15">
      <c r="A395" t="s">
        <v>1189</v>
      </c>
      <c r="B395" s="11">
        <f t="shared" si="6"/>
        <v>2.2360679774997894</v>
      </c>
      <c r="C395">
        <f>SUMIFS('data (1)'!$M:$M,'data (1)'!$A:$A,XYZ!C$1,'data (1)'!$J:$J,XYZ!$A395)</f>
        <v>0</v>
      </c>
      <c r="D395">
        <f>SUMIFS('data (1)'!$M:$M,'data (1)'!$A:$A,XYZ!D$1,'data (1)'!$J:$J,XYZ!$A395)</f>
        <v>0</v>
      </c>
      <c r="E395">
        <f>SUMIFS('data (1)'!$M:$M,'data (1)'!$A:$A,XYZ!E$1,'data (1)'!$J:$J,XYZ!$A395)</f>
        <v>0</v>
      </c>
      <c r="F395">
        <f>SUMIFS('data (1)'!$M:$M,'data (1)'!$A:$A,XYZ!F$1,'data (1)'!$J:$J,XYZ!$A395)</f>
        <v>0</v>
      </c>
      <c r="G395">
        <f>SUMIFS('data (1)'!$M:$M,'data (1)'!$A:$A,XYZ!G$1,'data (1)'!$J:$J,XYZ!$A395)</f>
        <v>1</v>
      </c>
    </row>
    <row r="396" spans="1:7" x14ac:dyDescent="0.15">
      <c r="A396" t="s">
        <v>1173</v>
      </c>
      <c r="B396" s="11">
        <f t="shared" si="6"/>
        <v>2.2360679774997894</v>
      </c>
      <c r="C396">
        <f>SUMIFS('data (1)'!$M:$M,'data (1)'!$A:$A,XYZ!C$1,'data (1)'!$J:$J,XYZ!$A396)</f>
        <v>0</v>
      </c>
      <c r="D396">
        <f>SUMIFS('data (1)'!$M:$M,'data (1)'!$A:$A,XYZ!D$1,'data (1)'!$J:$J,XYZ!$A396)</f>
        <v>0</v>
      </c>
      <c r="E396">
        <f>SUMIFS('data (1)'!$M:$M,'data (1)'!$A:$A,XYZ!E$1,'data (1)'!$J:$J,XYZ!$A396)</f>
        <v>0</v>
      </c>
      <c r="F396">
        <f>SUMIFS('data (1)'!$M:$M,'data (1)'!$A:$A,XYZ!F$1,'data (1)'!$J:$J,XYZ!$A396)</f>
        <v>0</v>
      </c>
      <c r="G396">
        <f>SUMIFS('data (1)'!$M:$M,'data (1)'!$A:$A,XYZ!G$1,'data (1)'!$J:$J,XYZ!$A396)</f>
        <v>1</v>
      </c>
    </row>
    <row r="397" spans="1:7" x14ac:dyDescent="0.15">
      <c r="A397" t="s">
        <v>1203</v>
      </c>
      <c r="B397" s="11">
        <f t="shared" si="6"/>
        <v>2.2360679774997894</v>
      </c>
      <c r="C397">
        <f>SUMIFS('data (1)'!$M:$M,'data (1)'!$A:$A,XYZ!C$1,'data (1)'!$J:$J,XYZ!$A397)</f>
        <v>0</v>
      </c>
      <c r="D397">
        <f>SUMIFS('data (1)'!$M:$M,'data (1)'!$A:$A,XYZ!D$1,'data (1)'!$J:$J,XYZ!$A397)</f>
        <v>0</v>
      </c>
      <c r="E397">
        <f>SUMIFS('data (1)'!$M:$M,'data (1)'!$A:$A,XYZ!E$1,'data (1)'!$J:$J,XYZ!$A397)</f>
        <v>0</v>
      </c>
      <c r="F397">
        <f>SUMIFS('data (1)'!$M:$M,'data (1)'!$A:$A,XYZ!F$1,'data (1)'!$J:$J,XYZ!$A397)</f>
        <v>0</v>
      </c>
      <c r="G397">
        <f>SUMIFS('data (1)'!$M:$M,'data (1)'!$A:$A,XYZ!G$1,'data (1)'!$J:$J,XYZ!$A397)</f>
        <v>1</v>
      </c>
    </row>
    <row r="398" spans="1:7" x14ac:dyDescent="0.15">
      <c r="A398" t="s">
        <v>499</v>
      </c>
      <c r="B398" s="11">
        <f t="shared" si="6"/>
        <v>2.2360679774997894</v>
      </c>
      <c r="C398">
        <f>SUMIFS('data (1)'!$M:$M,'data (1)'!$A:$A,XYZ!C$1,'data (1)'!$J:$J,XYZ!$A398)</f>
        <v>0</v>
      </c>
      <c r="D398">
        <f>SUMIFS('data (1)'!$M:$M,'data (1)'!$A:$A,XYZ!D$1,'data (1)'!$J:$J,XYZ!$A398)</f>
        <v>1</v>
      </c>
      <c r="E398">
        <f>SUMIFS('data (1)'!$M:$M,'data (1)'!$A:$A,XYZ!E$1,'data (1)'!$J:$J,XYZ!$A398)</f>
        <v>0</v>
      </c>
      <c r="F398">
        <f>SUMIFS('data (1)'!$M:$M,'data (1)'!$A:$A,XYZ!F$1,'data (1)'!$J:$J,XYZ!$A398)</f>
        <v>0</v>
      </c>
      <c r="G398">
        <f>SUMIFS('data (1)'!$M:$M,'data (1)'!$A:$A,XYZ!G$1,'data (1)'!$J:$J,XYZ!$A398)</f>
        <v>0</v>
      </c>
    </row>
    <row r="399" spans="1:7" x14ac:dyDescent="0.15">
      <c r="A399" t="s">
        <v>925</v>
      </c>
      <c r="B399" s="11">
        <f t="shared" si="6"/>
        <v>2.2360679774997894</v>
      </c>
      <c r="C399">
        <f>SUMIFS('data (1)'!$M:$M,'data (1)'!$A:$A,XYZ!C$1,'data (1)'!$J:$J,XYZ!$A399)</f>
        <v>0</v>
      </c>
      <c r="D399">
        <f>SUMIFS('data (1)'!$M:$M,'data (1)'!$A:$A,XYZ!D$1,'data (1)'!$J:$J,XYZ!$A399)</f>
        <v>0</v>
      </c>
      <c r="E399">
        <f>SUMIFS('data (1)'!$M:$M,'data (1)'!$A:$A,XYZ!E$1,'data (1)'!$J:$J,XYZ!$A399)</f>
        <v>1</v>
      </c>
      <c r="F399">
        <f>SUMIFS('data (1)'!$M:$M,'data (1)'!$A:$A,XYZ!F$1,'data (1)'!$J:$J,XYZ!$A399)</f>
        <v>0</v>
      </c>
      <c r="G399">
        <f>SUMIFS('data (1)'!$M:$M,'data (1)'!$A:$A,XYZ!G$1,'data (1)'!$J:$J,XYZ!$A399)</f>
        <v>0</v>
      </c>
    </row>
    <row r="400" spans="1:7" x14ac:dyDescent="0.15">
      <c r="A400" t="s">
        <v>1030</v>
      </c>
      <c r="B400" s="11">
        <f t="shared" si="6"/>
        <v>2.2360679774997894</v>
      </c>
      <c r="C400">
        <f>SUMIFS('data (1)'!$M:$M,'data (1)'!$A:$A,XYZ!C$1,'data (1)'!$J:$J,XYZ!$A400)</f>
        <v>0</v>
      </c>
      <c r="D400">
        <f>SUMIFS('data (1)'!$M:$M,'data (1)'!$A:$A,XYZ!D$1,'data (1)'!$J:$J,XYZ!$A400)</f>
        <v>0</v>
      </c>
      <c r="E400">
        <f>SUMIFS('data (1)'!$M:$M,'data (1)'!$A:$A,XYZ!E$1,'data (1)'!$J:$J,XYZ!$A400)</f>
        <v>0</v>
      </c>
      <c r="F400">
        <f>SUMIFS('data (1)'!$M:$M,'data (1)'!$A:$A,XYZ!F$1,'data (1)'!$J:$J,XYZ!$A400)</f>
        <v>1</v>
      </c>
      <c r="G400">
        <f>SUMIFS('data (1)'!$M:$M,'data (1)'!$A:$A,XYZ!G$1,'data (1)'!$J:$J,XYZ!$A400)</f>
        <v>0</v>
      </c>
    </row>
    <row r="401" spans="1:7" x14ac:dyDescent="0.15">
      <c r="A401" t="s">
        <v>747</v>
      </c>
      <c r="B401" s="11">
        <f t="shared" si="6"/>
        <v>2.2360679774997894</v>
      </c>
      <c r="C401">
        <f>SUMIFS('data (1)'!$M:$M,'data (1)'!$A:$A,XYZ!C$1,'data (1)'!$J:$J,XYZ!$A401)</f>
        <v>0</v>
      </c>
      <c r="D401">
        <f>SUMIFS('data (1)'!$M:$M,'data (1)'!$A:$A,XYZ!D$1,'data (1)'!$J:$J,XYZ!$A401)</f>
        <v>0</v>
      </c>
      <c r="E401">
        <f>SUMIFS('data (1)'!$M:$M,'data (1)'!$A:$A,XYZ!E$1,'data (1)'!$J:$J,XYZ!$A401)</f>
        <v>1</v>
      </c>
      <c r="F401">
        <f>SUMIFS('data (1)'!$M:$M,'data (1)'!$A:$A,XYZ!F$1,'data (1)'!$J:$J,XYZ!$A401)</f>
        <v>0</v>
      </c>
      <c r="G401">
        <f>SUMIFS('data (1)'!$M:$M,'data (1)'!$A:$A,XYZ!G$1,'data (1)'!$J:$J,XYZ!$A401)</f>
        <v>0</v>
      </c>
    </row>
    <row r="402" spans="1:7" x14ac:dyDescent="0.15">
      <c r="A402" t="s">
        <v>1209</v>
      </c>
      <c r="B402" s="11">
        <f t="shared" si="6"/>
        <v>2.2360679774997894</v>
      </c>
      <c r="C402">
        <f>SUMIFS('data (1)'!$M:$M,'data (1)'!$A:$A,XYZ!C$1,'data (1)'!$J:$J,XYZ!$A402)</f>
        <v>0</v>
      </c>
      <c r="D402">
        <f>SUMIFS('data (1)'!$M:$M,'data (1)'!$A:$A,XYZ!D$1,'data (1)'!$J:$J,XYZ!$A402)</f>
        <v>0</v>
      </c>
      <c r="E402">
        <f>SUMIFS('data (1)'!$M:$M,'data (1)'!$A:$A,XYZ!E$1,'data (1)'!$J:$J,XYZ!$A402)</f>
        <v>0</v>
      </c>
      <c r="F402">
        <f>SUMIFS('data (1)'!$M:$M,'data (1)'!$A:$A,XYZ!F$1,'data (1)'!$J:$J,XYZ!$A402)</f>
        <v>0</v>
      </c>
      <c r="G402">
        <f>SUMIFS('data (1)'!$M:$M,'data (1)'!$A:$A,XYZ!G$1,'data (1)'!$J:$J,XYZ!$A402)</f>
        <v>1</v>
      </c>
    </row>
    <row r="403" spans="1:7" x14ac:dyDescent="0.15">
      <c r="A403" t="s">
        <v>838</v>
      </c>
      <c r="B403" s="11">
        <f t="shared" si="6"/>
        <v>2.2360679774997894</v>
      </c>
      <c r="C403">
        <f>SUMIFS('data (1)'!$M:$M,'data (1)'!$A:$A,XYZ!C$1,'data (1)'!$J:$J,XYZ!$A403)</f>
        <v>0</v>
      </c>
      <c r="D403">
        <f>SUMIFS('data (1)'!$M:$M,'data (1)'!$A:$A,XYZ!D$1,'data (1)'!$J:$J,XYZ!$A403)</f>
        <v>0</v>
      </c>
      <c r="E403">
        <f>SUMIFS('data (1)'!$M:$M,'data (1)'!$A:$A,XYZ!E$1,'data (1)'!$J:$J,XYZ!$A403)</f>
        <v>1</v>
      </c>
      <c r="F403">
        <f>SUMIFS('data (1)'!$M:$M,'data (1)'!$A:$A,XYZ!F$1,'data (1)'!$J:$J,XYZ!$A403)</f>
        <v>0</v>
      </c>
      <c r="G403">
        <f>SUMIFS('data (1)'!$M:$M,'data (1)'!$A:$A,XYZ!G$1,'data (1)'!$J:$J,XYZ!$A403)</f>
        <v>0</v>
      </c>
    </row>
    <row r="404" spans="1:7" x14ac:dyDescent="0.15">
      <c r="A404" t="s">
        <v>1187</v>
      </c>
      <c r="B404" s="11">
        <f t="shared" si="6"/>
        <v>2.2360679774997894</v>
      </c>
      <c r="C404">
        <f>SUMIFS('data (1)'!$M:$M,'data (1)'!$A:$A,XYZ!C$1,'data (1)'!$J:$J,XYZ!$A404)</f>
        <v>0</v>
      </c>
      <c r="D404">
        <f>SUMIFS('data (1)'!$M:$M,'data (1)'!$A:$A,XYZ!D$1,'data (1)'!$J:$J,XYZ!$A404)</f>
        <v>0</v>
      </c>
      <c r="E404">
        <f>SUMIFS('data (1)'!$M:$M,'data (1)'!$A:$A,XYZ!E$1,'data (1)'!$J:$J,XYZ!$A404)</f>
        <v>0</v>
      </c>
      <c r="F404">
        <f>SUMIFS('data (1)'!$M:$M,'data (1)'!$A:$A,XYZ!F$1,'data (1)'!$J:$J,XYZ!$A404)</f>
        <v>0</v>
      </c>
      <c r="G404">
        <f>SUMIFS('data (1)'!$M:$M,'data (1)'!$A:$A,XYZ!G$1,'data (1)'!$J:$J,XYZ!$A404)</f>
        <v>1</v>
      </c>
    </row>
    <row r="405" spans="1:7" x14ac:dyDescent="0.15">
      <c r="A405" t="s">
        <v>790</v>
      </c>
      <c r="B405" s="11">
        <f t="shared" si="6"/>
        <v>2.2360679774997894</v>
      </c>
      <c r="C405">
        <f>SUMIFS('data (1)'!$M:$M,'data (1)'!$A:$A,XYZ!C$1,'data (1)'!$J:$J,XYZ!$A405)</f>
        <v>0</v>
      </c>
      <c r="D405">
        <f>SUMIFS('data (1)'!$M:$M,'data (1)'!$A:$A,XYZ!D$1,'data (1)'!$J:$J,XYZ!$A405)</f>
        <v>0</v>
      </c>
      <c r="E405">
        <f>SUMIFS('data (1)'!$M:$M,'data (1)'!$A:$A,XYZ!E$1,'data (1)'!$J:$J,XYZ!$A405)</f>
        <v>1</v>
      </c>
      <c r="F405">
        <f>SUMIFS('data (1)'!$M:$M,'data (1)'!$A:$A,XYZ!F$1,'data (1)'!$J:$J,XYZ!$A405)</f>
        <v>0</v>
      </c>
      <c r="G405">
        <f>SUMIFS('data (1)'!$M:$M,'data (1)'!$A:$A,XYZ!G$1,'data (1)'!$J:$J,XYZ!$A405)</f>
        <v>0</v>
      </c>
    </row>
    <row r="406" spans="1:7" x14ac:dyDescent="0.15">
      <c r="A406" t="s">
        <v>245</v>
      </c>
      <c r="B406" s="11">
        <f t="shared" si="6"/>
        <v>2.2360679774997894</v>
      </c>
      <c r="C406">
        <f>SUMIFS('data (1)'!$M:$M,'data (1)'!$A:$A,XYZ!C$1,'data (1)'!$J:$J,XYZ!$A406)</f>
        <v>1</v>
      </c>
      <c r="D406">
        <f>SUMIFS('data (1)'!$M:$M,'data (1)'!$A:$A,XYZ!D$1,'data (1)'!$J:$J,XYZ!$A406)</f>
        <v>0</v>
      </c>
      <c r="E406">
        <f>SUMIFS('data (1)'!$M:$M,'data (1)'!$A:$A,XYZ!E$1,'data (1)'!$J:$J,XYZ!$A406)</f>
        <v>0</v>
      </c>
      <c r="F406">
        <f>SUMIFS('data (1)'!$M:$M,'data (1)'!$A:$A,XYZ!F$1,'data (1)'!$J:$J,XYZ!$A406)</f>
        <v>0</v>
      </c>
      <c r="G406">
        <f>SUMIFS('data (1)'!$M:$M,'data (1)'!$A:$A,XYZ!G$1,'data (1)'!$J:$J,XYZ!$A406)</f>
        <v>0</v>
      </c>
    </row>
    <row r="407" spans="1:7" x14ac:dyDescent="0.15">
      <c r="A407" t="s">
        <v>351</v>
      </c>
      <c r="B407" s="11">
        <f t="shared" si="6"/>
        <v>2.2360679774997894</v>
      </c>
      <c r="C407">
        <f>SUMIFS('data (1)'!$M:$M,'data (1)'!$A:$A,XYZ!C$1,'data (1)'!$J:$J,XYZ!$A407)</f>
        <v>1</v>
      </c>
      <c r="D407">
        <f>SUMIFS('data (1)'!$M:$M,'data (1)'!$A:$A,XYZ!D$1,'data (1)'!$J:$J,XYZ!$A407)</f>
        <v>0</v>
      </c>
      <c r="E407">
        <f>SUMIFS('data (1)'!$M:$M,'data (1)'!$A:$A,XYZ!E$1,'data (1)'!$J:$J,XYZ!$A407)</f>
        <v>0</v>
      </c>
      <c r="F407">
        <f>SUMIFS('data (1)'!$M:$M,'data (1)'!$A:$A,XYZ!F$1,'data (1)'!$J:$J,XYZ!$A407)</f>
        <v>0</v>
      </c>
      <c r="G407">
        <f>SUMIFS('data (1)'!$M:$M,'data (1)'!$A:$A,XYZ!G$1,'data (1)'!$J:$J,XYZ!$A407)</f>
        <v>0</v>
      </c>
    </row>
    <row r="408" spans="1:7" x14ac:dyDescent="0.15">
      <c r="A408" t="s">
        <v>240</v>
      </c>
      <c r="B408" s="11">
        <f t="shared" si="6"/>
        <v>2.2360679774997894</v>
      </c>
      <c r="C408">
        <f>SUMIFS('data (1)'!$M:$M,'data (1)'!$A:$A,XYZ!C$1,'data (1)'!$J:$J,XYZ!$A408)</f>
        <v>1</v>
      </c>
      <c r="D408">
        <f>SUMIFS('data (1)'!$M:$M,'data (1)'!$A:$A,XYZ!D$1,'data (1)'!$J:$J,XYZ!$A408)</f>
        <v>0</v>
      </c>
      <c r="E408">
        <f>SUMIFS('data (1)'!$M:$M,'data (1)'!$A:$A,XYZ!E$1,'data (1)'!$J:$J,XYZ!$A408)</f>
        <v>0</v>
      </c>
      <c r="F408">
        <f>SUMIFS('data (1)'!$M:$M,'data (1)'!$A:$A,XYZ!F$1,'data (1)'!$J:$J,XYZ!$A408)</f>
        <v>0</v>
      </c>
      <c r="G408">
        <f>SUMIFS('data (1)'!$M:$M,'data (1)'!$A:$A,XYZ!G$1,'data (1)'!$J:$J,XYZ!$A408)</f>
        <v>0</v>
      </c>
    </row>
    <row r="409" spans="1:7" x14ac:dyDescent="0.15">
      <c r="A409" t="s">
        <v>907</v>
      </c>
      <c r="B409" s="11">
        <f t="shared" si="6"/>
        <v>2.2360679774997894</v>
      </c>
      <c r="C409">
        <f>SUMIFS('data (1)'!$M:$M,'data (1)'!$A:$A,XYZ!C$1,'data (1)'!$J:$J,XYZ!$A409)</f>
        <v>0</v>
      </c>
      <c r="D409">
        <f>SUMIFS('data (1)'!$M:$M,'data (1)'!$A:$A,XYZ!D$1,'data (1)'!$J:$J,XYZ!$A409)</f>
        <v>0</v>
      </c>
      <c r="E409">
        <f>SUMIFS('data (1)'!$M:$M,'data (1)'!$A:$A,XYZ!E$1,'data (1)'!$J:$J,XYZ!$A409)</f>
        <v>1</v>
      </c>
      <c r="F409">
        <f>SUMIFS('data (1)'!$M:$M,'data (1)'!$A:$A,XYZ!F$1,'data (1)'!$J:$J,XYZ!$A409)</f>
        <v>0</v>
      </c>
      <c r="G409">
        <f>SUMIFS('data (1)'!$M:$M,'data (1)'!$A:$A,XYZ!G$1,'data (1)'!$J:$J,XYZ!$A409)</f>
        <v>0</v>
      </c>
    </row>
    <row r="410" spans="1:7" x14ac:dyDescent="0.15">
      <c r="A410" t="s">
        <v>1016</v>
      </c>
      <c r="B410" s="11">
        <f t="shared" si="6"/>
        <v>2.2360679774997894</v>
      </c>
      <c r="C410">
        <f>SUMIFS('data (1)'!$M:$M,'data (1)'!$A:$A,XYZ!C$1,'data (1)'!$J:$J,XYZ!$A410)</f>
        <v>0</v>
      </c>
      <c r="D410">
        <f>SUMIFS('data (1)'!$M:$M,'data (1)'!$A:$A,XYZ!D$1,'data (1)'!$J:$J,XYZ!$A410)</f>
        <v>0</v>
      </c>
      <c r="E410">
        <f>SUMIFS('data (1)'!$M:$M,'data (1)'!$A:$A,XYZ!E$1,'data (1)'!$J:$J,XYZ!$A410)</f>
        <v>0</v>
      </c>
      <c r="F410">
        <f>SUMIFS('data (1)'!$M:$M,'data (1)'!$A:$A,XYZ!F$1,'data (1)'!$J:$J,XYZ!$A410)</f>
        <v>1</v>
      </c>
      <c r="G410">
        <f>SUMIFS('data (1)'!$M:$M,'data (1)'!$A:$A,XYZ!G$1,'data (1)'!$J:$J,XYZ!$A410)</f>
        <v>0</v>
      </c>
    </row>
    <row r="411" spans="1:7" x14ac:dyDescent="0.15">
      <c r="A411" t="s">
        <v>527</v>
      </c>
      <c r="B411" s="11">
        <f t="shared" si="6"/>
        <v>2.2360679774997894</v>
      </c>
      <c r="C411">
        <f>SUMIFS('data (1)'!$M:$M,'data (1)'!$A:$A,XYZ!C$1,'data (1)'!$J:$J,XYZ!$A411)</f>
        <v>0</v>
      </c>
      <c r="D411">
        <f>SUMIFS('data (1)'!$M:$M,'data (1)'!$A:$A,XYZ!D$1,'data (1)'!$J:$J,XYZ!$A411)</f>
        <v>1</v>
      </c>
      <c r="E411">
        <f>SUMIFS('data (1)'!$M:$M,'data (1)'!$A:$A,XYZ!E$1,'data (1)'!$J:$J,XYZ!$A411)</f>
        <v>0</v>
      </c>
      <c r="F411">
        <f>SUMIFS('data (1)'!$M:$M,'data (1)'!$A:$A,XYZ!F$1,'data (1)'!$J:$J,XYZ!$A411)</f>
        <v>0</v>
      </c>
      <c r="G411">
        <f>SUMIFS('data (1)'!$M:$M,'data (1)'!$A:$A,XYZ!G$1,'data (1)'!$J:$J,XYZ!$A411)</f>
        <v>0</v>
      </c>
    </row>
    <row r="412" spans="1:7" x14ac:dyDescent="0.15">
      <c r="A412" t="s">
        <v>906</v>
      </c>
      <c r="B412" s="11">
        <f t="shared" si="6"/>
        <v>2.2360679774997894</v>
      </c>
      <c r="C412">
        <f>SUMIFS('data (1)'!$M:$M,'data (1)'!$A:$A,XYZ!C$1,'data (1)'!$J:$J,XYZ!$A412)</f>
        <v>0</v>
      </c>
      <c r="D412">
        <f>SUMIFS('data (1)'!$M:$M,'data (1)'!$A:$A,XYZ!D$1,'data (1)'!$J:$J,XYZ!$A412)</f>
        <v>0</v>
      </c>
      <c r="E412">
        <f>SUMIFS('data (1)'!$M:$M,'data (1)'!$A:$A,XYZ!E$1,'data (1)'!$J:$J,XYZ!$A412)</f>
        <v>1</v>
      </c>
      <c r="F412">
        <f>SUMIFS('data (1)'!$M:$M,'data (1)'!$A:$A,XYZ!F$1,'data (1)'!$J:$J,XYZ!$A412)</f>
        <v>0</v>
      </c>
      <c r="G412">
        <f>SUMIFS('data (1)'!$M:$M,'data (1)'!$A:$A,XYZ!G$1,'data (1)'!$J:$J,XYZ!$A412)</f>
        <v>0</v>
      </c>
    </row>
    <row r="413" spans="1:7" x14ac:dyDescent="0.15">
      <c r="A413" t="s">
        <v>760</v>
      </c>
      <c r="B413" s="11">
        <f t="shared" si="6"/>
        <v>2.2360679774997894</v>
      </c>
      <c r="C413">
        <f>SUMIFS('data (1)'!$M:$M,'data (1)'!$A:$A,XYZ!C$1,'data (1)'!$J:$J,XYZ!$A413)</f>
        <v>0</v>
      </c>
      <c r="D413">
        <f>SUMIFS('data (1)'!$M:$M,'data (1)'!$A:$A,XYZ!D$1,'data (1)'!$J:$J,XYZ!$A413)</f>
        <v>0</v>
      </c>
      <c r="E413">
        <f>SUMIFS('data (1)'!$M:$M,'data (1)'!$A:$A,XYZ!E$1,'data (1)'!$J:$J,XYZ!$A413)</f>
        <v>1</v>
      </c>
      <c r="F413">
        <f>SUMIFS('data (1)'!$M:$M,'data (1)'!$A:$A,XYZ!F$1,'data (1)'!$J:$J,XYZ!$A413)</f>
        <v>0</v>
      </c>
      <c r="G413">
        <f>SUMIFS('data (1)'!$M:$M,'data (1)'!$A:$A,XYZ!G$1,'data (1)'!$J:$J,XYZ!$A413)</f>
        <v>0</v>
      </c>
    </row>
    <row r="414" spans="1:7" x14ac:dyDescent="0.15">
      <c r="A414" t="s">
        <v>630</v>
      </c>
      <c r="B414" s="11">
        <f t="shared" si="6"/>
        <v>2.2360679774997894</v>
      </c>
      <c r="C414">
        <f>SUMIFS('data (1)'!$M:$M,'data (1)'!$A:$A,XYZ!C$1,'data (1)'!$J:$J,XYZ!$A414)</f>
        <v>0</v>
      </c>
      <c r="D414">
        <f>SUMIFS('data (1)'!$M:$M,'data (1)'!$A:$A,XYZ!D$1,'data (1)'!$J:$J,XYZ!$A414)</f>
        <v>1</v>
      </c>
      <c r="E414">
        <f>SUMIFS('data (1)'!$M:$M,'data (1)'!$A:$A,XYZ!E$1,'data (1)'!$J:$J,XYZ!$A414)</f>
        <v>0</v>
      </c>
      <c r="F414">
        <f>SUMIFS('data (1)'!$M:$M,'data (1)'!$A:$A,XYZ!F$1,'data (1)'!$J:$J,XYZ!$A414)</f>
        <v>0</v>
      </c>
      <c r="G414">
        <f>SUMIFS('data (1)'!$M:$M,'data (1)'!$A:$A,XYZ!G$1,'data (1)'!$J:$J,XYZ!$A414)</f>
        <v>0</v>
      </c>
    </row>
    <row r="415" spans="1:7" x14ac:dyDescent="0.15">
      <c r="A415" t="s">
        <v>1147</v>
      </c>
      <c r="B415" s="11">
        <f t="shared" si="6"/>
        <v>2.2360679774997894</v>
      </c>
      <c r="C415">
        <f>SUMIFS('data (1)'!$M:$M,'data (1)'!$A:$A,XYZ!C$1,'data (1)'!$J:$J,XYZ!$A415)</f>
        <v>0</v>
      </c>
      <c r="D415">
        <f>SUMIFS('data (1)'!$M:$M,'data (1)'!$A:$A,XYZ!D$1,'data (1)'!$J:$J,XYZ!$A415)</f>
        <v>0</v>
      </c>
      <c r="E415">
        <f>SUMIFS('data (1)'!$M:$M,'data (1)'!$A:$A,XYZ!E$1,'data (1)'!$J:$J,XYZ!$A415)</f>
        <v>0</v>
      </c>
      <c r="F415">
        <f>SUMIFS('data (1)'!$M:$M,'data (1)'!$A:$A,XYZ!F$1,'data (1)'!$J:$J,XYZ!$A415)</f>
        <v>0</v>
      </c>
      <c r="G415">
        <f>SUMIFS('data (1)'!$M:$M,'data (1)'!$A:$A,XYZ!G$1,'data (1)'!$J:$J,XYZ!$A415)</f>
        <v>1</v>
      </c>
    </row>
    <row r="416" spans="1:7" x14ac:dyDescent="0.15">
      <c r="A416" t="s">
        <v>298</v>
      </c>
      <c r="B416" s="11">
        <f t="shared" si="6"/>
        <v>2.2360679774997894</v>
      </c>
      <c r="C416">
        <f>SUMIFS('data (1)'!$M:$M,'data (1)'!$A:$A,XYZ!C$1,'data (1)'!$J:$J,XYZ!$A416)</f>
        <v>1</v>
      </c>
      <c r="D416">
        <f>SUMIFS('data (1)'!$M:$M,'data (1)'!$A:$A,XYZ!D$1,'data (1)'!$J:$J,XYZ!$A416)</f>
        <v>0</v>
      </c>
      <c r="E416">
        <f>SUMIFS('data (1)'!$M:$M,'data (1)'!$A:$A,XYZ!E$1,'data (1)'!$J:$J,XYZ!$A416)</f>
        <v>0</v>
      </c>
      <c r="F416">
        <f>SUMIFS('data (1)'!$M:$M,'data (1)'!$A:$A,XYZ!F$1,'data (1)'!$J:$J,XYZ!$A416)</f>
        <v>0</v>
      </c>
      <c r="G416">
        <f>SUMIFS('data (1)'!$M:$M,'data (1)'!$A:$A,XYZ!G$1,'data (1)'!$J:$J,XYZ!$A416)</f>
        <v>0</v>
      </c>
    </row>
    <row r="417" spans="1:7" x14ac:dyDescent="0.15">
      <c r="A417" t="s">
        <v>1050</v>
      </c>
      <c r="B417" s="11">
        <f t="shared" si="6"/>
        <v>2.2360679774997894</v>
      </c>
      <c r="C417">
        <f>SUMIFS('data (1)'!$M:$M,'data (1)'!$A:$A,XYZ!C$1,'data (1)'!$J:$J,XYZ!$A417)</f>
        <v>0</v>
      </c>
      <c r="D417">
        <f>SUMIFS('data (1)'!$M:$M,'data (1)'!$A:$A,XYZ!D$1,'data (1)'!$J:$J,XYZ!$A417)</f>
        <v>0</v>
      </c>
      <c r="E417">
        <f>SUMIFS('data (1)'!$M:$M,'data (1)'!$A:$A,XYZ!E$1,'data (1)'!$J:$J,XYZ!$A417)</f>
        <v>0</v>
      </c>
      <c r="F417">
        <f>SUMIFS('data (1)'!$M:$M,'data (1)'!$A:$A,XYZ!F$1,'data (1)'!$J:$J,XYZ!$A417)</f>
        <v>1</v>
      </c>
      <c r="G417">
        <f>SUMIFS('data (1)'!$M:$M,'data (1)'!$A:$A,XYZ!G$1,'data (1)'!$J:$J,XYZ!$A417)</f>
        <v>0</v>
      </c>
    </row>
    <row r="418" spans="1:7" x14ac:dyDescent="0.15">
      <c r="A418" t="s">
        <v>523</v>
      </c>
      <c r="B418" s="11">
        <f t="shared" si="6"/>
        <v>2.2360679774997894</v>
      </c>
      <c r="C418">
        <f>SUMIFS('data (1)'!$M:$M,'data (1)'!$A:$A,XYZ!C$1,'data (1)'!$J:$J,XYZ!$A418)</f>
        <v>0</v>
      </c>
      <c r="D418">
        <f>SUMIFS('data (1)'!$M:$M,'data (1)'!$A:$A,XYZ!D$1,'data (1)'!$J:$J,XYZ!$A418)</f>
        <v>1</v>
      </c>
      <c r="E418">
        <f>SUMIFS('data (1)'!$M:$M,'data (1)'!$A:$A,XYZ!E$1,'data (1)'!$J:$J,XYZ!$A418)</f>
        <v>0</v>
      </c>
      <c r="F418">
        <f>SUMIFS('data (1)'!$M:$M,'data (1)'!$A:$A,XYZ!F$1,'data (1)'!$J:$J,XYZ!$A418)</f>
        <v>0</v>
      </c>
      <c r="G418">
        <f>SUMIFS('data (1)'!$M:$M,'data (1)'!$A:$A,XYZ!G$1,'data (1)'!$J:$J,XYZ!$A418)</f>
        <v>0</v>
      </c>
    </row>
    <row r="419" spans="1:7" x14ac:dyDescent="0.15">
      <c r="A419" t="s">
        <v>601</v>
      </c>
      <c r="B419" s="11">
        <f t="shared" si="6"/>
        <v>2.2360679774997894</v>
      </c>
      <c r="C419">
        <f>SUMIFS('data (1)'!$M:$M,'data (1)'!$A:$A,XYZ!C$1,'data (1)'!$J:$J,XYZ!$A419)</f>
        <v>0</v>
      </c>
      <c r="D419">
        <f>SUMIFS('data (1)'!$M:$M,'data (1)'!$A:$A,XYZ!D$1,'data (1)'!$J:$J,XYZ!$A419)</f>
        <v>1</v>
      </c>
      <c r="E419">
        <f>SUMIFS('data (1)'!$M:$M,'data (1)'!$A:$A,XYZ!E$1,'data (1)'!$J:$J,XYZ!$A419)</f>
        <v>0</v>
      </c>
      <c r="F419">
        <f>SUMIFS('data (1)'!$M:$M,'data (1)'!$A:$A,XYZ!F$1,'data (1)'!$J:$J,XYZ!$A419)</f>
        <v>0</v>
      </c>
      <c r="G419">
        <f>SUMIFS('data (1)'!$M:$M,'data (1)'!$A:$A,XYZ!G$1,'data (1)'!$J:$J,XYZ!$A419)</f>
        <v>0</v>
      </c>
    </row>
    <row r="420" spans="1:7" x14ac:dyDescent="0.15">
      <c r="A420" t="s">
        <v>1057</v>
      </c>
      <c r="B420" s="11">
        <f t="shared" si="6"/>
        <v>2.2360679774997894</v>
      </c>
      <c r="C420">
        <f>SUMIFS('data (1)'!$M:$M,'data (1)'!$A:$A,XYZ!C$1,'data (1)'!$J:$J,XYZ!$A420)</f>
        <v>0</v>
      </c>
      <c r="D420">
        <f>SUMIFS('data (1)'!$M:$M,'data (1)'!$A:$A,XYZ!D$1,'data (1)'!$J:$J,XYZ!$A420)</f>
        <v>0</v>
      </c>
      <c r="E420">
        <f>SUMIFS('data (1)'!$M:$M,'data (1)'!$A:$A,XYZ!E$1,'data (1)'!$J:$J,XYZ!$A420)</f>
        <v>0</v>
      </c>
      <c r="F420">
        <f>SUMIFS('data (1)'!$M:$M,'data (1)'!$A:$A,XYZ!F$1,'data (1)'!$J:$J,XYZ!$A420)</f>
        <v>1</v>
      </c>
      <c r="G420">
        <f>SUMIFS('data (1)'!$M:$M,'data (1)'!$A:$A,XYZ!G$1,'data (1)'!$J:$J,XYZ!$A420)</f>
        <v>0</v>
      </c>
    </row>
    <row r="421" spans="1:7" x14ac:dyDescent="0.15">
      <c r="A421" t="s">
        <v>772</v>
      </c>
      <c r="B421" s="11">
        <f t="shared" si="6"/>
        <v>2.2360679774997894</v>
      </c>
      <c r="C421">
        <f>SUMIFS('data (1)'!$M:$M,'data (1)'!$A:$A,XYZ!C$1,'data (1)'!$J:$J,XYZ!$A421)</f>
        <v>0</v>
      </c>
      <c r="D421">
        <f>SUMIFS('data (1)'!$M:$M,'data (1)'!$A:$A,XYZ!D$1,'data (1)'!$J:$J,XYZ!$A421)</f>
        <v>0</v>
      </c>
      <c r="E421">
        <f>SUMIFS('data (1)'!$M:$M,'data (1)'!$A:$A,XYZ!E$1,'data (1)'!$J:$J,XYZ!$A421)</f>
        <v>1</v>
      </c>
      <c r="F421">
        <f>SUMIFS('data (1)'!$M:$M,'data (1)'!$A:$A,XYZ!F$1,'data (1)'!$J:$J,XYZ!$A421)</f>
        <v>0</v>
      </c>
      <c r="G421">
        <f>SUMIFS('data (1)'!$M:$M,'data (1)'!$A:$A,XYZ!G$1,'data (1)'!$J:$J,XYZ!$A421)</f>
        <v>0</v>
      </c>
    </row>
    <row r="422" spans="1:7" x14ac:dyDescent="0.15">
      <c r="A422" t="s">
        <v>1148</v>
      </c>
      <c r="B422" s="11">
        <f t="shared" si="6"/>
        <v>2.2360679774997894</v>
      </c>
      <c r="C422">
        <f>SUMIFS('data (1)'!$M:$M,'data (1)'!$A:$A,XYZ!C$1,'data (1)'!$J:$J,XYZ!$A422)</f>
        <v>0</v>
      </c>
      <c r="D422">
        <f>SUMIFS('data (1)'!$M:$M,'data (1)'!$A:$A,XYZ!D$1,'data (1)'!$J:$J,XYZ!$A422)</f>
        <v>0</v>
      </c>
      <c r="E422">
        <f>SUMIFS('data (1)'!$M:$M,'data (1)'!$A:$A,XYZ!E$1,'data (1)'!$J:$J,XYZ!$A422)</f>
        <v>0</v>
      </c>
      <c r="F422">
        <f>SUMIFS('data (1)'!$M:$M,'data (1)'!$A:$A,XYZ!F$1,'data (1)'!$J:$J,XYZ!$A422)</f>
        <v>0</v>
      </c>
      <c r="G422">
        <f>SUMIFS('data (1)'!$M:$M,'data (1)'!$A:$A,XYZ!G$1,'data (1)'!$J:$J,XYZ!$A422)</f>
        <v>1</v>
      </c>
    </row>
    <row r="423" spans="1:7" x14ac:dyDescent="0.15">
      <c r="A423" t="s">
        <v>1164</v>
      </c>
      <c r="B423" s="11">
        <f t="shared" si="6"/>
        <v>2.2360679774997894</v>
      </c>
      <c r="C423">
        <f>SUMIFS('data (1)'!$M:$M,'data (1)'!$A:$A,XYZ!C$1,'data (1)'!$J:$J,XYZ!$A423)</f>
        <v>0</v>
      </c>
      <c r="D423">
        <f>SUMIFS('data (1)'!$M:$M,'data (1)'!$A:$A,XYZ!D$1,'data (1)'!$J:$J,XYZ!$A423)</f>
        <v>0</v>
      </c>
      <c r="E423">
        <f>SUMIFS('data (1)'!$M:$M,'data (1)'!$A:$A,XYZ!E$1,'data (1)'!$J:$J,XYZ!$A423)</f>
        <v>0</v>
      </c>
      <c r="F423">
        <f>SUMIFS('data (1)'!$M:$M,'data (1)'!$A:$A,XYZ!F$1,'data (1)'!$J:$J,XYZ!$A423)</f>
        <v>0</v>
      </c>
      <c r="G423">
        <f>SUMIFS('data (1)'!$M:$M,'data (1)'!$A:$A,XYZ!G$1,'data (1)'!$J:$J,XYZ!$A423)</f>
        <v>1</v>
      </c>
    </row>
    <row r="424" spans="1:7" x14ac:dyDescent="0.15">
      <c r="A424" t="s">
        <v>1023</v>
      </c>
      <c r="B424" s="11">
        <f t="shared" si="6"/>
        <v>2.2360679774997894</v>
      </c>
      <c r="C424">
        <f>SUMIFS('data (1)'!$M:$M,'data (1)'!$A:$A,XYZ!C$1,'data (1)'!$J:$J,XYZ!$A424)</f>
        <v>0</v>
      </c>
      <c r="D424">
        <f>SUMIFS('data (1)'!$M:$M,'data (1)'!$A:$A,XYZ!D$1,'data (1)'!$J:$J,XYZ!$A424)</f>
        <v>0</v>
      </c>
      <c r="E424">
        <f>SUMIFS('data (1)'!$M:$M,'data (1)'!$A:$A,XYZ!E$1,'data (1)'!$J:$J,XYZ!$A424)</f>
        <v>0</v>
      </c>
      <c r="F424">
        <f>SUMIFS('data (1)'!$M:$M,'data (1)'!$A:$A,XYZ!F$1,'data (1)'!$J:$J,XYZ!$A424)</f>
        <v>1</v>
      </c>
      <c r="G424">
        <f>SUMIFS('data (1)'!$M:$M,'data (1)'!$A:$A,XYZ!G$1,'data (1)'!$J:$J,XYZ!$A424)</f>
        <v>0</v>
      </c>
    </row>
    <row r="425" spans="1:7" x14ac:dyDescent="0.15">
      <c r="A425" t="s">
        <v>856</v>
      </c>
      <c r="B425" s="11">
        <f t="shared" si="6"/>
        <v>2.2360679774997894</v>
      </c>
      <c r="C425">
        <f>SUMIFS('data (1)'!$M:$M,'data (1)'!$A:$A,XYZ!C$1,'data (1)'!$J:$J,XYZ!$A425)</f>
        <v>0</v>
      </c>
      <c r="D425">
        <f>SUMIFS('data (1)'!$M:$M,'data (1)'!$A:$A,XYZ!D$1,'data (1)'!$J:$J,XYZ!$A425)</f>
        <v>0</v>
      </c>
      <c r="E425">
        <f>SUMIFS('data (1)'!$M:$M,'data (1)'!$A:$A,XYZ!E$1,'data (1)'!$J:$J,XYZ!$A425)</f>
        <v>1</v>
      </c>
      <c r="F425">
        <f>SUMIFS('data (1)'!$M:$M,'data (1)'!$A:$A,XYZ!F$1,'data (1)'!$J:$J,XYZ!$A425)</f>
        <v>0</v>
      </c>
      <c r="G425">
        <f>SUMIFS('data (1)'!$M:$M,'data (1)'!$A:$A,XYZ!G$1,'data (1)'!$J:$J,XYZ!$A425)</f>
        <v>0</v>
      </c>
    </row>
    <row r="426" spans="1:7" x14ac:dyDescent="0.15">
      <c r="A426" t="s">
        <v>655</v>
      </c>
      <c r="B426" s="11">
        <f t="shared" si="6"/>
        <v>2.2360679774997894</v>
      </c>
      <c r="C426">
        <f>SUMIFS('data (1)'!$M:$M,'data (1)'!$A:$A,XYZ!C$1,'data (1)'!$J:$J,XYZ!$A426)</f>
        <v>0</v>
      </c>
      <c r="D426">
        <f>SUMIFS('data (1)'!$M:$M,'data (1)'!$A:$A,XYZ!D$1,'data (1)'!$J:$J,XYZ!$A426)</f>
        <v>1</v>
      </c>
      <c r="E426">
        <f>SUMIFS('data (1)'!$M:$M,'data (1)'!$A:$A,XYZ!E$1,'data (1)'!$J:$J,XYZ!$A426)</f>
        <v>0</v>
      </c>
      <c r="F426">
        <f>SUMIFS('data (1)'!$M:$M,'data (1)'!$A:$A,XYZ!F$1,'data (1)'!$J:$J,XYZ!$A426)</f>
        <v>0</v>
      </c>
      <c r="G426">
        <f>SUMIFS('data (1)'!$M:$M,'data (1)'!$A:$A,XYZ!G$1,'data (1)'!$J:$J,XYZ!$A426)</f>
        <v>0</v>
      </c>
    </row>
    <row r="427" spans="1:7" x14ac:dyDescent="0.15">
      <c r="A427" t="s">
        <v>1128</v>
      </c>
      <c r="B427" s="11">
        <f t="shared" si="6"/>
        <v>2.2360679774997894</v>
      </c>
      <c r="C427">
        <f>SUMIFS('data (1)'!$M:$M,'data (1)'!$A:$A,XYZ!C$1,'data (1)'!$J:$J,XYZ!$A427)</f>
        <v>0</v>
      </c>
      <c r="D427">
        <f>SUMIFS('data (1)'!$M:$M,'data (1)'!$A:$A,XYZ!D$1,'data (1)'!$J:$J,XYZ!$A427)</f>
        <v>0</v>
      </c>
      <c r="E427">
        <f>SUMIFS('data (1)'!$M:$M,'data (1)'!$A:$A,XYZ!E$1,'data (1)'!$J:$J,XYZ!$A427)</f>
        <v>0</v>
      </c>
      <c r="F427">
        <f>SUMIFS('data (1)'!$M:$M,'data (1)'!$A:$A,XYZ!F$1,'data (1)'!$J:$J,XYZ!$A427)</f>
        <v>0</v>
      </c>
      <c r="G427">
        <f>SUMIFS('data (1)'!$M:$M,'data (1)'!$A:$A,XYZ!G$1,'data (1)'!$J:$J,XYZ!$A427)</f>
        <v>1</v>
      </c>
    </row>
    <row r="428" spans="1:7" x14ac:dyDescent="0.15">
      <c r="A428" t="s">
        <v>102</v>
      </c>
      <c r="B428" s="11">
        <f t="shared" si="6"/>
        <v>2.2360679774997894</v>
      </c>
      <c r="C428">
        <f>SUMIFS('data (1)'!$M:$M,'data (1)'!$A:$A,XYZ!C$1,'data (1)'!$J:$J,XYZ!$A428)</f>
        <v>1</v>
      </c>
      <c r="D428">
        <f>SUMIFS('data (1)'!$M:$M,'data (1)'!$A:$A,XYZ!D$1,'data (1)'!$J:$J,XYZ!$A428)</f>
        <v>0</v>
      </c>
      <c r="E428">
        <f>SUMIFS('data (1)'!$M:$M,'data (1)'!$A:$A,XYZ!E$1,'data (1)'!$J:$J,XYZ!$A428)</f>
        <v>0</v>
      </c>
      <c r="F428">
        <f>SUMIFS('data (1)'!$M:$M,'data (1)'!$A:$A,XYZ!F$1,'data (1)'!$J:$J,XYZ!$A428)</f>
        <v>0</v>
      </c>
      <c r="G428">
        <f>SUMIFS('data (1)'!$M:$M,'data (1)'!$A:$A,XYZ!G$1,'data (1)'!$J:$J,XYZ!$A428)</f>
        <v>0</v>
      </c>
    </row>
    <row r="429" spans="1:7" x14ac:dyDescent="0.15">
      <c r="A429" t="s">
        <v>1198</v>
      </c>
      <c r="B429" s="11">
        <f t="shared" si="6"/>
        <v>2.2360679774997894</v>
      </c>
      <c r="C429">
        <f>SUMIFS('data (1)'!$M:$M,'data (1)'!$A:$A,XYZ!C$1,'data (1)'!$J:$J,XYZ!$A429)</f>
        <v>0</v>
      </c>
      <c r="D429">
        <f>SUMIFS('data (1)'!$M:$M,'data (1)'!$A:$A,XYZ!D$1,'data (1)'!$J:$J,XYZ!$A429)</f>
        <v>0</v>
      </c>
      <c r="E429">
        <f>SUMIFS('data (1)'!$M:$M,'data (1)'!$A:$A,XYZ!E$1,'data (1)'!$J:$J,XYZ!$A429)</f>
        <v>0</v>
      </c>
      <c r="F429">
        <f>SUMIFS('data (1)'!$M:$M,'data (1)'!$A:$A,XYZ!F$1,'data (1)'!$J:$J,XYZ!$A429)</f>
        <v>0</v>
      </c>
      <c r="G429">
        <f>SUMIFS('data (1)'!$M:$M,'data (1)'!$A:$A,XYZ!G$1,'data (1)'!$J:$J,XYZ!$A429)</f>
        <v>1</v>
      </c>
    </row>
    <row r="430" spans="1:7" x14ac:dyDescent="0.15">
      <c r="A430" t="s">
        <v>178</v>
      </c>
      <c r="B430" s="11">
        <f t="shared" si="6"/>
        <v>2.2360679774997894</v>
      </c>
      <c r="C430">
        <f>SUMIFS('data (1)'!$M:$M,'data (1)'!$A:$A,XYZ!C$1,'data (1)'!$J:$J,XYZ!$A430)</f>
        <v>1</v>
      </c>
      <c r="D430">
        <f>SUMIFS('data (1)'!$M:$M,'data (1)'!$A:$A,XYZ!D$1,'data (1)'!$J:$J,XYZ!$A430)</f>
        <v>0</v>
      </c>
      <c r="E430">
        <f>SUMIFS('data (1)'!$M:$M,'data (1)'!$A:$A,XYZ!E$1,'data (1)'!$J:$J,XYZ!$A430)</f>
        <v>0</v>
      </c>
      <c r="F430">
        <f>SUMIFS('data (1)'!$M:$M,'data (1)'!$A:$A,XYZ!F$1,'data (1)'!$J:$J,XYZ!$A430)</f>
        <v>0</v>
      </c>
      <c r="G430">
        <f>SUMIFS('data (1)'!$M:$M,'data (1)'!$A:$A,XYZ!G$1,'data (1)'!$J:$J,XYZ!$A430)</f>
        <v>0</v>
      </c>
    </row>
    <row r="431" spans="1:7" x14ac:dyDescent="0.15">
      <c r="A431" t="s">
        <v>409</v>
      </c>
      <c r="B431" s="11">
        <f t="shared" si="6"/>
        <v>2.2360679774997894</v>
      </c>
      <c r="C431">
        <f>SUMIFS('data (1)'!$M:$M,'data (1)'!$A:$A,XYZ!C$1,'data (1)'!$J:$J,XYZ!$A431)</f>
        <v>1</v>
      </c>
      <c r="D431">
        <f>SUMIFS('data (1)'!$M:$M,'data (1)'!$A:$A,XYZ!D$1,'data (1)'!$J:$J,XYZ!$A431)</f>
        <v>0</v>
      </c>
      <c r="E431">
        <f>SUMIFS('data (1)'!$M:$M,'data (1)'!$A:$A,XYZ!E$1,'data (1)'!$J:$J,XYZ!$A431)</f>
        <v>0</v>
      </c>
      <c r="F431">
        <f>SUMIFS('data (1)'!$M:$M,'data (1)'!$A:$A,XYZ!F$1,'data (1)'!$J:$J,XYZ!$A431)</f>
        <v>0</v>
      </c>
      <c r="G431">
        <f>SUMIFS('data (1)'!$M:$M,'data (1)'!$A:$A,XYZ!G$1,'data (1)'!$J:$J,XYZ!$A431)</f>
        <v>0</v>
      </c>
    </row>
    <row r="432" spans="1:7" x14ac:dyDescent="0.15">
      <c r="A432" t="s">
        <v>467</v>
      </c>
      <c r="B432" s="11">
        <f t="shared" si="6"/>
        <v>2.2360679774997894</v>
      </c>
      <c r="C432">
        <f>SUMIFS('data (1)'!$M:$M,'data (1)'!$A:$A,XYZ!C$1,'data (1)'!$J:$J,XYZ!$A432)</f>
        <v>1</v>
      </c>
      <c r="D432">
        <f>SUMIFS('data (1)'!$M:$M,'data (1)'!$A:$A,XYZ!D$1,'data (1)'!$J:$J,XYZ!$A432)</f>
        <v>0</v>
      </c>
      <c r="E432">
        <f>SUMIFS('data (1)'!$M:$M,'data (1)'!$A:$A,XYZ!E$1,'data (1)'!$J:$J,XYZ!$A432)</f>
        <v>0</v>
      </c>
      <c r="F432">
        <f>SUMIFS('data (1)'!$M:$M,'data (1)'!$A:$A,XYZ!F$1,'data (1)'!$J:$J,XYZ!$A432)</f>
        <v>0</v>
      </c>
      <c r="G432">
        <f>SUMIFS('data (1)'!$M:$M,'data (1)'!$A:$A,XYZ!G$1,'data (1)'!$J:$J,XYZ!$A432)</f>
        <v>0</v>
      </c>
    </row>
    <row r="433" spans="1:7" x14ac:dyDescent="0.15">
      <c r="A433" t="s">
        <v>278</v>
      </c>
      <c r="B433" s="11">
        <f t="shared" si="6"/>
        <v>2.2360679774997894</v>
      </c>
      <c r="C433">
        <f>SUMIFS('data (1)'!$M:$M,'data (1)'!$A:$A,XYZ!C$1,'data (1)'!$J:$J,XYZ!$A433)</f>
        <v>1</v>
      </c>
      <c r="D433">
        <f>SUMIFS('data (1)'!$M:$M,'data (1)'!$A:$A,XYZ!D$1,'data (1)'!$J:$J,XYZ!$A433)</f>
        <v>0</v>
      </c>
      <c r="E433">
        <f>SUMIFS('data (1)'!$M:$M,'data (1)'!$A:$A,XYZ!E$1,'data (1)'!$J:$J,XYZ!$A433)</f>
        <v>0</v>
      </c>
      <c r="F433">
        <f>SUMIFS('data (1)'!$M:$M,'data (1)'!$A:$A,XYZ!F$1,'data (1)'!$J:$J,XYZ!$A433)</f>
        <v>0</v>
      </c>
      <c r="G433">
        <f>SUMIFS('data (1)'!$M:$M,'data (1)'!$A:$A,XYZ!G$1,'data (1)'!$J:$J,XYZ!$A433)</f>
        <v>0</v>
      </c>
    </row>
    <row r="434" spans="1:7" x14ac:dyDescent="0.15">
      <c r="A434" t="s">
        <v>816</v>
      </c>
      <c r="B434" s="11">
        <f t="shared" si="6"/>
        <v>2.2360679774997894</v>
      </c>
      <c r="C434">
        <f>SUMIFS('data (1)'!$M:$M,'data (1)'!$A:$A,XYZ!C$1,'data (1)'!$J:$J,XYZ!$A434)</f>
        <v>0</v>
      </c>
      <c r="D434">
        <f>SUMIFS('data (1)'!$M:$M,'data (1)'!$A:$A,XYZ!D$1,'data (1)'!$J:$J,XYZ!$A434)</f>
        <v>0</v>
      </c>
      <c r="E434">
        <f>SUMIFS('data (1)'!$M:$M,'data (1)'!$A:$A,XYZ!E$1,'data (1)'!$J:$J,XYZ!$A434)</f>
        <v>1</v>
      </c>
      <c r="F434">
        <f>SUMIFS('data (1)'!$M:$M,'data (1)'!$A:$A,XYZ!F$1,'data (1)'!$J:$J,XYZ!$A434)</f>
        <v>0</v>
      </c>
      <c r="G434">
        <f>SUMIFS('data (1)'!$M:$M,'data (1)'!$A:$A,XYZ!G$1,'data (1)'!$J:$J,XYZ!$A434)</f>
        <v>0</v>
      </c>
    </row>
    <row r="435" spans="1:7" x14ac:dyDescent="0.15">
      <c r="A435" t="s">
        <v>608</v>
      </c>
      <c r="B435" s="11">
        <f t="shared" si="6"/>
        <v>2.2360679774997894</v>
      </c>
      <c r="C435">
        <f>SUMIFS('data (1)'!$M:$M,'data (1)'!$A:$A,XYZ!C$1,'data (1)'!$J:$J,XYZ!$A435)</f>
        <v>0</v>
      </c>
      <c r="D435">
        <f>SUMIFS('data (1)'!$M:$M,'data (1)'!$A:$A,XYZ!D$1,'data (1)'!$J:$J,XYZ!$A435)</f>
        <v>1</v>
      </c>
      <c r="E435">
        <f>SUMIFS('data (1)'!$M:$M,'data (1)'!$A:$A,XYZ!E$1,'data (1)'!$J:$J,XYZ!$A435)</f>
        <v>0</v>
      </c>
      <c r="F435">
        <f>SUMIFS('data (1)'!$M:$M,'data (1)'!$A:$A,XYZ!F$1,'data (1)'!$J:$J,XYZ!$A435)</f>
        <v>0</v>
      </c>
      <c r="G435">
        <f>SUMIFS('data (1)'!$M:$M,'data (1)'!$A:$A,XYZ!G$1,'data (1)'!$J:$J,XYZ!$A435)</f>
        <v>0</v>
      </c>
    </row>
    <row r="436" spans="1:7" x14ac:dyDescent="0.15">
      <c r="A436" t="s">
        <v>478</v>
      </c>
      <c r="B436" s="11">
        <f t="shared" si="6"/>
        <v>2.2360679774997894</v>
      </c>
      <c r="C436">
        <f>SUMIFS('data (1)'!$M:$M,'data (1)'!$A:$A,XYZ!C$1,'data (1)'!$J:$J,XYZ!$A436)</f>
        <v>0</v>
      </c>
      <c r="D436">
        <f>SUMIFS('data (1)'!$M:$M,'data (1)'!$A:$A,XYZ!D$1,'data (1)'!$J:$J,XYZ!$A436)</f>
        <v>1</v>
      </c>
      <c r="E436">
        <f>SUMIFS('data (1)'!$M:$M,'data (1)'!$A:$A,XYZ!E$1,'data (1)'!$J:$J,XYZ!$A436)</f>
        <v>0</v>
      </c>
      <c r="F436">
        <f>SUMIFS('data (1)'!$M:$M,'data (1)'!$A:$A,XYZ!F$1,'data (1)'!$J:$J,XYZ!$A436)</f>
        <v>0</v>
      </c>
      <c r="G436">
        <f>SUMIFS('data (1)'!$M:$M,'data (1)'!$A:$A,XYZ!G$1,'data (1)'!$J:$J,XYZ!$A436)</f>
        <v>0</v>
      </c>
    </row>
    <row r="437" spans="1:7" x14ac:dyDescent="0.15">
      <c r="A437" t="s">
        <v>134</v>
      </c>
      <c r="B437" s="11">
        <f t="shared" si="6"/>
        <v>2.2360679774997894</v>
      </c>
      <c r="C437">
        <f>SUMIFS('data (1)'!$M:$M,'data (1)'!$A:$A,XYZ!C$1,'data (1)'!$J:$J,XYZ!$A437)</f>
        <v>1</v>
      </c>
      <c r="D437">
        <f>SUMIFS('data (1)'!$M:$M,'data (1)'!$A:$A,XYZ!D$1,'data (1)'!$J:$J,XYZ!$A437)</f>
        <v>0</v>
      </c>
      <c r="E437">
        <f>SUMIFS('data (1)'!$M:$M,'data (1)'!$A:$A,XYZ!E$1,'data (1)'!$J:$J,XYZ!$A437)</f>
        <v>0</v>
      </c>
      <c r="F437">
        <f>SUMIFS('data (1)'!$M:$M,'data (1)'!$A:$A,XYZ!F$1,'data (1)'!$J:$J,XYZ!$A437)</f>
        <v>0</v>
      </c>
      <c r="G437">
        <f>SUMIFS('data (1)'!$M:$M,'data (1)'!$A:$A,XYZ!G$1,'data (1)'!$J:$J,XYZ!$A437)</f>
        <v>0</v>
      </c>
    </row>
    <row r="438" spans="1:7" x14ac:dyDescent="0.15">
      <c r="A438" t="s">
        <v>1051</v>
      </c>
      <c r="B438" s="11">
        <f t="shared" si="6"/>
        <v>2.2360679774997894</v>
      </c>
      <c r="C438">
        <f>SUMIFS('data (1)'!$M:$M,'data (1)'!$A:$A,XYZ!C$1,'data (1)'!$J:$J,XYZ!$A438)</f>
        <v>0</v>
      </c>
      <c r="D438">
        <f>SUMIFS('data (1)'!$M:$M,'data (1)'!$A:$A,XYZ!D$1,'data (1)'!$J:$J,XYZ!$A438)</f>
        <v>0</v>
      </c>
      <c r="E438">
        <f>SUMIFS('data (1)'!$M:$M,'data (1)'!$A:$A,XYZ!E$1,'data (1)'!$J:$J,XYZ!$A438)</f>
        <v>0</v>
      </c>
      <c r="F438">
        <f>SUMIFS('data (1)'!$M:$M,'data (1)'!$A:$A,XYZ!F$1,'data (1)'!$J:$J,XYZ!$A438)</f>
        <v>1</v>
      </c>
      <c r="G438">
        <f>SUMIFS('data (1)'!$M:$M,'data (1)'!$A:$A,XYZ!G$1,'data (1)'!$J:$J,XYZ!$A438)</f>
        <v>0</v>
      </c>
    </row>
    <row r="439" spans="1:7" x14ac:dyDescent="0.15">
      <c r="A439" t="s">
        <v>648</v>
      </c>
      <c r="B439" s="11">
        <f t="shared" si="6"/>
        <v>2.2360679774997894</v>
      </c>
      <c r="C439">
        <f>SUMIFS('data (1)'!$M:$M,'data (1)'!$A:$A,XYZ!C$1,'data (1)'!$J:$J,XYZ!$A439)</f>
        <v>0</v>
      </c>
      <c r="D439">
        <f>SUMIFS('data (1)'!$M:$M,'data (1)'!$A:$A,XYZ!D$1,'data (1)'!$J:$J,XYZ!$A439)</f>
        <v>1</v>
      </c>
      <c r="E439">
        <f>SUMIFS('data (1)'!$M:$M,'data (1)'!$A:$A,XYZ!E$1,'data (1)'!$J:$J,XYZ!$A439)</f>
        <v>0</v>
      </c>
      <c r="F439">
        <f>SUMIFS('data (1)'!$M:$M,'data (1)'!$A:$A,XYZ!F$1,'data (1)'!$J:$J,XYZ!$A439)</f>
        <v>0</v>
      </c>
      <c r="G439">
        <f>SUMIFS('data (1)'!$M:$M,'data (1)'!$A:$A,XYZ!G$1,'data (1)'!$J:$J,XYZ!$A439)</f>
        <v>0</v>
      </c>
    </row>
    <row r="440" spans="1:7" x14ac:dyDescent="0.15">
      <c r="A440" t="s">
        <v>473</v>
      </c>
      <c r="B440" s="11">
        <f t="shared" si="6"/>
        <v>2.2360679774997894</v>
      </c>
      <c r="C440">
        <f>SUMIFS('data (1)'!$M:$M,'data (1)'!$A:$A,XYZ!C$1,'data (1)'!$J:$J,XYZ!$A440)</f>
        <v>1</v>
      </c>
      <c r="D440">
        <f>SUMIFS('data (1)'!$M:$M,'data (1)'!$A:$A,XYZ!D$1,'data (1)'!$J:$J,XYZ!$A440)</f>
        <v>0</v>
      </c>
      <c r="E440">
        <f>SUMIFS('data (1)'!$M:$M,'data (1)'!$A:$A,XYZ!E$1,'data (1)'!$J:$J,XYZ!$A440)</f>
        <v>0</v>
      </c>
      <c r="F440">
        <f>SUMIFS('data (1)'!$M:$M,'data (1)'!$A:$A,XYZ!F$1,'data (1)'!$J:$J,XYZ!$A440)</f>
        <v>0</v>
      </c>
      <c r="G440">
        <f>SUMIFS('data (1)'!$M:$M,'data (1)'!$A:$A,XYZ!G$1,'data (1)'!$J:$J,XYZ!$A440)</f>
        <v>0</v>
      </c>
    </row>
    <row r="441" spans="1:7" x14ac:dyDescent="0.15">
      <c r="A441" t="s">
        <v>420</v>
      </c>
      <c r="B441" s="11">
        <f t="shared" si="6"/>
        <v>2.2360679774997894</v>
      </c>
      <c r="C441">
        <f>SUMIFS('data (1)'!$M:$M,'data (1)'!$A:$A,XYZ!C$1,'data (1)'!$J:$J,XYZ!$A441)</f>
        <v>1</v>
      </c>
      <c r="D441">
        <f>SUMIFS('data (1)'!$M:$M,'data (1)'!$A:$A,XYZ!D$1,'data (1)'!$J:$J,XYZ!$A441)</f>
        <v>0</v>
      </c>
      <c r="E441">
        <f>SUMIFS('data (1)'!$M:$M,'data (1)'!$A:$A,XYZ!E$1,'data (1)'!$J:$J,XYZ!$A441)</f>
        <v>0</v>
      </c>
      <c r="F441">
        <f>SUMIFS('data (1)'!$M:$M,'data (1)'!$A:$A,XYZ!F$1,'data (1)'!$J:$J,XYZ!$A441)</f>
        <v>0</v>
      </c>
      <c r="G441">
        <f>SUMIFS('data (1)'!$M:$M,'data (1)'!$A:$A,XYZ!G$1,'data (1)'!$J:$J,XYZ!$A441)</f>
        <v>0</v>
      </c>
    </row>
    <row r="442" spans="1:7" x14ac:dyDescent="0.15">
      <c r="A442" t="s">
        <v>1067</v>
      </c>
      <c r="B442" s="11">
        <f t="shared" si="6"/>
        <v>2.2360679774997894</v>
      </c>
      <c r="C442">
        <f>SUMIFS('data (1)'!$M:$M,'data (1)'!$A:$A,XYZ!C$1,'data (1)'!$J:$J,XYZ!$A442)</f>
        <v>0</v>
      </c>
      <c r="D442">
        <f>SUMIFS('data (1)'!$M:$M,'data (1)'!$A:$A,XYZ!D$1,'data (1)'!$J:$J,XYZ!$A442)</f>
        <v>0</v>
      </c>
      <c r="E442">
        <f>SUMIFS('data (1)'!$M:$M,'data (1)'!$A:$A,XYZ!E$1,'data (1)'!$J:$J,XYZ!$A442)</f>
        <v>0</v>
      </c>
      <c r="F442">
        <f>SUMIFS('data (1)'!$M:$M,'data (1)'!$A:$A,XYZ!F$1,'data (1)'!$J:$J,XYZ!$A442)</f>
        <v>1</v>
      </c>
      <c r="G442">
        <f>SUMIFS('data (1)'!$M:$M,'data (1)'!$A:$A,XYZ!G$1,'data (1)'!$J:$J,XYZ!$A442)</f>
        <v>0</v>
      </c>
    </row>
    <row r="443" spans="1:7" x14ac:dyDescent="0.15">
      <c r="A443" t="s">
        <v>1126</v>
      </c>
      <c r="B443" s="11">
        <f t="shared" si="6"/>
        <v>2.2360679774997894</v>
      </c>
      <c r="C443">
        <f>SUMIFS('data (1)'!$M:$M,'data (1)'!$A:$A,XYZ!C$1,'data (1)'!$J:$J,XYZ!$A443)</f>
        <v>0</v>
      </c>
      <c r="D443">
        <f>SUMIFS('data (1)'!$M:$M,'data (1)'!$A:$A,XYZ!D$1,'data (1)'!$J:$J,XYZ!$A443)</f>
        <v>0</v>
      </c>
      <c r="E443">
        <f>SUMIFS('data (1)'!$M:$M,'data (1)'!$A:$A,XYZ!E$1,'data (1)'!$J:$J,XYZ!$A443)</f>
        <v>0</v>
      </c>
      <c r="F443">
        <f>SUMIFS('data (1)'!$M:$M,'data (1)'!$A:$A,XYZ!F$1,'data (1)'!$J:$J,XYZ!$A443)</f>
        <v>0</v>
      </c>
      <c r="G443">
        <f>SUMIFS('data (1)'!$M:$M,'data (1)'!$A:$A,XYZ!G$1,'data (1)'!$J:$J,XYZ!$A443)</f>
        <v>1</v>
      </c>
    </row>
    <row r="444" spans="1:7" x14ac:dyDescent="0.15">
      <c r="A444" t="s">
        <v>452</v>
      </c>
      <c r="B444" s="11">
        <f t="shared" si="6"/>
        <v>2.2360679774997894</v>
      </c>
      <c r="C444">
        <f>SUMIFS('data (1)'!$M:$M,'data (1)'!$A:$A,XYZ!C$1,'data (1)'!$J:$J,XYZ!$A444)</f>
        <v>1</v>
      </c>
      <c r="D444">
        <f>SUMIFS('data (1)'!$M:$M,'data (1)'!$A:$A,XYZ!D$1,'data (1)'!$J:$J,XYZ!$A444)</f>
        <v>0</v>
      </c>
      <c r="E444">
        <f>SUMIFS('data (1)'!$M:$M,'data (1)'!$A:$A,XYZ!E$1,'data (1)'!$J:$J,XYZ!$A444)</f>
        <v>0</v>
      </c>
      <c r="F444">
        <f>SUMIFS('data (1)'!$M:$M,'data (1)'!$A:$A,XYZ!F$1,'data (1)'!$J:$J,XYZ!$A444)</f>
        <v>0</v>
      </c>
      <c r="G444">
        <f>SUMIFS('data (1)'!$M:$M,'data (1)'!$A:$A,XYZ!G$1,'data (1)'!$J:$J,XYZ!$A444)</f>
        <v>0</v>
      </c>
    </row>
    <row r="445" spans="1:7" x14ac:dyDescent="0.15">
      <c r="A445" t="s">
        <v>873</v>
      </c>
      <c r="B445" s="11">
        <f t="shared" si="6"/>
        <v>2.2360679774997894</v>
      </c>
      <c r="C445">
        <f>SUMIFS('data (1)'!$M:$M,'data (1)'!$A:$A,XYZ!C$1,'data (1)'!$J:$J,XYZ!$A445)</f>
        <v>0</v>
      </c>
      <c r="D445">
        <f>SUMIFS('data (1)'!$M:$M,'data (1)'!$A:$A,XYZ!D$1,'data (1)'!$J:$J,XYZ!$A445)</f>
        <v>0</v>
      </c>
      <c r="E445">
        <f>SUMIFS('data (1)'!$M:$M,'data (1)'!$A:$A,XYZ!E$1,'data (1)'!$J:$J,XYZ!$A445)</f>
        <v>1</v>
      </c>
      <c r="F445">
        <f>SUMIFS('data (1)'!$M:$M,'data (1)'!$A:$A,XYZ!F$1,'data (1)'!$J:$J,XYZ!$A445)</f>
        <v>0</v>
      </c>
      <c r="G445">
        <f>SUMIFS('data (1)'!$M:$M,'data (1)'!$A:$A,XYZ!G$1,'data (1)'!$J:$J,XYZ!$A445)</f>
        <v>0</v>
      </c>
    </row>
    <row r="446" spans="1:7" x14ac:dyDescent="0.15">
      <c r="A446" t="s">
        <v>1062</v>
      </c>
      <c r="B446" s="11">
        <f t="shared" si="6"/>
        <v>2.2360679774997894</v>
      </c>
      <c r="C446">
        <f>SUMIFS('data (1)'!$M:$M,'data (1)'!$A:$A,XYZ!C$1,'data (1)'!$J:$J,XYZ!$A446)</f>
        <v>0</v>
      </c>
      <c r="D446">
        <f>SUMIFS('data (1)'!$M:$M,'data (1)'!$A:$A,XYZ!D$1,'data (1)'!$J:$J,XYZ!$A446)</f>
        <v>0</v>
      </c>
      <c r="E446">
        <f>SUMIFS('data (1)'!$M:$M,'data (1)'!$A:$A,XYZ!E$1,'data (1)'!$J:$J,XYZ!$A446)</f>
        <v>0</v>
      </c>
      <c r="F446">
        <f>SUMIFS('data (1)'!$M:$M,'data (1)'!$A:$A,XYZ!F$1,'data (1)'!$J:$J,XYZ!$A446)</f>
        <v>1</v>
      </c>
      <c r="G446">
        <f>SUMIFS('data (1)'!$M:$M,'data (1)'!$A:$A,XYZ!G$1,'data (1)'!$J:$J,XYZ!$A446)</f>
        <v>0</v>
      </c>
    </row>
    <row r="447" spans="1:7" x14ac:dyDescent="0.15">
      <c r="A447" t="s">
        <v>353</v>
      </c>
      <c r="B447" s="11">
        <f t="shared" si="6"/>
        <v>2.2360679774997894</v>
      </c>
      <c r="C447">
        <f>SUMIFS('data (1)'!$M:$M,'data (1)'!$A:$A,XYZ!C$1,'data (1)'!$J:$J,XYZ!$A447)</f>
        <v>1</v>
      </c>
      <c r="D447">
        <f>SUMIFS('data (1)'!$M:$M,'data (1)'!$A:$A,XYZ!D$1,'data (1)'!$J:$J,XYZ!$A447)</f>
        <v>0</v>
      </c>
      <c r="E447">
        <f>SUMIFS('data (1)'!$M:$M,'data (1)'!$A:$A,XYZ!E$1,'data (1)'!$J:$J,XYZ!$A447)</f>
        <v>0</v>
      </c>
      <c r="F447">
        <f>SUMIFS('data (1)'!$M:$M,'data (1)'!$A:$A,XYZ!F$1,'data (1)'!$J:$J,XYZ!$A447)</f>
        <v>0</v>
      </c>
      <c r="G447">
        <f>SUMIFS('data (1)'!$M:$M,'data (1)'!$A:$A,XYZ!G$1,'data (1)'!$J:$J,XYZ!$A447)</f>
        <v>0</v>
      </c>
    </row>
    <row r="448" spans="1:7" x14ac:dyDescent="0.15">
      <c r="A448" t="s">
        <v>695</v>
      </c>
      <c r="B448" s="11">
        <f t="shared" si="6"/>
        <v>2.2360679774997894</v>
      </c>
      <c r="C448">
        <f>SUMIFS('data (1)'!$M:$M,'data (1)'!$A:$A,XYZ!C$1,'data (1)'!$J:$J,XYZ!$A448)</f>
        <v>0</v>
      </c>
      <c r="D448">
        <f>SUMIFS('data (1)'!$M:$M,'data (1)'!$A:$A,XYZ!D$1,'data (1)'!$J:$J,XYZ!$A448)</f>
        <v>1</v>
      </c>
      <c r="E448">
        <f>SUMIFS('data (1)'!$M:$M,'data (1)'!$A:$A,XYZ!E$1,'data (1)'!$J:$J,XYZ!$A448)</f>
        <v>0</v>
      </c>
      <c r="F448">
        <f>SUMIFS('data (1)'!$M:$M,'data (1)'!$A:$A,XYZ!F$1,'data (1)'!$J:$J,XYZ!$A448)</f>
        <v>0</v>
      </c>
      <c r="G448">
        <f>SUMIFS('data (1)'!$M:$M,'data (1)'!$A:$A,XYZ!G$1,'data (1)'!$J:$J,XYZ!$A448)</f>
        <v>0</v>
      </c>
    </row>
    <row r="449" spans="1:7" x14ac:dyDescent="0.15">
      <c r="A449" t="s">
        <v>801</v>
      </c>
      <c r="B449" s="11">
        <f t="shared" si="6"/>
        <v>2.2360679774997894</v>
      </c>
      <c r="C449">
        <f>SUMIFS('data (1)'!$M:$M,'data (1)'!$A:$A,XYZ!C$1,'data (1)'!$J:$J,XYZ!$A449)</f>
        <v>0</v>
      </c>
      <c r="D449">
        <f>SUMIFS('data (1)'!$M:$M,'data (1)'!$A:$A,XYZ!D$1,'data (1)'!$J:$J,XYZ!$A449)</f>
        <v>0</v>
      </c>
      <c r="E449">
        <f>SUMIFS('data (1)'!$M:$M,'data (1)'!$A:$A,XYZ!E$1,'data (1)'!$J:$J,XYZ!$A449)</f>
        <v>1</v>
      </c>
      <c r="F449">
        <f>SUMIFS('data (1)'!$M:$M,'data (1)'!$A:$A,XYZ!F$1,'data (1)'!$J:$J,XYZ!$A449)</f>
        <v>0</v>
      </c>
      <c r="G449">
        <f>SUMIFS('data (1)'!$M:$M,'data (1)'!$A:$A,XYZ!G$1,'data (1)'!$J:$J,XYZ!$A449)</f>
        <v>0</v>
      </c>
    </row>
    <row r="450" spans="1:7" x14ac:dyDescent="0.15">
      <c r="A450" t="s">
        <v>491</v>
      </c>
      <c r="B450" s="11">
        <f t="shared" si="6"/>
        <v>2.2360679774997894</v>
      </c>
      <c r="C450">
        <f>SUMIFS('data (1)'!$M:$M,'data (1)'!$A:$A,XYZ!C$1,'data (1)'!$J:$J,XYZ!$A450)</f>
        <v>0</v>
      </c>
      <c r="D450">
        <f>SUMIFS('data (1)'!$M:$M,'data (1)'!$A:$A,XYZ!D$1,'data (1)'!$J:$J,XYZ!$A450)</f>
        <v>1</v>
      </c>
      <c r="E450">
        <f>SUMIFS('data (1)'!$M:$M,'data (1)'!$A:$A,XYZ!E$1,'data (1)'!$J:$J,XYZ!$A450)</f>
        <v>0</v>
      </c>
      <c r="F450">
        <f>SUMIFS('data (1)'!$M:$M,'data (1)'!$A:$A,XYZ!F$1,'data (1)'!$J:$J,XYZ!$A450)</f>
        <v>0</v>
      </c>
      <c r="G450">
        <f>SUMIFS('data (1)'!$M:$M,'data (1)'!$A:$A,XYZ!G$1,'data (1)'!$J:$J,XYZ!$A450)</f>
        <v>0</v>
      </c>
    </row>
    <row r="451" spans="1:7" x14ac:dyDescent="0.15">
      <c r="A451" t="s">
        <v>860</v>
      </c>
      <c r="B451" s="11">
        <f t="shared" ref="B451:B514" si="7">_xlfn.STDEV.S(C451:G451)/AVERAGE(C451:G451)</f>
        <v>2.2360679774997894</v>
      </c>
      <c r="C451">
        <f>SUMIFS('data (1)'!$M:$M,'data (1)'!$A:$A,XYZ!C$1,'data (1)'!$J:$J,XYZ!$A451)</f>
        <v>0</v>
      </c>
      <c r="D451">
        <f>SUMIFS('data (1)'!$M:$M,'data (1)'!$A:$A,XYZ!D$1,'data (1)'!$J:$J,XYZ!$A451)</f>
        <v>0</v>
      </c>
      <c r="E451">
        <f>SUMIFS('data (1)'!$M:$M,'data (1)'!$A:$A,XYZ!E$1,'data (1)'!$J:$J,XYZ!$A451)</f>
        <v>1</v>
      </c>
      <c r="F451">
        <f>SUMIFS('data (1)'!$M:$M,'data (1)'!$A:$A,XYZ!F$1,'data (1)'!$J:$J,XYZ!$A451)</f>
        <v>0</v>
      </c>
      <c r="G451">
        <f>SUMIFS('data (1)'!$M:$M,'data (1)'!$A:$A,XYZ!G$1,'data (1)'!$J:$J,XYZ!$A451)</f>
        <v>0</v>
      </c>
    </row>
    <row r="452" spans="1:7" x14ac:dyDescent="0.15">
      <c r="A452" t="s">
        <v>991</v>
      </c>
      <c r="B452" s="11">
        <f t="shared" si="7"/>
        <v>2.2360679774997894</v>
      </c>
      <c r="C452">
        <f>SUMIFS('data (1)'!$M:$M,'data (1)'!$A:$A,XYZ!C$1,'data (1)'!$J:$J,XYZ!$A452)</f>
        <v>0</v>
      </c>
      <c r="D452">
        <f>SUMIFS('data (1)'!$M:$M,'data (1)'!$A:$A,XYZ!D$1,'data (1)'!$J:$J,XYZ!$A452)</f>
        <v>0</v>
      </c>
      <c r="E452">
        <f>SUMIFS('data (1)'!$M:$M,'data (1)'!$A:$A,XYZ!E$1,'data (1)'!$J:$J,XYZ!$A452)</f>
        <v>0</v>
      </c>
      <c r="F452">
        <f>SUMIFS('data (1)'!$M:$M,'data (1)'!$A:$A,XYZ!F$1,'data (1)'!$J:$J,XYZ!$A452)</f>
        <v>1</v>
      </c>
      <c r="G452">
        <f>SUMIFS('data (1)'!$M:$M,'data (1)'!$A:$A,XYZ!G$1,'data (1)'!$J:$J,XYZ!$A452)</f>
        <v>0</v>
      </c>
    </row>
    <row r="453" spans="1:7" x14ac:dyDescent="0.15">
      <c r="A453" t="s">
        <v>824</v>
      </c>
      <c r="B453" s="11">
        <f t="shared" si="7"/>
        <v>2.2360679774997894</v>
      </c>
      <c r="C453">
        <f>SUMIFS('data (1)'!$M:$M,'data (1)'!$A:$A,XYZ!C$1,'data (1)'!$J:$J,XYZ!$A453)</f>
        <v>0</v>
      </c>
      <c r="D453">
        <f>SUMIFS('data (1)'!$M:$M,'data (1)'!$A:$A,XYZ!D$1,'data (1)'!$J:$J,XYZ!$A453)</f>
        <v>0</v>
      </c>
      <c r="E453">
        <f>SUMIFS('data (1)'!$M:$M,'data (1)'!$A:$A,XYZ!E$1,'data (1)'!$J:$J,XYZ!$A453)</f>
        <v>1</v>
      </c>
      <c r="F453">
        <f>SUMIFS('data (1)'!$M:$M,'data (1)'!$A:$A,XYZ!F$1,'data (1)'!$J:$J,XYZ!$A453)</f>
        <v>0</v>
      </c>
      <c r="G453">
        <f>SUMIFS('data (1)'!$M:$M,'data (1)'!$A:$A,XYZ!G$1,'data (1)'!$J:$J,XYZ!$A453)</f>
        <v>0</v>
      </c>
    </row>
    <row r="454" spans="1:7" x14ac:dyDescent="0.15">
      <c r="A454" t="s">
        <v>532</v>
      </c>
      <c r="B454" s="11">
        <f t="shared" si="7"/>
        <v>2.2360679774997894</v>
      </c>
      <c r="C454">
        <f>SUMIFS('data (1)'!$M:$M,'data (1)'!$A:$A,XYZ!C$1,'data (1)'!$J:$J,XYZ!$A454)</f>
        <v>0</v>
      </c>
      <c r="D454">
        <f>SUMIFS('data (1)'!$M:$M,'data (1)'!$A:$A,XYZ!D$1,'data (1)'!$J:$J,XYZ!$A454)</f>
        <v>1</v>
      </c>
      <c r="E454">
        <f>SUMIFS('data (1)'!$M:$M,'data (1)'!$A:$A,XYZ!E$1,'data (1)'!$J:$J,XYZ!$A454)</f>
        <v>0</v>
      </c>
      <c r="F454">
        <f>SUMIFS('data (1)'!$M:$M,'data (1)'!$A:$A,XYZ!F$1,'data (1)'!$J:$J,XYZ!$A454)</f>
        <v>0</v>
      </c>
      <c r="G454">
        <f>SUMIFS('data (1)'!$M:$M,'data (1)'!$A:$A,XYZ!G$1,'data (1)'!$J:$J,XYZ!$A454)</f>
        <v>0</v>
      </c>
    </row>
    <row r="455" spans="1:7" x14ac:dyDescent="0.15">
      <c r="A455" t="s">
        <v>136</v>
      </c>
      <c r="B455" s="11">
        <f t="shared" si="7"/>
        <v>2.2360679774997894</v>
      </c>
      <c r="C455">
        <f>SUMIFS('data (1)'!$M:$M,'data (1)'!$A:$A,XYZ!C$1,'data (1)'!$J:$J,XYZ!$A455)</f>
        <v>1</v>
      </c>
      <c r="D455">
        <f>SUMIFS('data (1)'!$M:$M,'data (1)'!$A:$A,XYZ!D$1,'data (1)'!$J:$J,XYZ!$A455)</f>
        <v>0</v>
      </c>
      <c r="E455">
        <f>SUMIFS('data (1)'!$M:$M,'data (1)'!$A:$A,XYZ!E$1,'data (1)'!$J:$J,XYZ!$A455)</f>
        <v>0</v>
      </c>
      <c r="F455">
        <f>SUMIFS('data (1)'!$M:$M,'data (1)'!$A:$A,XYZ!F$1,'data (1)'!$J:$J,XYZ!$A455)</f>
        <v>0</v>
      </c>
      <c r="G455">
        <f>SUMIFS('data (1)'!$M:$M,'data (1)'!$A:$A,XYZ!G$1,'data (1)'!$J:$J,XYZ!$A455)</f>
        <v>0</v>
      </c>
    </row>
    <row r="456" spans="1:7" x14ac:dyDescent="0.15">
      <c r="A456" t="s">
        <v>565</v>
      </c>
      <c r="B456" s="11">
        <f t="shared" si="7"/>
        <v>2.2360679774997894</v>
      </c>
      <c r="C456">
        <f>SUMIFS('data (1)'!$M:$M,'data (1)'!$A:$A,XYZ!C$1,'data (1)'!$J:$J,XYZ!$A456)</f>
        <v>0</v>
      </c>
      <c r="D456">
        <f>SUMIFS('data (1)'!$M:$M,'data (1)'!$A:$A,XYZ!D$1,'data (1)'!$J:$J,XYZ!$A456)</f>
        <v>1</v>
      </c>
      <c r="E456">
        <f>SUMIFS('data (1)'!$M:$M,'data (1)'!$A:$A,XYZ!E$1,'data (1)'!$J:$J,XYZ!$A456)</f>
        <v>0</v>
      </c>
      <c r="F456">
        <f>SUMIFS('data (1)'!$M:$M,'data (1)'!$A:$A,XYZ!F$1,'data (1)'!$J:$J,XYZ!$A456)</f>
        <v>0</v>
      </c>
      <c r="G456">
        <f>SUMIFS('data (1)'!$M:$M,'data (1)'!$A:$A,XYZ!G$1,'data (1)'!$J:$J,XYZ!$A456)</f>
        <v>0</v>
      </c>
    </row>
    <row r="457" spans="1:7" x14ac:dyDescent="0.15">
      <c r="A457" t="s">
        <v>971</v>
      </c>
      <c r="B457" s="11">
        <f t="shared" si="7"/>
        <v>2.2360679774997894</v>
      </c>
      <c r="C457">
        <f>SUMIFS('data (1)'!$M:$M,'data (1)'!$A:$A,XYZ!C$1,'data (1)'!$J:$J,XYZ!$A457)</f>
        <v>0</v>
      </c>
      <c r="D457">
        <f>SUMIFS('data (1)'!$M:$M,'data (1)'!$A:$A,XYZ!D$1,'data (1)'!$J:$J,XYZ!$A457)</f>
        <v>0</v>
      </c>
      <c r="E457">
        <f>SUMIFS('data (1)'!$M:$M,'data (1)'!$A:$A,XYZ!E$1,'data (1)'!$J:$J,XYZ!$A457)</f>
        <v>0</v>
      </c>
      <c r="F457">
        <f>SUMIFS('data (1)'!$M:$M,'data (1)'!$A:$A,XYZ!F$1,'data (1)'!$J:$J,XYZ!$A457)</f>
        <v>1</v>
      </c>
      <c r="G457">
        <f>SUMIFS('data (1)'!$M:$M,'data (1)'!$A:$A,XYZ!G$1,'data (1)'!$J:$J,XYZ!$A457)</f>
        <v>0</v>
      </c>
    </row>
    <row r="458" spans="1:7" x14ac:dyDescent="0.15">
      <c r="A458" t="s">
        <v>735</v>
      </c>
      <c r="B458" s="11">
        <f t="shared" si="7"/>
        <v>2.2360679774997894</v>
      </c>
      <c r="C458">
        <f>SUMIFS('data (1)'!$M:$M,'data (1)'!$A:$A,XYZ!C$1,'data (1)'!$J:$J,XYZ!$A458)</f>
        <v>0</v>
      </c>
      <c r="D458">
        <f>SUMIFS('data (1)'!$M:$M,'data (1)'!$A:$A,XYZ!D$1,'data (1)'!$J:$J,XYZ!$A458)</f>
        <v>0</v>
      </c>
      <c r="E458">
        <f>SUMIFS('data (1)'!$M:$M,'data (1)'!$A:$A,XYZ!E$1,'data (1)'!$J:$J,XYZ!$A458)</f>
        <v>1</v>
      </c>
      <c r="F458">
        <f>SUMIFS('data (1)'!$M:$M,'data (1)'!$A:$A,XYZ!F$1,'data (1)'!$J:$J,XYZ!$A458)</f>
        <v>0</v>
      </c>
      <c r="G458">
        <f>SUMIFS('data (1)'!$M:$M,'data (1)'!$A:$A,XYZ!G$1,'data (1)'!$J:$J,XYZ!$A458)</f>
        <v>0</v>
      </c>
    </row>
    <row r="459" spans="1:7" x14ac:dyDescent="0.15">
      <c r="A459" t="s">
        <v>1167</v>
      </c>
      <c r="B459" s="11">
        <f t="shared" si="7"/>
        <v>2.2360679774997894</v>
      </c>
      <c r="C459">
        <f>SUMIFS('data (1)'!$M:$M,'data (1)'!$A:$A,XYZ!C$1,'data (1)'!$J:$J,XYZ!$A459)</f>
        <v>0</v>
      </c>
      <c r="D459">
        <f>SUMIFS('data (1)'!$M:$M,'data (1)'!$A:$A,XYZ!D$1,'data (1)'!$J:$J,XYZ!$A459)</f>
        <v>0</v>
      </c>
      <c r="E459">
        <f>SUMIFS('data (1)'!$M:$M,'data (1)'!$A:$A,XYZ!E$1,'data (1)'!$J:$J,XYZ!$A459)</f>
        <v>0</v>
      </c>
      <c r="F459">
        <f>SUMIFS('data (1)'!$M:$M,'data (1)'!$A:$A,XYZ!F$1,'data (1)'!$J:$J,XYZ!$A459)</f>
        <v>0</v>
      </c>
      <c r="G459">
        <f>SUMIFS('data (1)'!$M:$M,'data (1)'!$A:$A,XYZ!G$1,'data (1)'!$J:$J,XYZ!$A459)</f>
        <v>1</v>
      </c>
    </row>
    <row r="460" spans="1:7" x14ac:dyDescent="0.15">
      <c r="A460" t="s">
        <v>850</v>
      </c>
      <c r="B460" s="11">
        <f t="shared" si="7"/>
        <v>2.2360679774997894</v>
      </c>
      <c r="C460">
        <f>SUMIFS('data (1)'!$M:$M,'data (1)'!$A:$A,XYZ!C$1,'data (1)'!$J:$J,XYZ!$A460)</f>
        <v>0</v>
      </c>
      <c r="D460">
        <f>SUMIFS('data (1)'!$M:$M,'data (1)'!$A:$A,XYZ!D$1,'data (1)'!$J:$J,XYZ!$A460)</f>
        <v>0</v>
      </c>
      <c r="E460">
        <f>SUMIFS('data (1)'!$M:$M,'data (1)'!$A:$A,XYZ!E$1,'data (1)'!$J:$J,XYZ!$A460)</f>
        <v>1</v>
      </c>
      <c r="F460">
        <f>SUMIFS('data (1)'!$M:$M,'data (1)'!$A:$A,XYZ!F$1,'data (1)'!$J:$J,XYZ!$A460)</f>
        <v>0</v>
      </c>
      <c r="G460">
        <f>SUMIFS('data (1)'!$M:$M,'data (1)'!$A:$A,XYZ!G$1,'data (1)'!$J:$J,XYZ!$A460)</f>
        <v>0</v>
      </c>
    </row>
    <row r="461" spans="1:7" x14ac:dyDescent="0.15">
      <c r="A461" t="s">
        <v>891</v>
      </c>
      <c r="B461" s="11">
        <f t="shared" si="7"/>
        <v>2.2360679774997894</v>
      </c>
      <c r="C461">
        <f>SUMIFS('data (1)'!$M:$M,'data (1)'!$A:$A,XYZ!C$1,'data (1)'!$J:$J,XYZ!$A461)</f>
        <v>0</v>
      </c>
      <c r="D461">
        <f>SUMIFS('data (1)'!$M:$M,'data (1)'!$A:$A,XYZ!D$1,'data (1)'!$J:$J,XYZ!$A461)</f>
        <v>0</v>
      </c>
      <c r="E461">
        <f>SUMIFS('data (1)'!$M:$M,'data (1)'!$A:$A,XYZ!E$1,'data (1)'!$J:$J,XYZ!$A461)</f>
        <v>1</v>
      </c>
      <c r="F461">
        <f>SUMIFS('data (1)'!$M:$M,'data (1)'!$A:$A,XYZ!F$1,'data (1)'!$J:$J,XYZ!$A461)</f>
        <v>0</v>
      </c>
      <c r="G461">
        <f>SUMIFS('data (1)'!$M:$M,'data (1)'!$A:$A,XYZ!G$1,'data (1)'!$J:$J,XYZ!$A461)</f>
        <v>0</v>
      </c>
    </row>
    <row r="462" spans="1:7" x14ac:dyDescent="0.15">
      <c r="A462" t="s">
        <v>1035</v>
      </c>
      <c r="B462" s="11">
        <f t="shared" si="7"/>
        <v>2.2360679774997894</v>
      </c>
      <c r="C462">
        <f>SUMIFS('data (1)'!$M:$M,'data (1)'!$A:$A,XYZ!C$1,'data (1)'!$J:$J,XYZ!$A462)</f>
        <v>0</v>
      </c>
      <c r="D462">
        <f>SUMIFS('data (1)'!$M:$M,'data (1)'!$A:$A,XYZ!D$1,'data (1)'!$J:$J,XYZ!$A462)</f>
        <v>0</v>
      </c>
      <c r="E462">
        <f>SUMIFS('data (1)'!$M:$M,'data (1)'!$A:$A,XYZ!E$1,'data (1)'!$J:$J,XYZ!$A462)</f>
        <v>0</v>
      </c>
      <c r="F462">
        <f>SUMIFS('data (1)'!$M:$M,'data (1)'!$A:$A,XYZ!F$1,'data (1)'!$J:$J,XYZ!$A462)</f>
        <v>1</v>
      </c>
      <c r="G462">
        <f>SUMIFS('data (1)'!$M:$M,'data (1)'!$A:$A,XYZ!G$1,'data (1)'!$J:$J,XYZ!$A462)</f>
        <v>0</v>
      </c>
    </row>
    <row r="463" spans="1:7" x14ac:dyDescent="0.15">
      <c r="A463" t="s">
        <v>753</v>
      </c>
      <c r="B463" s="11">
        <f t="shared" si="7"/>
        <v>2.2360679774997894</v>
      </c>
      <c r="C463">
        <f>SUMIFS('data (1)'!$M:$M,'data (1)'!$A:$A,XYZ!C$1,'data (1)'!$J:$J,XYZ!$A463)</f>
        <v>0</v>
      </c>
      <c r="D463">
        <f>SUMIFS('data (1)'!$M:$M,'data (1)'!$A:$A,XYZ!D$1,'data (1)'!$J:$J,XYZ!$A463)</f>
        <v>0</v>
      </c>
      <c r="E463">
        <f>SUMIFS('data (1)'!$M:$M,'data (1)'!$A:$A,XYZ!E$1,'data (1)'!$J:$J,XYZ!$A463)</f>
        <v>1</v>
      </c>
      <c r="F463">
        <f>SUMIFS('data (1)'!$M:$M,'data (1)'!$A:$A,XYZ!F$1,'data (1)'!$J:$J,XYZ!$A463)</f>
        <v>0</v>
      </c>
      <c r="G463">
        <f>SUMIFS('data (1)'!$M:$M,'data (1)'!$A:$A,XYZ!G$1,'data (1)'!$J:$J,XYZ!$A463)</f>
        <v>0</v>
      </c>
    </row>
    <row r="464" spans="1:7" x14ac:dyDescent="0.15">
      <c r="A464" t="s">
        <v>1136</v>
      </c>
      <c r="B464" s="11">
        <f t="shared" si="7"/>
        <v>2.2360679774997894</v>
      </c>
      <c r="C464">
        <f>SUMIFS('data (1)'!$M:$M,'data (1)'!$A:$A,XYZ!C$1,'data (1)'!$J:$J,XYZ!$A464)</f>
        <v>0</v>
      </c>
      <c r="D464">
        <f>SUMIFS('data (1)'!$M:$M,'data (1)'!$A:$A,XYZ!D$1,'data (1)'!$J:$J,XYZ!$A464)</f>
        <v>0</v>
      </c>
      <c r="E464">
        <f>SUMIFS('data (1)'!$M:$M,'data (1)'!$A:$A,XYZ!E$1,'data (1)'!$J:$J,XYZ!$A464)</f>
        <v>0</v>
      </c>
      <c r="F464">
        <f>SUMIFS('data (1)'!$M:$M,'data (1)'!$A:$A,XYZ!F$1,'data (1)'!$J:$J,XYZ!$A464)</f>
        <v>0</v>
      </c>
      <c r="G464">
        <f>SUMIFS('data (1)'!$M:$M,'data (1)'!$A:$A,XYZ!G$1,'data (1)'!$J:$J,XYZ!$A464)</f>
        <v>1</v>
      </c>
    </row>
    <row r="465" spans="1:7" x14ac:dyDescent="0.15">
      <c r="A465" t="s">
        <v>904</v>
      </c>
      <c r="B465" s="11">
        <f t="shared" si="7"/>
        <v>2.2360679774997894</v>
      </c>
      <c r="C465">
        <f>SUMIFS('data (1)'!$M:$M,'data (1)'!$A:$A,XYZ!C$1,'data (1)'!$J:$J,XYZ!$A465)</f>
        <v>0</v>
      </c>
      <c r="D465">
        <f>SUMIFS('data (1)'!$M:$M,'data (1)'!$A:$A,XYZ!D$1,'data (1)'!$J:$J,XYZ!$A465)</f>
        <v>0</v>
      </c>
      <c r="E465">
        <f>SUMIFS('data (1)'!$M:$M,'data (1)'!$A:$A,XYZ!E$1,'data (1)'!$J:$J,XYZ!$A465)</f>
        <v>1</v>
      </c>
      <c r="F465">
        <f>SUMIFS('data (1)'!$M:$M,'data (1)'!$A:$A,XYZ!F$1,'data (1)'!$J:$J,XYZ!$A465)</f>
        <v>0</v>
      </c>
      <c r="G465">
        <f>SUMIFS('data (1)'!$M:$M,'data (1)'!$A:$A,XYZ!G$1,'data (1)'!$J:$J,XYZ!$A465)</f>
        <v>0</v>
      </c>
    </row>
    <row r="466" spans="1:7" x14ac:dyDescent="0.15">
      <c r="A466" t="s">
        <v>41</v>
      </c>
      <c r="B466" s="11">
        <f t="shared" si="7"/>
        <v>2.2360679774997894</v>
      </c>
      <c r="C466">
        <f>SUMIFS('data (1)'!$M:$M,'data (1)'!$A:$A,XYZ!C$1,'data (1)'!$J:$J,XYZ!$A466)</f>
        <v>1</v>
      </c>
      <c r="D466">
        <f>SUMIFS('data (1)'!$M:$M,'data (1)'!$A:$A,XYZ!D$1,'data (1)'!$J:$J,XYZ!$A466)</f>
        <v>0</v>
      </c>
      <c r="E466">
        <f>SUMIFS('data (1)'!$M:$M,'data (1)'!$A:$A,XYZ!E$1,'data (1)'!$J:$J,XYZ!$A466)</f>
        <v>0</v>
      </c>
      <c r="F466">
        <f>SUMIFS('data (1)'!$M:$M,'data (1)'!$A:$A,XYZ!F$1,'data (1)'!$J:$J,XYZ!$A466)</f>
        <v>0</v>
      </c>
      <c r="G466">
        <f>SUMIFS('data (1)'!$M:$M,'data (1)'!$A:$A,XYZ!G$1,'data (1)'!$J:$J,XYZ!$A466)</f>
        <v>0</v>
      </c>
    </row>
    <row r="467" spans="1:7" x14ac:dyDescent="0.15">
      <c r="A467" t="s">
        <v>680</v>
      </c>
      <c r="B467" s="11">
        <f t="shared" si="7"/>
        <v>2.2360679774997894</v>
      </c>
      <c r="C467">
        <f>SUMIFS('data (1)'!$M:$M,'data (1)'!$A:$A,XYZ!C$1,'data (1)'!$J:$J,XYZ!$A467)</f>
        <v>0</v>
      </c>
      <c r="D467">
        <f>SUMIFS('data (1)'!$M:$M,'data (1)'!$A:$A,XYZ!D$1,'data (1)'!$J:$J,XYZ!$A467)</f>
        <v>1</v>
      </c>
      <c r="E467">
        <f>SUMIFS('data (1)'!$M:$M,'data (1)'!$A:$A,XYZ!E$1,'data (1)'!$J:$J,XYZ!$A467)</f>
        <v>0</v>
      </c>
      <c r="F467">
        <f>SUMIFS('data (1)'!$M:$M,'data (1)'!$A:$A,XYZ!F$1,'data (1)'!$J:$J,XYZ!$A467)</f>
        <v>0</v>
      </c>
      <c r="G467">
        <f>SUMIFS('data (1)'!$M:$M,'data (1)'!$A:$A,XYZ!G$1,'data (1)'!$J:$J,XYZ!$A467)</f>
        <v>0</v>
      </c>
    </row>
    <row r="468" spans="1:7" x14ac:dyDescent="0.15">
      <c r="A468" t="s">
        <v>1177</v>
      </c>
      <c r="B468" s="11">
        <f t="shared" si="7"/>
        <v>2.2360679774997894</v>
      </c>
      <c r="C468">
        <f>SUMIFS('data (1)'!$M:$M,'data (1)'!$A:$A,XYZ!C$1,'data (1)'!$J:$J,XYZ!$A468)</f>
        <v>0</v>
      </c>
      <c r="D468">
        <f>SUMIFS('data (1)'!$M:$M,'data (1)'!$A:$A,XYZ!D$1,'data (1)'!$J:$J,XYZ!$A468)</f>
        <v>0</v>
      </c>
      <c r="E468">
        <f>SUMIFS('data (1)'!$M:$M,'data (1)'!$A:$A,XYZ!E$1,'data (1)'!$J:$J,XYZ!$A468)</f>
        <v>0</v>
      </c>
      <c r="F468">
        <f>SUMIFS('data (1)'!$M:$M,'data (1)'!$A:$A,XYZ!F$1,'data (1)'!$J:$J,XYZ!$A468)</f>
        <v>0</v>
      </c>
      <c r="G468">
        <f>SUMIFS('data (1)'!$M:$M,'data (1)'!$A:$A,XYZ!G$1,'data (1)'!$J:$J,XYZ!$A468)</f>
        <v>1</v>
      </c>
    </row>
    <row r="469" spans="1:7" x14ac:dyDescent="0.15">
      <c r="A469" t="s">
        <v>1111</v>
      </c>
      <c r="B469" s="11">
        <f t="shared" si="7"/>
        <v>2.2360679774997894</v>
      </c>
      <c r="C469">
        <f>SUMIFS('data (1)'!$M:$M,'data (1)'!$A:$A,XYZ!C$1,'data (1)'!$J:$J,XYZ!$A469)</f>
        <v>0</v>
      </c>
      <c r="D469">
        <f>SUMIFS('data (1)'!$M:$M,'data (1)'!$A:$A,XYZ!D$1,'data (1)'!$J:$J,XYZ!$A469)</f>
        <v>0</v>
      </c>
      <c r="E469">
        <f>SUMIFS('data (1)'!$M:$M,'data (1)'!$A:$A,XYZ!E$1,'data (1)'!$J:$J,XYZ!$A469)</f>
        <v>0</v>
      </c>
      <c r="F469">
        <f>SUMIFS('data (1)'!$M:$M,'data (1)'!$A:$A,XYZ!F$1,'data (1)'!$J:$J,XYZ!$A469)</f>
        <v>0</v>
      </c>
      <c r="G469">
        <f>SUMIFS('data (1)'!$M:$M,'data (1)'!$A:$A,XYZ!G$1,'data (1)'!$J:$J,XYZ!$A469)</f>
        <v>1</v>
      </c>
    </row>
    <row r="470" spans="1:7" x14ac:dyDescent="0.15">
      <c r="A470" t="s">
        <v>758</v>
      </c>
      <c r="B470" s="11">
        <f t="shared" si="7"/>
        <v>2.2360679774997894</v>
      </c>
      <c r="C470">
        <f>SUMIFS('data (1)'!$M:$M,'data (1)'!$A:$A,XYZ!C$1,'data (1)'!$J:$J,XYZ!$A470)</f>
        <v>0</v>
      </c>
      <c r="D470">
        <f>SUMIFS('data (1)'!$M:$M,'data (1)'!$A:$A,XYZ!D$1,'data (1)'!$J:$J,XYZ!$A470)</f>
        <v>0</v>
      </c>
      <c r="E470">
        <f>SUMIFS('data (1)'!$M:$M,'data (1)'!$A:$A,XYZ!E$1,'data (1)'!$J:$J,XYZ!$A470)</f>
        <v>1</v>
      </c>
      <c r="F470">
        <f>SUMIFS('data (1)'!$M:$M,'data (1)'!$A:$A,XYZ!F$1,'data (1)'!$J:$J,XYZ!$A470)</f>
        <v>0</v>
      </c>
      <c r="G470">
        <f>SUMIFS('data (1)'!$M:$M,'data (1)'!$A:$A,XYZ!G$1,'data (1)'!$J:$J,XYZ!$A470)</f>
        <v>0</v>
      </c>
    </row>
    <row r="471" spans="1:7" x14ac:dyDescent="0.15">
      <c r="A471" t="s">
        <v>500</v>
      </c>
      <c r="B471" s="11">
        <f t="shared" si="7"/>
        <v>2.2360679774997894</v>
      </c>
      <c r="C471">
        <f>SUMIFS('data (1)'!$M:$M,'data (1)'!$A:$A,XYZ!C$1,'data (1)'!$J:$J,XYZ!$A471)</f>
        <v>0</v>
      </c>
      <c r="D471">
        <f>SUMIFS('data (1)'!$M:$M,'data (1)'!$A:$A,XYZ!D$1,'data (1)'!$J:$J,XYZ!$A471)</f>
        <v>1</v>
      </c>
      <c r="E471">
        <f>SUMIFS('data (1)'!$M:$M,'data (1)'!$A:$A,XYZ!E$1,'data (1)'!$J:$J,XYZ!$A471)</f>
        <v>0</v>
      </c>
      <c r="F471">
        <f>SUMIFS('data (1)'!$M:$M,'data (1)'!$A:$A,XYZ!F$1,'data (1)'!$J:$J,XYZ!$A471)</f>
        <v>0</v>
      </c>
      <c r="G471">
        <f>SUMIFS('data (1)'!$M:$M,'data (1)'!$A:$A,XYZ!G$1,'data (1)'!$J:$J,XYZ!$A471)</f>
        <v>0</v>
      </c>
    </row>
    <row r="472" spans="1:7" x14ac:dyDescent="0.15">
      <c r="A472" t="s">
        <v>733</v>
      </c>
      <c r="B472" s="11">
        <f t="shared" si="7"/>
        <v>2.2360679774997894</v>
      </c>
      <c r="C472">
        <f>SUMIFS('data (1)'!$M:$M,'data (1)'!$A:$A,XYZ!C$1,'data (1)'!$J:$J,XYZ!$A472)</f>
        <v>0</v>
      </c>
      <c r="D472">
        <f>SUMIFS('data (1)'!$M:$M,'data (1)'!$A:$A,XYZ!D$1,'data (1)'!$J:$J,XYZ!$A472)</f>
        <v>0</v>
      </c>
      <c r="E472">
        <f>SUMIFS('data (1)'!$M:$M,'data (1)'!$A:$A,XYZ!E$1,'data (1)'!$J:$J,XYZ!$A472)</f>
        <v>1</v>
      </c>
      <c r="F472">
        <f>SUMIFS('data (1)'!$M:$M,'data (1)'!$A:$A,XYZ!F$1,'data (1)'!$J:$J,XYZ!$A472)</f>
        <v>0</v>
      </c>
      <c r="G472">
        <f>SUMIFS('data (1)'!$M:$M,'data (1)'!$A:$A,XYZ!G$1,'data (1)'!$J:$J,XYZ!$A472)</f>
        <v>0</v>
      </c>
    </row>
    <row r="473" spans="1:7" x14ac:dyDescent="0.15">
      <c r="A473" t="s">
        <v>1225</v>
      </c>
      <c r="B473" s="11">
        <f t="shared" si="7"/>
        <v>2.2360679774997894</v>
      </c>
      <c r="C473">
        <f>SUMIFS('data (1)'!$M:$M,'data (1)'!$A:$A,XYZ!C$1,'data (1)'!$J:$J,XYZ!$A473)</f>
        <v>0</v>
      </c>
      <c r="D473">
        <f>SUMIFS('data (1)'!$M:$M,'data (1)'!$A:$A,XYZ!D$1,'data (1)'!$J:$J,XYZ!$A473)</f>
        <v>0</v>
      </c>
      <c r="E473">
        <f>SUMIFS('data (1)'!$M:$M,'data (1)'!$A:$A,XYZ!E$1,'data (1)'!$J:$J,XYZ!$A473)</f>
        <v>0</v>
      </c>
      <c r="F473">
        <f>SUMIFS('data (1)'!$M:$M,'data (1)'!$A:$A,XYZ!F$1,'data (1)'!$J:$J,XYZ!$A473)</f>
        <v>0</v>
      </c>
      <c r="G473">
        <f>SUMIFS('data (1)'!$M:$M,'data (1)'!$A:$A,XYZ!G$1,'data (1)'!$J:$J,XYZ!$A473)</f>
        <v>1</v>
      </c>
    </row>
    <row r="474" spans="1:7" x14ac:dyDescent="0.15">
      <c r="A474" t="s">
        <v>1056</v>
      </c>
      <c r="B474" s="11">
        <f t="shared" si="7"/>
        <v>2.2360679774997894</v>
      </c>
      <c r="C474">
        <f>SUMIFS('data (1)'!$M:$M,'data (1)'!$A:$A,XYZ!C$1,'data (1)'!$J:$J,XYZ!$A474)</f>
        <v>0</v>
      </c>
      <c r="D474">
        <f>SUMIFS('data (1)'!$M:$M,'data (1)'!$A:$A,XYZ!D$1,'data (1)'!$J:$J,XYZ!$A474)</f>
        <v>0</v>
      </c>
      <c r="E474">
        <f>SUMIFS('data (1)'!$M:$M,'data (1)'!$A:$A,XYZ!E$1,'data (1)'!$J:$J,XYZ!$A474)</f>
        <v>0</v>
      </c>
      <c r="F474">
        <f>SUMIFS('data (1)'!$M:$M,'data (1)'!$A:$A,XYZ!F$1,'data (1)'!$J:$J,XYZ!$A474)</f>
        <v>1</v>
      </c>
      <c r="G474">
        <f>SUMIFS('data (1)'!$M:$M,'data (1)'!$A:$A,XYZ!G$1,'data (1)'!$J:$J,XYZ!$A474)</f>
        <v>0</v>
      </c>
    </row>
    <row r="475" spans="1:7" x14ac:dyDescent="0.15">
      <c r="A475" t="s">
        <v>728</v>
      </c>
      <c r="B475" s="11">
        <f t="shared" si="7"/>
        <v>2.2360679774997894</v>
      </c>
      <c r="C475">
        <f>SUMIFS('data (1)'!$M:$M,'data (1)'!$A:$A,XYZ!C$1,'data (1)'!$J:$J,XYZ!$A475)</f>
        <v>0</v>
      </c>
      <c r="D475">
        <f>SUMIFS('data (1)'!$M:$M,'data (1)'!$A:$A,XYZ!D$1,'data (1)'!$J:$J,XYZ!$A475)</f>
        <v>0</v>
      </c>
      <c r="E475">
        <f>SUMIFS('data (1)'!$M:$M,'data (1)'!$A:$A,XYZ!E$1,'data (1)'!$J:$J,XYZ!$A475)</f>
        <v>1</v>
      </c>
      <c r="F475">
        <f>SUMIFS('data (1)'!$M:$M,'data (1)'!$A:$A,XYZ!F$1,'data (1)'!$J:$J,XYZ!$A475)</f>
        <v>0</v>
      </c>
      <c r="G475">
        <f>SUMIFS('data (1)'!$M:$M,'data (1)'!$A:$A,XYZ!G$1,'data (1)'!$J:$J,XYZ!$A475)</f>
        <v>0</v>
      </c>
    </row>
    <row r="476" spans="1:7" x14ac:dyDescent="0.15">
      <c r="A476" t="s">
        <v>209</v>
      </c>
      <c r="B476" s="11">
        <f t="shared" si="7"/>
        <v>2.2360679774997894</v>
      </c>
      <c r="C476">
        <f>SUMIFS('data (1)'!$M:$M,'data (1)'!$A:$A,XYZ!C$1,'data (1)'!$J:$J,XYZ!$A476)</f>
        <v>1</v>
      </c>
      <c r="D476">
        <f>SUMIFS('data (1)'!$M:$M,'data (1)'!$A:$A,XYZ!D$1,'data (1)'!$J:$J,XYZ!$A476)</f>
        <v>0</v>
      </c>
      <c r="E476">
        <f>SUMIFS('data (1)'!$M:$M,'data (1)'!$A:$A,XYZ!E$1,'data (1)'!$J:$J,XYZ!$A476)</f>
        <v>0</v>
      </c>
      <c r="F476">
        <f>SUMIFS('data (1)'!$M:$M,'data (1)'!$A:$A,XYZ!F$1,'data (1)'!$J:$J,XYZ!$A476)</f>
        <v>0</v>
      </c>
      <c r="G476">
        <f>SUMIFS('data (1)'!$M:$M,'data (1)'!$A:$A,XYZ!G$1,'data (1)'!$J:$J,XYZ!$A476)</f>
        <v>0</v>
      </c>
    </row>
    <row r="477" spans="1:7" x14ac:dyDescent="0.15">
      <c r="A477" t="s">
        <v>1169</v>
      </c>
      <c r="B477" s="11">
        <f t="shared" si="7"/>
        <v>2.2360679774997894</v>
      </c>
      <c r="C477">
        <f>SUMIFS('data (1)'!$M:$M,'data (1)'!$A:$A,XYZ!C$1,'data (1)'!$J:$J,XYZ!$A477)</f>
        <v>0</v>
      </c>
      <c r="D477">
        <f>SUMIFS('data (1)'!$M:$M,'data (1)'!$A:$A,XYZ!D$1,'data (1)'!$J:$J,XYZ!$A477)</f>
        <v>0</v>
      </c>
      <c r="E477">
        <f>SUMIFS('data (1)'!$M:$M,'data (1)'!$A:$A,XYZ!E$1,'data (1)'!$J:$J,XYZ!$A477)</f>
        <v>0</v>
      </c>
      <c r="F477">
        <f>SUMIFS('data (1)'!$M:$M,'data (1)'!$A:$A,XYZ!F$1,'data (1)'!$J:$J,XYZ!$A477)</f>
        <v>0</v>
      </c>
      <c r="G477">
        <f>SUMIFS('data (1)'!$M:$M,'data (1)'!$A:$A,XYZ!G$1,'data (1)'!$J:$J,XYZ!$A477)</f>
        <v>1</v>
      </c>
    </row>
    <row r="478" spans="1:7" x14ac:dyDescent="0.15">
      <c r="A478" t="s">
        <v>843</v>
      </c>
      <c r="B478" s="11">
        <f t="shared" si="7"/>
        <v>2.2360679774997894</v>
      </c>
      <c r="C478">
        <f>SUMIFS('data (1)'!$M:$M,'data (1)'!$A:$A,XYZ!C$1,'data (1)'!$J:$J,XYZ!$A478)</f>
        <v>0</v>
      </c>
      <c r="D478">
        <f>SUMIFS('data (1)'!$M:$M,'data (1)'!$A:$A,XYZ!D$1,'data (1)'!$J:$J,XYZ!$A478)</f>
        <v>0</v>
      </c>
      <c r="E478">
        <f>SUMIFS('data (1)'!$M:$M,'data (1)'!$A:$A,XYZ!E$1,'data (1)'!$J:$J,XYZ!$A478)</f>
        <v>1</v>
      </c>
      <c r="F478">
        <f>SUMIFS('data (1)'!$M:$M,'data (1)'!$A:$A,XYZ!F$1,'data (1)'!$J:$J,XYZ!$A478)</f>
        <v>0</v>
      </c>
      <c r="G478">
        <f>SUMIFS('data (1)'!$M:$M,'data (1)'!$A:$A,XYZ!G$1,'data (1)'!$J:$J,XYZ!$A478)</f>
        <v>0</v>
      </c>
    </row>
    <row r="479" spans="1:7" x14ac:dyDescent="0.15">
      <c r="A479" t="s">
        <v>1156</v>
      </c>
      <c r="B479" s="11">
        <f t="shared" si="7"/>
        <v>2.2360679774997894</v>
      </c>
      <c r="C479">
        <f>SUMIFS('data (1)'!$M:$M,'data (1)'!$A:$A,XYZ!C$1,'data (1)'!$J:$J,XYZ!$A479)</f>
        <v>0</v>
      </c>
      <c r="D479">
        <f>SUMIFS('data (1)'!$M:$M,'data (1)'!$A:$A,XYZ!D$1,'data (1)'!$J:$J,XYZ!$A479)</f>
        <v>0</v>
      </c>
      <c r="E479">
        <f>SUMIFS('data (1)'!$M:$M,'data (1)'!$A:$A,XYZ!E$1,'data (1)'!$J:$J,XYZ!$A479)</f>
        <v>0</v>
      </c>
      <c r="F479">
        <f>SUMIFS('data (1)'!$M:$M,'data (1)'!$A:$A,XYZ!F$1,'data (1)'!$J:$J,XYZ!$A479)</f>
        <v>0</v>
      </c>
      <c r="G479">
        <f>SUMIFS('data (1)'!$M:$M,'data (1)'!$A:$A,XYZ!G$1,'data (1)'!$J:$J,XYZ!$A479)</f>
        <v>1</v>
      </c>
    </row>
    <row r="480" spans="1:7" x14ac:dyDescent="0.15">
      <c r="A480" t="s">
        <v>493</v>
      </c>
      <c r="B480" s="11">
        <f t="shared" si="7"/>
        <v>2.2360679774997894</v>
      </c>
      <c r="C480">
        <f>SUMIFS('data (1)'!$M:$M,'data (1)'!$A:$A,XYZ!C$1,'data (1)'!$J:$J,XYZ!$A480)</f>
        <v>0</v>
      </c>
      <c r="D480">
        <f>SUMIFS('data (1)'!$M:$M,'data (1)'!$A:$A,XYZ!D$1,'data (1)'!$J:$J,XYZ!$A480)</f>
        <v>1</v>
      </c>
      <c r="E480">
        <f>SUMIFS('data (1)'!$M:$M,'data (1)'!$A:$A,XYZ!E$1,'data (1)'!$J:$J,XYZ!$A480)</f>
        <v>0</v>
      </c>
      <c r="F480">
        <f>SUMIFS('data (1)'!$M:$M,'data (1)'!$A:$A,XYZ!F$1,'data (1)'!$J:$J,XYZ!$A480)</f>
        <v>0</v>
      </c>
      <c r="G480">
        <f>SUMIFS('data (1)'!$M:$M,'data (1)'!$A:$A,XYZ!G$1,'data (1)'!$J:$J,XYZ!$A480)</f>
        <v>0</v>
      </c>
    </row>
    <row r="481" spans="1:7" x14ac:dyDescent="0.15">
      <c r="A481" t="s">
        <v>639</v>
      </c>
      <c r="B481" s="11">
        <f t="shared" si="7"/>
        <v>2.2360679774997894</v>
      </c>
      <c r="C481">
        <f>SUMIFS('data (1)'!$M:$M,'data (1)'!$A:$A,XYZ!C$1,'data (1)'!$J:$J,XYZ!$A481)</f>
        <v>0</v>
      </c>
      <c r="D481">
        <f>SUMIFS('data (1)'!$M:$M,'data (1)'!$A:$A,XYZ!D$1,'data (1)'!$J:$J,XYZ!$A481)</f>
        <v>1</v>
      </c>
      <c r="E481">
        <f>SUMIFS('data (1)'!$M:$M,'data (1)'!$A:$A,XYZ!E$1,'data (1)'!$J:$J,XYZ!$A481)</f>
        <v>0</v>
      </c>
      <c r="F481">
        <f>SUMIFS('data (1)'!$M:$M,'data (1)'!$A:$A,XYZ!F$1,'data (1)'!$J:$J,XYZ!$A481)</f>
        <v>0</v>
      </c>
      <c r="G481">
        <f>SUMIFS('data (1)'!$M:$M,'data (1)'!$A:$A,XYZ!G$1,'data (1)'!$J:$J,XYZ!$A481)</f>
        <v>0</v>
      </c>
    </row>
    <row r="482" spans="1:7" x14ac:dyDescent="0.15">
      <c r="A482" t="s">
        <v>905</v>
      </c>
      <c r="B482" s="11">
        <f t="shared" si="7"/>
        <v>2.2360679774997894</v>
      </c>
      <c r="C482">
        <f>SUMIFS('data (1)'!$M:$M,'data (1)'!$A:$A,XYZ!C$1,'data (1)'!$J:$J,XYZ!$A482)</f>
        <v>0</v>
      </c>
      <c r="D482">
        <f>SUMIFS('data (1)'!$M:$M,'data (1)'!$A:$A,XYZ!D$1,'data (1)'!$J:$J,XYZ!$A482)</f>
        <v>0</v>
      </c>
      <c r="E482">
        <f>SUMIFS('data (1)'!$M:$M,'data (1)'!$A:$A,XYZ!E$1,'data (1)'!$J:$J,XYZ!$A482)</f>
        <v>1</v>
      </c>
      <c r="F482">
        <f>SUMIFS('data (1)'!$M:$M,'data (1)'!$A:$A,XYZ!F$1,'data (1)'!$J:$J,XYZ!$A482)</f>
        <v>0</v>
      </c>
      <c r="G482">
        <f>SUMIFS('data (1)'!$M:$M,'data (1)'!$A:$A,XYZ!G$1,'data (1)'!$J:$J,XYZ!$A482)</f>
        <v>0</v>
      </c>
    </row>
    <row r="483" spans="1:7" x14ac:dyDescent="0.15">
      <c r="A483" t="s">
        <v>287</v>
      </c>
      <c r="B483" s="11">
        <f t="shared" si="7"/>
        <v>2.2360679774997894</v>
      </c>
      <c r="C483">
        <f>SUMIFS('data (1)'!$M:$M,'data (1)'!$A:$A,XYZ!C$1,'data (1)'!$J:$J,XYZ!$A483)</f>
        <v>1</v>
      </c>
      <c r="D483">
        <f>SUMIFS('data (1)'!$M:$M,'data (1)'!$A:$A,XYZ!D$1,'data (1)'!$J:$J,XYZ!$A483)</f>
        <v>0</v>
      </c>
      <c r="E483">
        <f>SUMIFS('data (1)'!$M:$M,'data (1)'!$A:$A,XYZ!E$1,'data (1)'!$J:$J,XYZ!$A483)</f>
        <v>0</v>
      </c>
      <c r="F483">
        <f>SUMIFS('data (1)'!$M:$M,'data (1)'!$A:$A,XYZ!F$1,'data (1)'!$J:$J,XYZ!$A483)</f>
        <v>0</v>
      </c>
      <c r="G483">
        <f>SUMIFS('data (1)'!$M:$M,'data (1)'!$A:$A,XYZ!G$1,'data (1)'!$J:$J,XYZ!$A483)</f>
        <v>0</v>
      </c>
    </row>
    <row r="484" spans="1:7" x14ac:dyDescent="0.15">
      <c r="A484" t="s">
        <v>598</v>
      </c>
      <c r="B484" s="11">
        <f t="shared" si="7"/>
        <v>2.2360679774997894</v>
      </c>
      <c r="C484">
        <f>SUMIFS('data (1)'!$M:$M,'data (1)'!$A:$A,XYZ!C$1,'data (1)'!$J:$J,XYZ!$A484)</f>
        <v>0</v>
      </c>
      <c r="D484">
        <f>SUMIFS('data (1)'!$M:$M,'data (1)'!$A:$A,XYZ!D$1,'data (1)'!$J:$J,XYZ!$A484)</f>
        <v>1</v>
      </c>
      <c r="E484">
        <f>SUMIFS('data (1)'!$M:$M,'data (1)'!$A:$A,XYZ!E$1,'data (1)'!$J:$J,XYZ!$A484)</f>
        <v>0</v>
      </c>
      <c r="F484">
        <f>SUMIFS('data (1)'!$M:$M,'data (1)'!$A:$A,XYZ!F$1,'data (1)'!$J:$J,XYZ!$A484)</f>
        <v>0</v>
      </c>
      <c r="G484">
        <f>SUMIFS('data (1)'!$M:$M,'data (1)'!$A:$A,XYZ!G$1,'data (1)'!$J:$J,XYZ!$A484)</f>
        <v>0</v>
      </c>
    </row>
    <row r="485" spans="1:7" x14ac:dyDescent="0.15">
      <c r="A485" t="s">
        <v>1123</v>
      </c>
      <c r="B485" s="11">
        <f t="shared" si="7"/>
        <v>2.2360679774997894</v>
      </c>
      <c r="C485">
        <f>SUMIFS('data (1)'!$M:$M,'data (1)'!$A:$A,XYZ!C$1,'data (1)'!$J:$J,XYZ!$A485)</f>
        <v>0</v>
      </c>
      <c r="D485">
        <f>SUMIFS('data (1)'!$M:$M,'data (1)'!$A:$A,XYZ!D$1,'data (1)'!$J:$J,XYZ!$A485)</f>
        <v>0</v>
      </c>
      <c r="E485">
        <f>SUMIFS('data (1)'!$M:$M,'data (1)'!$A:$A,XYZ!E$1,'data (1)'!$J:$J,XYZ!$A485)</f>
        <v>0</v>
      </c>
      <c r="F485">
        <f>SUMIFS('data (1)'!$M:$M,'data (1)'!$A:$A,XYZ!F$1,'data (1)'!$J:$J,XYZ!$A485)</f>
        <v>0</v>
      </c>
      <c r="G485">
        <f>SUMIFS('data (1)'!$M:$M,'data (1)'!$A:$A,XYZ!G$1,'data (1)'!$J:$J,XYZ!$A485)</f>
        <v>1</v>
      </c>
    </row>
    <row r="486" spans="1:7" x14ac:dyDescent="0.15">
      <c r="A486" t="s">
        <v>787</v>
      </c>
      <c r="B486" s="11">
        <f t="shared" si="7"/>
        <v>2.2360679774997894</v>
      </c>
      <c r="C486">
        <f>SUMIFS('data (1)'!$M:$M,'data (1)'!$A:$A,XYZ!C$1,'data (1)'!$J:$J,XYZ!$A486)</f>
        <v>0</v>
      </c>
      <c r="D486">
        <f>SUMIFS('data (1)'!$M:$M,'data (1)'!$A:$A,XYZ!D$1,'data (1)'!$J:$J,XYZ!$A486)</f>
        <v>0</v>
      </c>
      <c r="E486">
        <f>SUMIFS('data (1)'!$M:$M,'data (1)'!$A:$A,XYZ!E$1,'data (1)'!$J:$J,XYZ!$A486)</f>
        <v>1</v>
      </c>
      <c r="F486">
        <f>SUMIFS('data (1)'!$M:$M,'data (1)'!$A:$A,XYZ!F$1,'data (1)'!$J:$J,XYZ!$A486)</f>
        <v>0</v>
      </c>
      <c r="G486">
        <f>SUMIFS('data (1)'!$M:$M,'data (1)'!$A:$A,XYZ!G$1,'data (1)'!$J:$J,XYZ!$A486)</f>
        <v>0</v>
      </c>
    </row>
    <row r="487" spans="1:7" x14ac:dyDescent="0.15">
      <c r="A487" t="s">
        <v>1095</v>
      </c>
      <c r="B487" s="11">
        <f t="shared" si="7"/>
        <v>2.2360679774997894</v>
      </c>
      <c r="C487">
        <f>SUMIFS('data (1)'!$M:$M,'data (1)'!$A:$A,XYZ!C$1,'data (1)'!$J:$J,XYZ!$A487)</f>
        <v>0</v>
      </c>
      <c r="D487">
        <f>SUMIFS('data (1)'!$M:$M,'data (1)'!$A:$A,XYZ!D$1,'data (1)'!$J:$J,XYZ!$A487)</f>
        <v>0</v>
      </c>
      <c r="E487">
        <f>SUMIFS('data (1)'!$M:$M,'data (1)'!$A:$A,XYZ!E$1,'data (1)'!$J:$J,XYZ!$A487)</f>
        <v>0</v>
      </c>
      <c r="F487">
        <f>SUMIFS('data (1)'!$M:$M,'data (1)'!$A:$A,XYZ!F$1,'data (1)'!$J:$J,XYZ!$A487)</f>
        <v>0</v>
      </c>
      <c r="G487">
        <f>SUMIFS('data (1)'!$M:$M,'data (1)'!$A:$A,XYZ!G$1,'data (1)'!$J:$J,XYZ!$A487)</f>
        <v>1</v>
      </c>
    </row>
    <row r="488" spans="1:7" x14ac:dyDescent="0.15">
      <c r="A488" t="s">
        <v>1211</v>
      </c>
      <c r="B488" s="11">
        <f t="shared" si="7"/>
        <v>2.2360679774997894</v>
      </c>
      <c r="C488">
        <f>SUMIFS('data (1)'!$M:$M,'data (1)'!$A:$A,XYZ!C$1,'data (1)'!$J:$J,XYZ!$A488)</f>
        <v>0</v>
      </c>
      <c r="D488">
        <f>SUMIFS('data (1)'!$M:$M,'data (1)'!$A:$A,XYZ!D$1,'data (1)'!$J:$J,XYZ!$A488)</f>
        <v>0</v>
      </c>
      <c r="E488">
        <f>SUMIFS('data (1)'!$M:$M,'data (1)'!$A:$A,XYZ!E$1,'data (1)'!$J:$J,XYZ!$A488)</f>
        <v>0</v>
      </c>
      <c r="F488">
        <f>SUMIFS('data (1)'!$M:$M,'data (1)'!$A:$A,XYZ!F$1,'data (1)'!$J:$J,XYZ!$A488)</f>
        <v>0</v>
      </c>
      <c r="G488">
        <f>SUMIFS('data (1)'!$M:$M,'data (1)'!$A:$A,XYZ!G$1,'data (1)'!$J:$J,XYZ!$A488)</f>
        <v>1</v>
      </c>
    </row>
    <row r="489" spans="1:7" x14ac:dyDescent="0.15">
      <c r="A489" t="s">
        <v>164</v>
      </c>
      <c r="B489" s="11">
        <f t="shared" si="7"/>
        <v>2.2360679774997894</v>
      </c>
      <c r="C489">
        <f>SUMIFS('data (1)'!$M:$M,'data (1)'!$A:$A,XYZ!C$1,'data (1)'!$J:$J,XYZ!$A489)</f>
        <v>1</v>
      </c>
      <c r="D489">
        <f>SUMIFS('data (1)'!$M:$M,'data (1)'!$A:$A,XYZ!D$1,'data (1)'!$J:$J,XYZ!$A489)</f>
        <v>0</v>
      </c>
      <c r="E489">
        <f>SUMIFS('data (1)'!$M:$M,'data (1)'!$A:$A,XYZ!E$1,'data (1)'!$J:$J,XYZ!$A489)</f>
        <v>0</v>
      </c>
      <c r="F489">
        <f>SUMIFS('data (1)'!$M:$M,'data (1)'!$A:$A,XYZ!F$1,'data (1)'!$J:$J,XYZ!$A489)</f>
        <v>0</v>
      </c>
      <c r="G489">
        <f>SUMIFS('data (1)'!$M:$M,'data (1)'!$A:$A,XYZ!G$1,'data (1)'!$J:$J,XYZ!$A489)</f>
        <v>0</v>
      </c>
    </row>
    <row r="490" spans="1:7" x14ac:dyDescent="0.15">
      <c r="A490" t="s">
        <v>1122</v>
      </c>
      <c r="B490" s="11">
        <f t="shared" si="7"/>
        <v>2.2360679774997894</v>
      </c>
      <c r="C490">
        <f>SUMIFS('data (1)'!$M:$M,'data (1)'!$A:$A,XYZ!C$1,'data (1)'!$J:$J,XYZ!$A490)</f>
        <v>0</v>
      </c>
      <c r="D490">
        <f>SUMIFS('data (1)'!$M:$M,'data (1)'!$A:$A,XYZ!D$1,'data (1)'!$J:$J,XYZ!$A490)</f>
        <v>0</v>
      </c>
      <c r="E490">
        <f>SUMIFS('data (1)'!$M:$M,'data (1)'!$A:$A,XYZ!E$1,'data (1)'!$J:$J,XYZ!$A490)</f>
        <v>0</v>
      </c>
      <c r="F490">
        <f>SUMIFS('data (1)'!$M:$M,'data (1)'!$A:$A,XYZ!F$1,'data (1)'!$J:$J,XYZ!$A490)</f>
        <v>0</v>
      </c>
      <c r="G490">
        <f>SUMIFS('data (1)'!$M:$M,'data (1)'!$A:$A,XYZ!G$1,'data (1)'!$J:$J,XYZ!$A490)</f>
        <v>1</v>
      </c>
    </row>
    <row r="491" spans="1:7" x14ac:dyDescent="0.15">
      <c r="A491" t="s">
        <v>573</v>
      </c>
      <c r="B491" s="11">
        <f t="shared" si="7"/>
        <v>2.2360679774997894</v>
      </c>
      <c r="C491">
        <f>SUMIFS('data (1)'!$M:$M,'data (1)'!$A:$A,XYZ!C$1,'data (1)'!$J:$J,XYZ!$A491)</f>
        <v>0</v>
      </c>
      <c r="D491">
        <f>SUMIFS('data (1)'!$M:$M,'data (1)'!$A:$A,XYZ!D$1,'data (1)'!$J:$J,XYZ!$A491)</f>
        <v>1</v>
      </c>
      <c r="E491">
        <f>SUMIFS('data (1)'!$M:$M,'data (1)'!$A:$A,XYZ!E$1,'data (1)'!$J:$J,XYZ!$A491)</f>
        <v>0</v>
      </c>
      <c r="F491">
        <f>SUMIFS('data (1)'!$M:$M,'data (1)'!$A:$A,XYZ!F$1,'data (1)'!$J:$J,XYZ!$A491)</f>
        <v>0</v>
      </c>
      <c r="G491">
        <f>SUMIFS('data (1)'!$M:$M,'data (1)'!$A:$A,XYZ!G$1,'data (1)'!$J:$J,XYZ!$A491)</f>
        <v>0</v>
      </c>
    </row>
    <row r="492" spans="1:7" x14ac:dyDescent="0.15">
      <c r="A492" t="s">
        <v>271</v>
      </c>
      <c r="B492" s="11">
        <f t="shared" si="7"/>
        <v>2.2360679774997894</v>
      </c>
      <c r="C492">
        <f>SUMIFS('data (1)'!$M:$M,'data (1)'!$A:$A,XYZ!C$1,'data (1)'!$J:$J,XYZ!$A492)</f>
        <v>1</v>
      </c>
      <c r="D492">
        <f>SUMIFS('data (1)'!$M:$M,'data (1)'!$A:$A,XYZ!D$1,'data (1)'!$J:$J,XYZ!$A492)</f>
        <v>0</v>
      </c>
      <c r="E492">
        <f>SUMIFS('data (1)'!$M:$M,'data (1)'!$A:$A,XYZ!E$1,'data (1)'!$J:$J,XYZ!$A492)</f>
        <v>0</v>
      </c>
      <c r="F492">
        <f>SUMIFS('data (1)'!$M:$M,'data (1)'!$A:$A,XYZ!F$1,'data (1)'!$J:$J,XYZ!$A492)</f>
        <v>0</v>
      </c>
      <c r="G492">
        <f>SUMIFS('data (1)'!$M:$M,'data (1)'!$A:$A,XYZ!G$1,'data (1)'!$J:$J,XYZ!$A492)</f>
        <v>0</v>
      </c>
    </row>
    <row r="493" spans="1:7" x14ac:dyDescent="0.15">
      <c r="A493" t="s">
        <v>1196</v>
      </c>
      <c r="B493" s="11">
        <f t="shared" si="7"/>
        <v>2.2360679774997894</v>
      </c>
      <c r="C493">
        <f>SUMIFS('data (1)'!$M:$M,'data (1)'!$A:$A,XYZ!C$1,'data (1)'!$J:$J,XYZ!$A493)</f>
        <v>0</v>
      </c>
      <c r="D493">
        <f>SUMIFS('data (1)'!$M:$M,'data (1)'!$A:$A,XYZ!D$1,'data (1)'!$J:$J,XYZ!$A493)</f>
        <v>0</v>
      </c>
      <c r="E493">
        <f>SUMIFS('data (1)'!$M:$M,'data (1)'!$A:$A,XYZ!E$1,'data (1)'!$J:$J,XYZ!$A493)</f>
        <v>0</v>
      </c>
      <c r="F493">
        <f>SUMIFS('data (1)'!$M:$M,'data (1)'!$A:$A,XYZ!F$1,'data (1)'!$J:$J,XYZ!$A493)</f>
        <v>0</v>
      </c>
      <c r="G493">
        <f>SUMIFS('data (1)'!$M:$M,'data (1)'!$A:$A,XYZ!G$1,'data (1)'!$J:$J,XYZ!$A493)</f>
        <v>1</v>
      </c>
    </row>
    <row r="494" spans="1:7" x14ac:dyDescent="0.15">
      <c r="A494" t="s">
        <v>42</v>
      </c>
      <c r="B494" s="11">
        <f t="shared" si="7"/>
        <v>2.2360679774997894</v>
      </c>
      <c r="C494">
        <f>SUMIFS('data (1)'!$M:$M,'data (1)'!$A:$A,XYZ!C$1,'data (1)'!$J:$J,XYZ!$A494)</f>
        <v>1</v>
      </c>
      <c r="D494">
        <f>SUMIFS('data (1)'!$M:$M,'data (1)'!$A:$A,XYZ!D$1,'data (1)'!$J:$J,XYZ!$A494)</f>
        <v>0</v>
      </c>
      <c r="E494">
        <f>SUMIFS('data (1)'!$M:$M,'data (1)'!$A:$A,XYZ!E$1,'data (1)'!$J:$J,XYZ!$A494)</f>
        <v>0</v>
      </c>
      <c r="F494">
        <f>SUMIFS('data (1)'!$M:$M,'data (1)'!$A:$A,XYZ!F$1,'data (1)'!$J:$J,XYZ!$A494)</f>
        <v>0</v>
      </c>
      <c r="G494">
        <f>SUMIFS('data (1)'!$M:$M,'data (1)'!$A:$A,XYZ!G$1,'data (1)'!$J:$J,XYZ!$A494)</f>
        <v>0</v>
      </c>
    </row>
    <row r="495" spans="1:7" x14ac:dyDescent="0.15">
      <c r="A495" t="s">
        <v>393</v>
      </c>
      <c r="B495" s="11">
        <f t="shared" si="7"/>
        <v>2.2360679774997894</v>
      </c>
      <c r="C495">
        <f>SUMIFS('data (1)'!$M:$M,'data (1)'!$A:$A,XYZ!C$1,'data (1)'!$J:$J,XYZ!$A495)</f>
        <v>1</v>
      </c>
      <c r="D495">
        <f>SUMIFS('data (1)'!$M:$M,'data (1)'!$A:$A,XYZ!D$1,'data (1)'!$J:$J,XYZ!$A495)</f>
        <v>0</v>
      </c>
      <c r="E495">
        <f>SUMIFS('data (1)'!$M:$M,'data (1)'!$A:$A,XYZ!E$1,'data (1)'!$J:$J,XYZ!$A495)</f>
        <v>0</v>
      </c>
      <c r="F495">
        <f>SUMIFS('data (1)'!$M:$M,'data (1)'!$A:$A,XYZ!F$1,'data (1)'!$J:$J,XYZ!$A495)</f>
        <v>0</v>
      </c>
      <c r="G495">
        <f>SUMIFS('data (1)'!$M:$M,'data (1)'!$A:$A,XYZ!G$1,'data (1)'!$J:$J,XYZ!$A495)</f>
        <v>0</v>
      </c>
    </row>
    <row r="496" spans="1:7" x14ac:dyDescent="0.15">
      <c r="A496" t="s">
        <v>561</v>
      </c>
      <c r="B496" s="11">
        <f t="shared" si="7"/>
        <v>2.2360679774997894</v>
      </c>
      <c r="C496">
        <f>SUMIFS('data (1)'!$M:$M,'data (1)'!$A:$A,XYZ!C$1,'data (1)'!$J:$J,XYZ!$A496)</f>
        <v>0</v>
      </c>
      <c r="D496">
        <f>SUMIFS('data (1)'!$M:$M,'data (1)'!$A:$A,XYZ!D$1,'data (1)'!$J:$J,XYZ!$A496)</f>
        <v>1</v>
      </c>
      <c r="E496">
        <f>SUMIFS('data (1)'!$M:$M,'data (1)'!$A:$A,XYZ!E$1,'data (1)'!$J:$J,XYZ!$A496)</f>
        <v>0</v>
      </c>
      <c r="F496">
        <f>SUMIFS('data (1)'!$M:$M,'data (1)'!$A:$A,XYZ!F$1,'data (1)'!$J:$J,XYZ!$A496)</f>
        <v>0</v>
      </c>
      <c r="G496">
        <f>SUMIFS('data (1)'!$M:$M,'data (1)'!$A:$A,XYZ!G$1,'data (1)'!$J:$J,XYZ!$A496)</f>
        <v>0</v>
      </c>
    </row>
    <row r="497" spans="1:7" x14ac:dyDescent="0.15">
      <c r="A497" t="s">
        <v>132</v>
      </c>
      <c r="B497" s="11">
        <f t="shared" si="7"/>
        <v>2.2360679774997894</v>
      </c>
      <c r="C497">
        <f>SUMIFS('data (1)'!$M:$M,'data (1)'!$A:$A,XYZ!C$1,'data (1)'!$J:$J,XYZ!$A497)</f>
        <v>1</v>
      </c>
      <c r="D497">
        <f>SUMIFS('data (1)'!$M:$M,'data (1)'!$A:$A,XYZ!D$1,'data (1)'!$J:$J,XYZ!$A497)</f>
        <v>0</v>
      </c>
      <c r="E497">
        <f>SUMIFS('data (1)'!$M:$M,'data (1)'!$A:$A,XYZ!E$1,'data (1)'!$J:$J,XYZ!$A497)</f>
        <v>0</v>
      </c>
      <c r="F497">
        <f>SUMIFS('data (1)'!$M:$M,'data (1)'!$A:$A,XYZ!F$1,'data (1)'!$J:$J,XYZ!$A497)</f>
        <v>0</v>
      </c>
      <c r="G497">
        <f>SUMIFS('data (1)'!$M:$M,'data (1)'!$A:$A,XYZ!G$1,'data (1)'!$J:$J,XYZ!$A497)</f>
        <v>0</v>
      </c>
    </row>
    <row r="498" spans="1:7" x14ac:dyDescent="0.15">
      <c r="A498" t="s">
        <v>951</v>
      </c>
      <c r="B498" s="11">
        <f t="shared" si="7"/>
        <v>2.2360679774997894</v>
      </c>
      <c r="C498">
        <f>SUMIFS('data (1)'!$M:$M,'data (1)'!$A:$A,XYZ!C$1,'data (1)'!$J:$J,XYZ!$A498)</f>
        <v>0</v>
      </c>
      <c r="D498">
        <f>SUMIFS('data (1)'!$M:$M,'data (1)'!$A:$A,XYZ!D$1,'data (1)'!$J:$J,XYZ!$A498)</f>
        <v>0</v>
      </c>
      <c r="E498">
        <f>SUMIFS('data (1)'!$M:$M,'data (1)'!$A:$A,XYZ!E$1,'data (1)'!$J:$J,XYZ!$A498)</f>
        <v>0</v>
      </c>
      <c r="F498">
        <f>SUMIFS('data (1)'!$M:$M,'data (1)'!$A:$A,XYZ!F$1,'data (1)'!$J:$J,XYZ!$A498)</f>
        <v>1</v>
      </c>
      <c r="G498">
        <f>SUMIFS('data (1)'!$M:$M,'data (1)'!$A:$A,XYZ!G$1,'data (1)'!$J:$J,XYZ!$A498)</f>
        <v>0</v>
      </c>
    </row>
    <row r="499" spans="1:7" x14ac:dyDescent="0.15">
      <c r="A499" t="s">
        <v>681</v>
      </c>
      <c r="B499" s="11">
        <f t="shared" si="7"/>
        <v>2.2360679774997894</v>
      </c>
      <c r="C499">
        <f>SUMIFS('data (1)'!$M:$M,'data (1)'!$A:$A,XYZ!C$1,'data (1)'!$J:$J,XYZ!$A499)</f>
        <v>0</v>
      </c>
      <c r="D499">
        <f>SUMIFS('data (1)'!$M:$M,'data (1)'!$A:$A,XYZ!D$1,'data (1)'!$J:$J,XYZ!$A499)</f>
        <v>1</v>
      </c>
      <c r="E499">
        <f>SUMIFS('data (1)'!$M:$M,'data (1)'!$A:$A,XYZ!E$1,'data (1)'!$J:$J,XYZ!$A499)</f>
        <v>0</v>
      </c>
      <c r="F499">
        <f>SUMIFS('data (1)'!$M:$M,'data (1)'!$A:$A,XYZ!F$1,'data (1)'!$J:$J,XYZ!$A499)</f>
        <v>0</v>
      </c>
      <c r="G499">
        <f>SUMIFS('data (1)'!$M:$M,'data (1)'!$A:$A,XYZ!G$1,'data (1)'!$J:$J,XYZ!$A499)</f>
        <v>0</v>
      </c>
    </row>
    <row r="500" spans="1:7" x14ac:dyDescent="0.15">
      <c r="A500" t="s">
        <v>1058</v>
      </c>
      <c r="B500" s="11">
        <f t="shared" si="7"/>
        <v>2.2360679774997894</v>
      </c>
      <c r="C500">
        <f>SUMIFS('data (1)'!$M:$M,'data (1)'!$A:$A,XYZ!C$1,'data (1)'!$J:$J,XYZ!$A500)</f>
        <v>0</v>
      </c>
      <c r="D500">
        <f>SUMIFS('data (1)'!$M:$M,'data (1)'!$A:$A,XYZ!D$1,'data (1)'!$J:$J,XYZ!$A500)</f>
        <v>0</v>
      </c>
      <c r="E500">
        <f>SUMIFS('data (1)'!$M:$M,'data (1)'!$A:$A,XYZ!E$1,'data (1)'!$J:$J,XYZ!$A500)</f>
        <v>0</v>
      </c>
      <c r="F500">
        <f>SUMIFS('data (1)'!$M:$M,'data (1)'!$A:$A,XYZ!F$1,'data (1)'!$J:$J,XYZ!$A500)</f>
        <v>1</v>
      </c>
      <c r="G500">
        <f>SUMIFS('data (1)'!$M:$M,'data (1)'!$A:$A,XYZ!G$1,'data (1)'!$J:$J,XYZ!$A500)</f>
        <v>0</v>
      </c>
    </row>
    <row r="501" spans="1:7" x14ac:dyDescent="0.15">
      <c r="A501" t="s">
        <v>1132</v>
      </c>
      <c r="B501" s="11">
        <f t="shared" si="7"/>
        <v>2.2360679774997894</v>
      </c>
      <c r="C501">
        <f>SUMIFS('data (1)'!$M:$M,'data (1)'!$A:$A,XYZ!C$1,'data (1)'!$J:$J,XYZ!$A501)</f>
        <v>0</v>
      </c>
      <c r="D501">
        <f>SUMIFS('data (1)'!$M:$M,'data (1)'!$A:$A,XYZ!D$1,'data (1)'!$J:$J,XYZ!$A501)</f>
        <v>0</v>
      </c>
      <c r="E501">
        <f>SUMIFS('data (1)'!$M:$M,'data (1)'!$A:$A,XYZ!E$1,'data (1)'!$J:$J,XYZ!$A501)</f>
        <v>0</v>
      </c>
      <c r="F501">
        <f>SUMIFS('data (1)'!$M:$M,'data (1)'!$A:$A,XYZ!F$1,'data (1)'!$J:$J,XYZ!$A501)</f>
        <v>0</v>
      </c>
      <c r="G501">
        <f>SUMIFS('data (1)'!$M:$M,'data (1)'!$A:$A,XYZ!G$1,'data (1)'!$J:$J,XYZ!$A501)</f>
        <v>1</v>
      </c>
    </row>
    <row r="502" spans="1:7" x14ac:dyDescent="0.15">
      <c r="A502" t="s">
        <v>929</v>
      </c>
      <c r="B502" s="11">
        <f t="shared" si="7"/>
        <v>2.2360679774997894</v>
      </c>
      <c r="C502">
        <f>SUMIFS('data (1)'!$M:$M,'data (1)'!$A:$A,XYZ!C$1,'data (1)'!$J:$J,XYZ!$A502)</f>
        <v>0</v>
      </c>
      <c r="D502">
        <f>SUMIFS('data (1)'!$M:$M,'data (1)'!$A:$A,XYZ!D$1,'data (1)'!$J:$J,XYZ!$A502)</f>
        <v>0</v>
      </c>
      <c r="E502">
        <f>SUMIFS('data (1)'!$M:$M,'data (1)'!$A:$A,XYZ!E$1,'data (1)'!$J:$J,XYZ!$A502)</f>
        <v>0</v>
      </c>
      <c r="F502">
        <f>SUMIFS('data (1)'!$M:$M,'data (1)'!$A:$A,XYZ!F$1,'data (1)'!$J:$J,XYZ!$A502)</f>
        <v>1</v>
      </c>
      <c r="G502">
        <f>SUMIFS('data (1)'!$M:$M,'data (1)'!$A:$A,XYZ!G$1,'data (1)'!$J:$J,XYZ!$A502)</f>
        <v>0</v>
      </c>
    </row>
    <row r="503" spans="1:7" x14ac:dyDescent="0.15">
      <c r="A503" t="s">
        <v>1086</v>
      </c>
      <c r="B503" s="11">
        <f t="shared" si="7"/>
        <v>2.2360679774997894</v>
      </c>
      <c r="C503">
        <f>SUMIFS('data (1)'!$M:$M,'data (1)'!$A:$A,XYZ!C$1,'data (1)'!$J:$J,XYZ!$A503)</f>
        <v>0</v>
      </c>
      <c r="D503">
        <f>SUMIFS('data (1)'!$M:$M,'data (1)'!$A:$A,XYZ!D$1,'data (1)'!$J:$J,XYZ!$A503)</f>
        <v>0</v>
      </c>
      <c r="E503">
        <f>SUMIFS('data (1)'!$M:$M,'data (1)'!$A:$A,XYZ!E$1,'data (1)'!$J:$J,XYZ!$A503)</f>
        <v>0</v>
      </c>
      <c r="F503">
        <f>SUMIFS('data (1)'!$M:$M,'data (1)'!$A:$A,XYZ!F$1,'data (1)'!$J:$J,XYZ!$A503)</f>
        <v>0</v>
      </c>
      <c r="G503">
        <f>SUMIFS('data (1)'!$M:$M,'data (1)'!$A:$A,XYZ!G$1,'data (1)'!$J:$J,XYZ!$A503)</f>
        <v>1</v>
      </c>
    </row>
    <row r="504" spans="1:7" x14ac:dyDescent="0.15">
      <c r="A504" t="s">
        <v>1092</v>
      </c>
      <c r="B504" s="11">
        <f t="shared" si="7"/>
        <v>2.2360679774997894</v>
      </c>
      <c r="C504">
        <f>SUMIFS('data (1)'!$M:$M,'data (1)'!$A:$A,XYZ!C$1,'data (1)'!$J:$J,XYZ!$A504)</f>
        <v>0</v>
      </c>
      <c r="D504">
        <f>SUMIFS('data (1)'!$M:$M,'data (1)'!$A:$A,XYZ!D$1,'data (1)'!$J:$J,XYZ!$A504)</f>
        <v>0</v>
      </c>
      <c r="E504">
        <f>SUMIFS('data (1)'!$M:$M,'data (1)'!$A:$A,XYZ!E$1,'data (1)'!$J:$J,XYZ!$A504)</f>
        <v>0</v>
      </c>
      <c r="F504">
        <f>SUMIFS('data (1)'!$M:$M,'data (1)'!$A:$A,XYZ!F$1,'data (1)'!$J:$J,XYZ!$A504)</f>
        <v>0</v>
      </c>
      <c r="G504">
        <f>SUMIFS('data (1)'!$M:$M,'data (1)'!$A:$A,XYZ!G$1,'data (1)'!$J:$J,XYZ!$A504)</f>
        <v>1</v>
      </c>
    </row>
    <row r="505" spans="1:7" x14ac:dyDescent="0.15">
      <c r="A505" t="s">
        <v>599</v>
      </c>
      <c r="B505" s="11">
        <f t="shared" si="7"/>
        <v>2.2360679774997894</v>
      </c>
      <c r="C505">
        <f>SUMIFS('data (1)'!$M:$M,'data (1)'!$A:$A,XYZ!C$1,'data (1)'!$J:$J,XYZ!$A505)</f>
        <v>0</v>
      </c>
      <c r="D505">
        <f>SUMIFS('data (1)'!$M:$M,'data (1)'!$A:$A,XYZ!D$1,'data (1)'!$J:$J,XYZ!$A505)</f>
        <v>1</v>
      </c>
      <c r="E505">
        <f>SUMIFS('data (1)'!$M:$M,'data (1)'!$A:$A,XYZ!E$1,'data (1)'!$J:$J,XYZ!$A505)</f>
        <v>0</v>
      </c>
      <c r="F505">
        <f>SUMIFS('data (1)'!$M:$M,'data (1)'!$A:$A,XYZ!F$1,'data (1)'!$J:$J,XYZ!$A505)</f>
        <v>0</v>
      </c>
      <c r="G505">
        <f>SUMIFS('data (1)'!$M:$M,'data (1)'!$A:$A,XYZ!G$1,'data (1)'!$J:$J,XYZ!$A505)</f>
        <v>0</v>
      </c>
    </row>
    <row r="506" spans="1:7" x14ac:dyDescent="0.15">
      <c r="A506" t="s">
        <v>567</v>
      </c>
      <c r="B506" s="11">
        <f t="shared" si="7"/>
        <v>2.2360679774997894</v>
      </c>
      <c r="C506">
        <f>SUMIFS('data (1)'!$M:$M,'data (1)'!$A:$A,XYZ!C$1,'data (1)'!$J:$J,XYZ!$A506)</f>
        <v>0</v>
      </c>
      <c r="D506">
        <f>SUMIFS('data (1)'!$M:$M,'data (1)'!$A:$A,XYZ!D$1,'data (1)'!$J:$J,XYZ!$A506)</f>
        <v>1</v>
      </c>
      <c r="E506">
        <f>SUMIFS('data (1)'!$M:$M,'data (1)'!$A:$A,XYZ!E$1,'data (1)'!$J:$J,XYZ!$A506)</f>
        <v>0</v>
      </c>
      <c r="F506">
        <f>SUMIFS('data (1)'!$M:$M,'data (1)'!$A:$A,XYZ!F$1,'data (1)'!$J:$J,XYZ!$A506)</f>
        <v>0</v>
      </c>
      <c r="G506">
        <f>SUMIFS('data (1)'!$M:$M,'data (1)'!$A:$A,XYZ!G$1,'data (1)'!$J:$J,XYZ!$A506)</f>
        <v>0</v>
      </c>
    </row>
    <row r="507" spans="1:7" x14ac:dyDescent="0.15">
      <c r="A507" t="s">
        <v>972</v>
      </c>
      <c r="B507" s="11">
        <f t="shared" si="7"/>
        <v>2.2360679774997894</v>
      </c>
      <c r="C507">
        <f>SUMIFS('data (1)'!$M:$M,'data (1)'!$A:$A,XYZ!C$1,'data (1)'!$J:$J,XYZ!$A507)</f>
        <v>0</v>
      </c>
      <c r="D507">
        <f>SUMIFS('data (1)'!$M:$M,'data (1)'!$A:$A,XYZ!D$1,'data (1)'!$J:$J,XYZ!$A507)</f>
        <v>0</v>
      </c>
      <c r="E507">
        <f>SUMIFS('data (1)'!$M:$M,'data (1)'!$A:$A,XYZ!E$1,'data (1)'!$J:$J,XYZ!$A507)</f>
        <v>0</v>
      </c>
      <c r="F507">
        <f>SUMIFS('data (1)'!$M:$M,'data (1)'!$A:$A,XYZ!F$1,'data (1)'!$J:$J,XYZ!$A507)</f>
        <v>1</v>
      </c>
      <c r="G507">
        <f>SUMIFS('data (1)'!$M:$M,'data (1)'!$A:$A,XYZ!G$1,'data (1)'!$J:$J,XYZ!$A507)</f>
        <v>0</v>
      </c>
    </row>
    <row r="508" spans="1:7" x14ac:dyDescent="0.15">
      <c r="A508" t="s">
        <v>414</v>
      </c>
      <c r="B508" s="11">
        <f t="shared" si="7"/>
        <v>2.2360679774997894</v>
      </c>
      <c r="C508">
        <f>SUMIFS('data (1)'!$M:$M,'data (1)'!$A:$A,XYZ!C$1,'data (1)'!$J:$J,XYZ!$A508)</f>
        <v>1</v>
      </c>
      <c r="D508">
        <f>SUMIFS('data (1)'!$M:$M,'data (1)'!$A:$A,XYZ!D$1,'data (1)'!$J:$J,XYZ!$A508)</f>
        <v>0</v>
      </c>
      <c r="E508">
        <f>SUMIFS('data (1)'!$M:$M,'data (1)'!$A:$A,XYZ!E$1,'data (1)'!$J:$J,XYZ!$A508)</f>
        <v>0</v>
      </c>
      <c r="F508">
        <f>SUMIFS('data (1)'!$M:$M,'data (1)'!$A:$A,XYZ!F$1,'data (1)'!$J:$J,XYZ!$A508)</f>
        <v>0</v>
      </c>
      <c r="G508">
        <f>SUMIFS('data (1)'!$M:$M,'data (1)'!$A:$A,XYZ!G$1,'data (1)'!$J:$J,XYZ!$A508)</f>
        <v>0</v>
      </c>
    </row>
    <row r="509" spans="1:7" x14ac:dyDescent="0.15">
      <c r="A509" t="s">
        <v>1017</v>
      </c>
      <c r="B509" s="11">
        <f t="shared" si="7"/>
        <v>2.2360679774997894</v>
      </c>
      <c r="C509">
        <f>SUMIFS('data (1)'!$M:$M,'data (1)'!$A:$A,XYZ!C$1,'data (1)'!$J:$J,XYZ!$A509)</f>
        <v>0</v>
      </c>
      <c r="D509">
        <f>SUMIFS('data (1)'!$M:$M,'data (1)'!$A:$A,XYZ!D$1,'data (1)'!$J:$J,XYZ!$A509)</f>
        <v>0</v>
      </c>
      <c r="E509">
        <f>SUMIFS('data (1)'!$M:$M,'data (1)'!$A:$A,XYZ!E$1,'data (1)'!$J:$J,XYZ!$A509)</f>
        <v>0</v>
      </c>
      <c r="F509">
        <f>SUMIFS('data (1)'!$M:$M,'data (1)'!$A:$A,XYZ!F$1,'data (1)'!$J:$J,XYZ!$A509)</f>
        <v>1</v>
      </c>
      <c r="G509">
        <f>SUMIFS('data (1)'!$M:$M,'data (1)'!$A:$A,XYZ!G$1,'data (1)'!$J:$J,XYZ!$A509)</f>
        <v>0</v>
      </c>
    </row>
    <row r="510" spans="1:7" x14ac:dyDescent="0.15">
      <c r="A510" t="s">
        <v>704</v>
      </c>
      <c r="B510" s="11">
        <f t="shared" si="7"/>
        <v>2.2360679774997894</v>
      </c>
      <c r="C510">
        <f>SUMIFS('data (1)'!$M:$M,'data (1)'!$A:$A,XYZ!C$1,'data (1)'!$J:$J,XYZ!$A510)</f>
        <v>0</v>
      </c>
      <c r="D510">
        <f>SUMIFS('data (1)'!$M:$M,'data (1)'!$A:$A,XYZ!D$1,'data (1)'!$J:$J,XYZ!$A510)</f>
        <v>1</v>
      </c>
      <c r="E510">
        <f>SUMIFS('data (1)'!$M:$M,'data (1)'!$A:$A,XYZ!E$1,'data (1)'!$J:$J,XYZ!$A510)</f>
        <v>0</v>
      </c>
      <c r="F510">
        <f>SUMIFS('data (1)'!$M:$M,'data (1)'!$A:$A,XYZ!F$1,'data (1)'!$J:$J,XYZ!$A510)</f>
        <v>0</v>
      </c>
      <c r="G510">
        <f>SUMIFS('data (1)'!$M:$M,'data (1)'!$A:$A,XYZ!G$1,'data (1)'!$J:$J,XYZ!$A510)</f>
        <v>0</v>
      </c>
    </row>
    <row r="511" spans="1:7" x14ac:dyDescent="0.15">
      <c r="A511" t="s">
        <v>308</v>
      </c>
      <c r="B511" s="11">
        <f t="shared" si="7"/>
        <v>2.2360679774997894</v>
      </c>
      <c r="C511">
        <f>SUMIFS('data (1)'!$M:$M,'data (1)'!$A:$A,XYZ!C$1,'data (1)'!$J:$J,XYZ!$A511)</f>
        <v>1</v>
      </c>
      <c r="D511">
        <f>SUMIFS('data (1)'!$M:$M,'data (1)'!$A:$A,XYZ!D$1,'data (1)'!$J:$J,XYZ!$A511)</f>
        <v>0</v>
      </c>
      <c r="E511">
        <f>SUMIFS('data (1)'!$M:$M,'data (1)'!$A:$A,XYZ!E$1,'data (1)'!$J:$J,XYZ!$A511)</f>
        <v>0</v>
      </c>
      <c r="F511">
        <f>SUMIFS('data (1)'!$M:$M,'data (1)'!$A:$A,XYZ!F$1,'data (1)'!$J:$J,XYZ!$A511)</f>
        <v>0</v>
      </c>
      <c r="G511">
        <f>SUMIFS('data (1)'!$M:$M,'data (1)'!$A:$A,XYZ!G$1,'data (1)'!$J:$J,XYZ!$A511)</f>
        <v>0</v>
      </c>
    </row>
    <row r="512" spans="1:7" x14ac:dyDescent="0.15">
      <c r="A512" t="s">
        <v>22</v>
      </c>
      <c r="B512" s="11">
        <f t="shared" si="7"/>
        <v>2.2360679774997894</v>
      </c>
      <c r="C512">
        <f>SUMIFS('data (1)'!$M:$M,'data (1)'!$A:$A,XYZ!C$1,'data (1)'!$J:$J,XYZ!$A512)</f>
        <v>1</v>
      </c>
      <c r="D512">
        <f>SUMIFS('data (1)'!$M:$M,'data (1)'!$A:$A,XYZ!D$1,'data (1)'!$J:$J,XYZ!$A512)</f>
        <v>0</v>
      </c>
      <c r="E512">
        <f>SUMIFS('data (1)'!$M:$M,'data (1)'!$A:$A,XYZ!E$1,'data (1)'!$J:$J,XYZ!$A512)</f>
        <v>0</v>
      </c>
      <c r="F512">
        <f>SUMIFS('data (1)'!$M:$M,'data (1)'!$A:$A,XYZ!F$1,'data (1)'!$J:$J,XYZ!$A512)</f>
        <v>0</v>
      </c>
      <c r="G512">
        <f>SUMIFS('data (1)'!$M:$M,'data (1)'!$A:$A,XYZ!G$1,'data (1)'!$J:$J,XYZ!$A512)</f>
        <v>0</v>
      </c>
    </row>
    <row r="513" spans="1:7" x14ac:dyDescent="0.15">
      <c r="A513" t="s">
        <v>472</v>
      </c>
      <c r="B513" s="11">
        <f t="shared" si="7"/>
        <v>2.2360679774997894</v>
      </c>
      <c r="C513">
        <f>SUMIFS('data (1)'!$M:$M,'data (1)'!$A:$A,XYZ!C$1,'data (1)'!$J:$J,XYZ!$A513)</f>
        <v>1</v>
      </c>
      <c r="D513">
        <f>SUMIFS('data (1)'!$M:$M,'data (1)'!$A:$A,XYZ!D$1,'data (1)'!$J:$J,XYZ!$A513)</f>
        <v>0</v>
      </c>
      <c r="E513">
        <f>SUMIFS('data (1)'!$M:$M,'data (1)'!$A:$A,XYZ!E$1,'data (1)'!$J:$J,XYZ!$A513)</f>
        <v>0</v>
      </c>
      <c r="F513">
        <f>SUMIFS('data (1)'!$M:$M,'data (1)'!$A:$A,XYZ!F$1,'data (1)'!$J:$J,XYZ!$A513)</f>
        <v>0</v>
      </c>
      <c r="G513">
        <f>SUMIFS('data (1)'!$M:$M,'data (1)'!$A:$A,XYZ!G$1,'data (1)'!$J:$J,XYZ!$A513)</f>
        <v>0</v>
      </c>
    </row>
    <row r="514" spans="1:7" x14ac:dyDescent="0.15">
      <c r="A514" t="s">
        <v>611</v>
      </c>
      <c r="B514" s="11">
        <f t="shared" si="7"/>
        <v>2.2360679774997894</v>
      </c>
      <c r="C514">
        <f>SUMIFS('data (1)'!$M:$M,'data (1)'!$A:$A,XYZ!C$1,'data (1)'!$J:$J,XYZ!$A514)</f>
        <v>0</v>
      </c>
      <c r="D514">
        <f>SUMIFS('data (1)'!$M:$M,'data (1)'!$A:$A,XYZ!D$1,'data (1)'!$J:$J,XYZ!$A514)</f>
        <v>1</v>
      </c>
      <c r="E514">
        <f>SUMIFS('data (1)'!$M:$M,'data (1)'!$A:$A,XYZ!E$1,'data (1)'!$J:$J,XYZ!$A514)</f>
        <v>0</v>
      </c>
      <c r="F514">
        <f>SUMIFS('data (1)'!$M:$M,'data (1)'!$A:$A,XYZ!F$1,'data (1)'!$J:$J,XYZ!$A514)</f>
        <v>0</v>
      </c>
      <c r="G514">
        <f>SUMIFS('data (1)'!$M:$M,'data (1)'!$A:$A,XYZ!G$1,'data (1)'!$J:$J,XYZ!$A514)</f>
        <v>0</v>
      </c>
    </row>
    <row r="515" spans="1:7" x14ac:dyDescent="0.15">
      <c r="A515" t="s">
        <v>1066</v>
      </c>
      <c r="B515" s="11">
        <f t="shared" ref="B515:B578" si="8">_xlfn.STDEV.S(C515:G515)/AVERAGE(C515:G515)</f>
        <v>2.2360679774997894</v>
      </c>
      <c r="C515">
        <f>SUMIFS('data (1)'!$M:$M,'data (1)'!$A:$A,XYZ!C$1,'data (1)'!$J:$J,XYZ!$A515)</f>
        <v>0</v>
      </c>
      <c r="D515">
        <f>SUMIFS('data (1)'!$M:$M,'data (1)'!$A:$A,XYZ!D$1,'data (1)'!$J:$J,XYZ!$A515)</f>
        <v>0</v>
      </c>
      <c r="E515">
        <f>SUMIFS('data (1)'!$M:$M,'data (1)'!$A:$A,XYZ!E$1,'data (1)'!$J:$J,XYZ!$A515)</f>
        <v>0</v>
      </c>
      <c r="F515">
        <f>SUMIFS('data (1)'!$M:$M,'data (1)'!$A:$A,XYZ!F$1,'data (1)'!$J:$J,XYZ!$A515)</f>
        <v>1</v>
      </c>
      <c r="G515">
        <f>SUMIFS('data (1)'!$M:$M,'data (1)'!$A:$A,XYZ!G$1,'data (1)'!$J:$J,XYZ!$A515)</f>
        <v>0</v>
      </c>
    </row>
    <row r="516" spans="1:7" x14ac:dyDescent="0.15">
      <c r="A516" t="s">
        <v>749</v>
      </c>
      <c r="B516" s="11">
        <f t="shared" si="8"/>
        <v>2.2360679774997894</v>
      </c>
      <c r="C516">
        <f>SUMIFS('data (1)'!$M:$M,'data (1)'!$A:$A,XYZ!C$1,'data (1)'!$J:$J,XYZ!$A516)</f>
        <v>0</v>
      </c>
      <c r="D516">
        <f>SUMIFS('data (1)'!$M:$M,'data (1)'!$A:$A,XYZ!D$1,'data (1)'!$J:$J,XYZ!$A516)</f>
        <v>0</v>
      </c>
      <c r="E516">
        <f>SUMIFS('data (1)'!$M:$M,'data (1)'!$A:$A,XYZ!E$1,'data (1)'!$J:$J,XYZ!$A516)</f>
        <v>1</v>
      </c>
      <c r="F516">
        <f>SUMIFS('data (1)'!$M:$M,'data (1)'!$A:$A,XYZ!F$1,'data (1)'!$J:$J,XYZ!$A516)</f>
        <v>0</v>
      </c>
      <c r="G516">
        <f>SUMIFS('data (1)'!$M:$M,'data (1)'!$A:$A,XYZ!G$1,'data (1)'!$J:$J,XYZ!$A516)</f>
        <v>0</v>
      </c>
    </row>
    <row r="517" spans="1:7" x14ac:dyDescent="0.15">
      <c r="A517" t="s">
        <v>484</v>
      </c>
      <c r="B517" s="11">
        <f t="shared" si="8"/>
        <v>2.2360679774997894</v>
      </c>
      <c r="C517">
        <f>SUMIFS('data (1)'!$M:$M,'data (1)'!$A:$A,XYZ!C$1,'data (1)'!$J:$J,XYZ!$A517)</f>
        <v>0</v>
      </c>
      <c r="D517">
        <f>SUMIFS('data (1)'!$M:$M,'data (1)'!$A:$A,XYZ!D$1,'data (1)'!$J:$J,XYZ!$A517)</f>
        <v>1</v>
      </c>
      <c r="E517">
        <f>SUMIFS('data (1)'!$M:$M,'data (1)'!$A:$A,XYZ!E$1,'data (1)'!$J:$J,XYZ!$A517)</f>
        <v>0</v>
      </c>
      <c r="F517">
        <f>SUMIFS('data (1)'!$M:$M,'data (1)'!$A:$A,XYZ!F$1,'data (1)'!$J:$J,XYZ!$A517)</f>
        <v>0</v>
      </c>
      <c r="G517">
        <f>SUMIFS('data (1)'!$M:$M,'data (1)'!$A:$A,XYZ!G$1,'data (1)'!$J:$J,XYZ!$A517)</f>
        <v>0</v>
      </c>
    </row>
    <row r="518" spans="1:7" x14ac:dyDescent="0.15">
      <c r="A518" t="s">
        <v>1133</v>
      </c>
      <c r="B518" s="11">
        <f t="shared" si="8"/>
        <v>2.2360679774997894</v>
      </c>
      <c r="C518">
        <f>SUMIFS('data (1)'!$M:$M,'data (1)'!$A:$A,XYZ!C$1,'data (1)'!$J:$J,XYZ!$A518)</f>
        <v>0</v>
      </c>
      <c r="D518">
        <f>SUMIFS('data (1)'!$M:$M,'data (1)'!$A:$A,XYZ!D$1,'data (1)'!$J:$J,XYZ!$A518)</f>
        <v>0</v>
      </c>
      <c r="E518">
        <f>SUMIFS('data (1)'!$M:$M,'data (1)'!$A:$A,XYZ!E$1,'data (1)'!$J:$J,XYZ!$A518)</f>
        <v>0</v>
      </c>
      <c r="F518">
        <f>SUMIFS('data (1)'!$M:$M,'data (1)'!$A:$A,XYZ!F$1,'data (1)'!$J:$J,XYZ!$A518)</f>
        <v>0</v>
      </c>
      <c r="G518">
        <f>SUMIFS('data (1)'!$M:$M,'data (1)'!$A:$A,XYZ!G$1,'data (1)'!$J:$J,XYZ!$A518)</f>
        <v>1</v>
      </c>
    </row>
    <row r="519" spans="1:7" x14ac:dyDescent="0.15">
      <c r="A519" t="s">
        <v>602</v>
      </c>
      <c r="B519" s="11">
        <f t="shared" si="8"/>
        <v>2.2360679774997894</v>
      </c>
      <c r="C519">
        <f>SUMIFS('data (1)'!$M:$M,'data (1)'!$A:$A,XYZ!C$1,'data (1)'!$J:$J,XYZ!$A519)</f>
        <v>0</v>
      </c>
      <c r="D519">
        <f>SUMIFS('data (1)'!$M:$M,'data (1)'!$A:$A,XYZ!D$1,'data (1)'!$J:$J,XYZ!$A519)</f>
        <v>1</v>
      </c>
      <c r="E519">
        <f>SUMIFS('data (1)'!$M:$M,'data (1)'!$A:$A,XYZ!E$1,'data (1)'!$J:$J,XYZ!$A519)</f>
        <v>0</v>
      </c>
      <c r="F519">
        <f>SUMIFS('data (1)'!$M:$M,'data (1)'!$A:$A,XYZ!F$1,'data (1)'!$J:$J,XYZ!$A519)</f>
        <v>0</v>
      </c>
      <c r="G519">
        <f>SUMIFS('data (1)'!$M:$M,'data (1)'!$A:$A,XYZ!G$1,'data (1)'!$J:$J,XYZ!$A519)</f>
        <v>0</v>
      </c>
    </row>
    <row r="520" spans="1:7" x14ac:dyDescent="0.15">
      <c r="A520" t="s">
        <v>936</v>
      </c>
      <c r="B520" s="11">
        <f t="shared" si="8"/>
        <v>2.2360679774997894</v>
      </c>
      <c r="C520">
        <f>SUMIFS('data (1)'!$M:$M,'data (1)'!$A:$A,XYZ!C$1,'data (1)'!$J:$J,XYZ!$A520)</f>
        <v>0</v>
      </c>
      <c r="D520">
        <f>SUMIFS('data (1)'!$M:$M,'data (1)'!$A:$A,XYZ!D$1,'data (1)'!$J:$J,XYZ!$A520)</f>
        <v>0</v>
      </c>
      <c r="E520">
        <f>SUMIFS('data (1)'!$M:$M,'data (1)'!$A:$A,XYZ!E$1,'data (1)'!$J:$J,XYZ!$A520)</f>
        <v>0</v>
      </c>
      <c r="F520">
        <f>SUMIFS('data (1)'!$M:$M,'data (1)'!$A:$A,XYZ!F$1,'data (1)'!$J:$J,XYZ!$A520)</f>
        <v>1</v>
      </c>
      <c r="G520">
        <f>SUMIFS('data (1)'!$M:$M,'data (1)'!$A:$A,XYZ!G$1,'data (1)'!$J:$J,XYZ!$A520)</f>
        <v>0</v>
      </c>
    </row>
    <row r="521" spans="1:7" x14ac:dyDescent="0.15">
      <c r="A521" t="s">
        <v>1107</v>
      </c>
      <c r="B521" s="11">
        <f t="shared" si="8"/>
        <v>2.2360679774997894</v>
      </c>
      <c r="C521">
        <f>SUMIFS('data (1)'!$M:$M,'data (1)'!$A:$A,XYZ!C$1,'data (1)'!$J:$J,XYZ!$A521)</f>
        <v>0</v>
      </c>
      <c r="D521">
        <f>SUMIFS('data (1)'!$M:$M,'data (1)'!$A:$A,XYZ!D$1,'data (1)'!$J:$J,XYZ!$A521)</f>
        <v>0</v>
      </c>
      <c r="E521">
        <f>SUMIFS('data (1)'!$M:$M,'data (1)'!$A:$A,XYZ!E$1,'data (1)'!$J:$J,XYZ!$A521)</f>
        <v>0</v>
      </c>
      <c r="F521">
        <f>SUMIFS('data (1)'!$M:$M,'data (1)'!$A:$A,XYZ!F$1,'data (1)'!$J:$J,XYZ!$A521)</f>
        <v>0</v>
      </c>
      <c r="G521">
        <f>SUMIFS('data (1)'!$M:$M,'data (1)'!$A:$A,XYZ!G$1,'data (1)'!$J:$J,XYZ!$A521)</f>
        <v>1</v>
      </c>
    </row>
    <row r="522" spans="1:7" x14ac:dyDescent="0.15">
      <c r="A522" t="s">
        <v>534</v>
      </c>
      <c r="B522" s="11">
        <f t="shared" si="8"/>
        <v>2.2360679774997894</v>
      </c>
      <c r="C522">
        <f>SUMIFS('data (1)'!$M:$M,'data (1)'!$A:$A,XYZ!C$1,'data (1)'!$J:$J,XYZ!$A522)</f>
        <v>0</v>
      </c>
      <c r="D522">
        <f>SUMIFS('data (1)'!$M:$M,'data (1)'!$A:$A,XYZ!D$1,'data (1)'!$J:$J,XYZ!$A522)</f>
        <v>1</v>
      </c>
      <c r="E522">
        <f>SUMIFS('data (1)'!$M:$M,'data (1)'!$A:$A,XYZ!E$1,'data (1)'!$J:$J,XYZ!$A522)</f>
        <v>0</v>
      </c>
      <c r="F522">
        <f>SUMIFS('data (1)'!$M:$M,'data (1)'!$A:$A,XYZ!F$1,'data (1)'!$J:$J,XYZ!$A522)</f>
        <v>0</v>
      </c>
      <c r="G522">
        <f>SUMIFS('data (1)'!$M:$M,'data (1)'!$A:$A,XYZ!G$1,'data (1)'!$J:$J,XYZ!$A522)</f>
        <v>0</v>
      </c>
    </row>
    <row r="523" spans="1:7" x14ac:dyDescent="0.15">
      <c r="A523" t="s">
        <v>448</v>
      </c>
      <c r="B523" s="11">
        <f t="shared" si="8"/>
        <v>2.2360679774997894</v>
      </c>
      <c r="C523">
        <f>SUMIFS('data (1)'!$M:$M,'data (1)'!$A:$A,XYZ!C$1,'data (1)'!$J:$J,XYZ!$A523)</f>
        <v>1</v>
      </c>
      <c r="D523">
        <f>SUMIFS('data (1)'!$M:$M,'data (1)'!$A:$A,XYZ!D$1,'data (1)'!$J:$J,XYZ!$A523)</f>
        <v>0</v>
      </c>
      <c r="E523">
        <f>SUMIFS('data (1)'!$M:$M,'data (1)'!$A:$A,XYZ!E$1,'data (1)'!$J:$J,XYZ!$A523)</f>
        <v>0</v>
      </c>
      <c r="F523">
        <f>SUMIFS('data (1)'!$M:$M,'data (1)'!$A:$A,XYZ!F$1,'data (1)'!$J:$J,XYZ!$A523)</f>
        <v>0</v>
      </c>
      <c r="G523">
        <f>SUMIFS('data (1)'!$M:$M,'data (1)'!$A:$A,XYZ!G$1,'data (1)'!$J:$J,XYZ!$A523)</f>
        <v>0</v>
      </c>
    </row>
    <row r="524" spans="1:7" x14ac:dyDescent="0.15">
      <c r="A524" t="s">
        <v>147</v>
      </c>
      <c r="B524" s="11">
        <f t="shared" si="8"/>
        <v>2.2360679774997894</v>
      </c>
      <c r="C524">
        <f>SUMIFS('data (1)'!$M:$M,'data (1)'!$A:$A,XYZ!C$1,'data (1)'!$J:$J,XYZ!$A524)</f>
        <v>1</v>
      </c>
      <c r="D524">
        <f>SUMIFS('data (1)'!$M:$M,'data (1)'!$A:$A,XYZ!D$1,'data (1)'!$J:$J,XYZ!$A524)</f>
        <v>0</v>
      </c>
      <c r="E524">
        <f>SUMIFS('data (1)'!$M:$M,'data (1)'!$A:$A,XYZ!E$1,'data (1)'!$J:$J,XYZ!$A524)</f>
        <v>0</v>
      </c>
      <c r="F524">
        <f>SUMIFS('data (1)'!$M:$M,'data (1)'!$A:$A,XYZ!F$1,'data (1)'!$J:$J,XYZ!$A524)</f>
        <v>0</v>
      </c>
      <c r="G524">
        <f>SUMIFS('data (1)'!$M:$M,'data (1)'!$A:$A,XYZ!G$1,'data (1)'!$J:$J,XYZ!$A524)</f>
        <v>0</v>
      </c>
    </row>
    <row r="525" spans="1:7" x14ac:dyDescent="0.15">
      <c r="A525" t="s">
        <v>111</v>
      </c>
      <c r="B525" s="11">
        <f t="shared" si="8"/>
        <v>2.2360679774997894</v>
      </c>
      <c r="C525">
        <f>SUMIFS('data (1)'!$M:$M,'data (1)'!$A:$A,XYZ!C$1,'data (1)'!$J:$J,XYZ!$A525)</f>
        <v>1</v>
      </c>
      <c r="D525">
        <f>SUMIFS('data (1)'!$M:$M,'data (1)'!$A:$A,XYZ!D$1,'data (1)'!$J:$J,XYZ!$A525)</f>
        <v>0</v>
      </c>
      <c r="E525">
        <f>SUMIFS('data (1)'!$M:$M,'data (1)'!$A:$A,XYZ!E$1,'data (1)'!$J:$J,XYZ!$A525)</f>
        <v>0</v>
      </c>
      <c r="F525">
        <f>SUMIFS('data (1)'!$M:$M,'data (1)'!$A:$A,XYZ!F$1,'data (1)'!$J:$J,XYZ!$A525)</f>
        <v>0</v>
      </c>
      <c r="G525">
        <f>SUMIFS('data (1)'!$M:$M,'data (1)'!$A:$A,XYZ!G$1,'data (1)'!$J:$J,XYZ!$A525)</f>
        <v>0</v>
      </c>
    </row>
    <row r="526" spans="1:7" x14ac:dyDescent="0.15">
      <c r="A526" t="s">
        <v>924</v>
      </c>
      <c r="B526" s="11">
        <f t="shared" si="8"/>
        <v>2.2360679774997894</v>
      </c>
      <c r="C526">
        <f>SUMIFS('data (1)'!$M:$M,'data (1)'!$A:$A,XYZ!C$1,'data (1)'!$J:$J,XYZ!$A526)</f>
        <v>0</v>
      </c>
      <c r="D526">
        <f>SUMIFS('data (1)'!$M:$M,'data (1)'!$A:$A,XYZ!D$1,'data (1)'!$J:$J,XYZ!$A526)</f>
        <v>0</v>
      </c>
      <c r="E526">
        <f>SUMIFS('data (1)'!$M:$M,'data (1)'!$A:$A,XYZ!E$1,'data (1)'!$J:$J,XYZ!$A526)</f>
        <v>1</v>
      </c>
      <c r="F526">
        <f>SUMIFS('data (1)'!$M:$M,'data (1)'!$A:$A,XYZ!F$1,'data (1)'!$J:$J,XYZ!$A526)</f>
        <v>0</v>
      </c>
      <c r="G526">
        <f>SUMIFS('data (1)'!$M:$M,'data (1)'!$A:$A,XYZ!G$1,'data (1)'!$J:$J,XYZ!$A526)</f>
        <v>0</v>
      </c>
    </row>
    <row r="527" spans="1:7" x14ac:dyDescent="0.15">
      <c r="A527" t="s">
        <v>1032</v>
      </c>
      <c r="B527" s="11">
        <f t="shared" si="8"/>
        <v>2.2360679774997894</v>
      </c>
      <c r="C527">
        <f>SUMIFS('data (1)'!$M:$M,'data (1)'!$A:$A,XYZ!C$1,'data (1)'!$J:$J,XYZ!$A527)</f>
        <v>0</v>
      </c>
      <c r="D527">
        <f>SUMIFS('data (1)'!$M:$M,'data (1)'!$A:$A,XYZ!D$1,'data (1)'!$J:$J,XYZ!$A527)</f>
        <v>0</v>
      </c>
      <c r="E527">
        <f>SUMIFS('data (1)'!$M:$M,'data (1)'!$A:$A,XYZ!E$1,'data (1)'!$J:$J,XYZ!$A527)</f>
        <v>0</v>
      </c>
      <c r="F527">
        <f>SUMIFS('data (1)'!$M:$M,'data (1)'!$A:$A,XYZ!F$1,'data (1)'!$J:$J,XYZ!$A527)</f>
        <v>1</v>
      </c>
      <c r="G527">
        <f>SUMIFS('data (1)'!$M:$M,'data (1)'!$A:$A,XYZ!G$1,'data (1)'!$J:$J,XYZ!$A527)</f>
        <v>0</v>
      </c>
    </row>
    <row r="528" spans="1:7" x14ac:dyDescent="0.15">
      <c r="A528" t="s">
        <v>362</v>
      </c>
      <c r="B528" s="11">
        <f t="shared" si="8"/>
        <v>2.2360679774997894</v>
      </c>
      <c r="C528">
        <f>SUMIFS('data (1)'!$M:$M,'data (1)'!$A:$A,XYZ!C$1,'data (1)'!$J:$J,XYZ!$A528)</f>
        <v>1</v>
      </c>
      <c r="D528">
        <f>SUMIFS('data (1)'!$M:$M,'data (1)'!$A:$A,XYZ!D$1,'data (1)'!$J:$J,XYZ!$A528)</f>
        <v>0</v>
      </c>
      <c r="E528">
        <f>SUMIFS('data (1)'!$M:$M,'data (1)'!$A:$A,XYZ!E$1,'data (1)'!$J:$J,XYZ!$A528)</f>
        <v>0</v>
      </c>
      <c r="F528">
        <f>SUMIFS('data (1)'!$M:$M,'data (1)'!$A:$A,XYZ!F$1,'data (1)'!$J:$J,XYZ!$A528)</f>
        <v>0</v>
      </c>
      <c r="G528">
        <f>SUMIFS('data (1)'!$M:$M,'data (1)'!$A:$A,XYZ!G$1,'data (1)'!$J:$J,XYZ!$A528)</f>
        <v>0</v>
      </c>
    </row>
    <row r="529" spans="1:7" x14ac:dyDescent="0.15">
      <c r="A529" t="s">
        <v>1137</v>
      </c>
      <c r="B529" s="11">
        <f t="shared" si="8"/>
        <v>2.2360679774997894</v>
      </c>
      <c r="C529">
        <f>SUMIFS('data (1)'!$M:$M,'data (1)'!$A:$A,XYZ!C$1,'data (1)'!$J:$J,XYZ!$A529)</f>
        <v>0</v>
      </c>
      <c r="D529">
        <f>SUMIFS('data (1)'!$M:$M,'data (1)'!$A:$A,XYZ!D$1,'data (1)'!$J:$J,XYZ!$A529)</f>
        <v>0</v>
      </c>
      <c r="E529">
        <f>SUMIFS('data (1)'!$M:$M,'data (1)'!$A:$A,XYZ!E$1,'data (1)'!$J:$J,XYZ!$A529)</f>
        <v>0</v>
      </c>
      <c r="F529">
        <f>SUMIFS('data (1)'!$M:$M,'data (1)'!$A:$A,XYZ!F$1,'data (1)'!$J:$J,XYZ!$A529)</f>
        <v>0</v>
      </c>
      <c r="G529">
        <f>SUMIFS('data (1)'!$M:$M,'data (1)'!$A:$A,XYZ!G$1,'data (1)'!$J:$J,XYZ!$A529)</f>
        <v>1</v>
      </c>
    </row>
    <row r="530" spans="1:7" x14ac:dyDescent="0.15">
      <c r="A530" t="s">
        <v>1149</v>
      </c>
      <c r="B530" s="11">
        <f t="shared" si="8"/>
        <v>2.2360679774997894</v>
      </c>
      <c r="C530">
        <f>SUMIFS('data (1)'!$M:$M,'data (1)'!$A:$A,XYZ!C$1,'data (1)'!$J:$J,XYZ!$A530)</f>
        <v>0</v>
      </c>
      <c r="D530">
        <f>SUMIFS('data (1)'!$M:$M,'data (1)'!$A:$A,XYZ!D$1,'data (1)'!$J:$J,XYZ!$A530)</f>
        <v>0</v>
      </c>
      <c r="E530">
        <f>SUMIFS('data (1)'!$M:$M,'data (1)'!$A:$A,XYZ!E$1,'data (1)'!$J:$J,XYZ!$A530)</f>
        <v>0</v>
      </c>
      <c r="F530">
        <f>SUMIFS('data (1)'!$M:$M,'data (1)'!$A:$A,XYZ!F$1,'data (1)'!$J:$J,XYZ!$A530)</f>
        <v>0</v>
      </c>
      <c r="G530">
        <f>SUMIFS('data (1)'!$M:$M,'data (1)'!$A:$A,XYZ!G$1,'data (1)'!$J:$J,XYZ!$A530)</f>
        <v>1</v>
      </c>
    </row>
    <row r="531" spans="1:7" x14ac:dyDescent="0.15">
      <c r="A531" t="s">
        <v>311</v>
      </c>
      <c r="B531" s="11">
        <f t="shared" si="8"/>
        <v>2.2360679774997894</v>
      </c>
      <c r="C531">
        <f>SUMIFS('data (1)'!$M:$M,'data (1)'!$A:$A,XYZ!C$1,'data (1)'!$J:$J,XYZ!$A531)</f>
        <v>1</v>
      </c>
      <c r="D531">
        <f>SUMIFS('data (1)'!$M:$M,'data (1)'!$A:$A,XYZ!D$1,'data (1)'!$J:$J,XYZ!$A531)</f>
        <v>0</v>
      </c>
      <c r="E531">
        <f>SUMIFS('data (1)'!$M:$M,'data (1)'!$A:$A,XYZ!E$1,'data (1)'!$J:$J,XYZ!$A531)</f>
        <v>0</v>
      </c>
      <c r="F531">
        <f>SUMIFS('data (1)'!$M:$M,'data (1)'!$A:$A,XYZ!F$1,'data (1)'!$J:$J,XYZ!$A531)</f>
        <v>0</v>
      </c>
      <c r="G531">
        <f>SUMIFS('data (1)'!$M:$M,'data (1)'!$A:$A,XYZ!G$1,'data (1)'!$J:$J,XYZ!$A531)</f>
        <v>0</v>
      </c>
    </row>
    <row r="532" spans="1:7" x14ac:dyDescent="0.15">
      <c r="A532" t="s">
        <v>457</v>
      </c>
      <c r="B532" s="11">
        <f t="shared" si="8"/>
        <v>2.2360679774997894</v>
      </c>
      <c r="C532">
        <f>SUMIFS('data (1)'!$M:$M,'data (1)'!$A:$A,XYZ!C$1,'data (1)'!$J:$J,XYZ!$A532)</f>
        <v>1</v>
      </c>
      <c r="D532">
        <f>SUMIFS('data (1)'!$M:$M,'data (1)'!$A:$A,XYZ!D$1,'data (1)'!$J:$J,XYZ!$A532)</f>
        <v>0</v>
      </c>
      <c r="E532">
        <f>SUMIFS('data (1)'!$M:$M,'data (1)'!$A:$A,XYZ!E$1,'data (1)'!$J:$J,XYZ!$A532)</f>
        <v>0</v>
      </c>
      <c r="F532">
        <f>SUMIFS('data (1)'!$M:$M,'data (1)'!$A:$A,XYZ!F$1,'data (1)'!$J:$J,XYZ!$A532)</f>
        <v>0</v>
      </c>
      <c r="G532">
        <f>SUMIFS('data (1)'!$M:$M,'data (1)'!$A:$A,XYZ!G$1,'data (1)'!$J:$J,XYZ!$A532)</f>
        <v>0</v>
      </c>
    </row>
    <row r="533" spans="1:7" x14ac:dyDescent="0.15">
      <c r="A533" t="s">
        <v>813</v>
      </c>
      <c r="B533" s="11">
        <f t="shared" si="8"/>
        <v>2.2360679774997894</v>
      </c>
      <c r="C533">
        <f>SUMIFS('data (1)'!$M:$M,'data (1)'!$A:$A,XYZ!C$1,'data (1)'!$J:$J,XYZ!$A533)</f>
        <v>0</v>
      </c>
      <c r="D533">
        <f>SUMIFS('data (1)'!$M:$M,'data (1)'!$A:$A,XYZ!D$1,'data (1)'!$J:$J,XYZ!$A533)</f>
        <v>0</v>
      </c>
      <c r="E533">
        <f>SUMIFS('data (1)'!$M:$M,'data (1)'!$A:$A,XYZ!E$1,'data (1)'!$J:$J,XYZ!$A533)</f>
        <v>1</v>
      </c>
      <c r="F533">
        <f>SUMIFS('data (1)'!$M:$M,'data (1)'!$A:$A,XYZ!F$1,'data (1)'!$J:$J,XYZ!$A533)</f>
        <v>0</v>
      </c>
      <c r="G533">
        <f>SUMIFS('data (1)'!$M:$M,'data (1)'!$A:$A,XYZ!G$1,'data (1)'!$J:$J,XYZ!$A533)</f>
        <v>0</v>
      </c>
    </row>
    <row r="534" spans="1:7" x14ac:dyDescent="0.15">
      <c r="A534" t="s">
        <v>1197</v>
      </c>
      <c r="B534" s="11">
        <f t="shared" si="8"/>
        <v>2.2360679774997894</v>
      </c>
      <c r="C534">
        <f>SUMIFS('data (1)'!$M:$M,'data (1)'!$A:$A,XYZ!C$1,'data (1)'!$J:$J,XYZ!$A534)</f>
        <v>0</v>
      </c>
      <c r="D534">
        <f>SUMIFS('data (1)'!$M:$M,'data (1)'!$A:$A,XYZ!D$1,'data (1)'!$J:$J,XYZ!$A534)</f>
        <v>0</v>
      </c>
      <c r="E534">
        <f>SUMIFS('data (1)'!$M:$M,'data (1)'!$A:$A,XYZ!E$1,'data (1)'!$J:$J,XYZ!$A534)</f>
        <v>0</v>
      </c>
      <c r="F534">
        <f>SUMIFS('data (1)'!$M:$M,'data (1)'!$A:$A,XYZ!F$1,'data (1)'!$J:$J,XYZ!$A534)</f>
        <v>0</v>
      </c>
      <c r="G534">
        <f>SUMIFS('data (1)'!$M:$M,'data (1)'!$A:$A,XYZ!G$1,'data (1)'!$J:$J,XYZ!$A534)</f>
        <v>1</v>
      </c>
    </row>
    <row r="535" spans="1:7" x14ac:dyDescent="0.15">
      <c r="A535" t="s">
        <v>124</v>
      </c>
      <c r="B535" s="11">
        <f t="shared" si="8"/>
        <v>2.2360679774997894</v>
      </c>
      <c r="C535">
        <f>SUMIFS('data (1)'!$M:$M,'data (1)'!$A:$A,XYZ!C$1,'data (1)'!$J:$J,XYZ!$A535)</f>
        <v>1</v>
      </c>
      <c r="D535">
        <f>SUMIFS('data (1)'!$M:$M,'data (1)'!$A:$A,XYZ!D$1,'data (1)'!$J:$J,XYZ!$A535)</f>
        <v>0</v>
      </c>
      <c r="E535">
        <f>SUMIFS('data (1)'!$M:$M,'data (1)'!$A:$A,XYZ!E$1,'data (1)'!$J:$J,XYZ!$A535)</f>
        <v>0</v>
      </c>
      <c r="F535">
        <f>SUMIFS('data (1)'!$M:$M,'data (1)'!$A:$A,XYZ!F$1,'data (1)'!$J:$J,XYZ!$A535)</f>
        <v>0</v>
      </c>
      <c r="G535">
        <f>SUMIFS('data (1)'!$M:$M,'data (1)'!$A:$A,XYZ!G$1,'data (1)'!$J:$J,XYZ!$A535)</f>
        <v>0</v>
      </c>
    </row>
    <row r="536" spans="1:7" x14ac:dyDescent="0.15">
      <c r="A536" t="s">
        <v>546</v>
      </c>
      <c r="B536" s="11">
        <f t="shared" si="8"/>
        <v>2.2360679774997894</v>
      </c>
      <c r="C536">
        <f>SUMIFS('data (1)'!$M:$M,'data (1)'!$A:$A,XYZ!C$1,'data (1)'!$J:$J,XYZ!$A536)</f>
        <v>0</v>
      </c>
      <c r="D536">
        <f>SUMIFS('data (1)'!$M:$M,'data (1)'!$A:$A,XYZ!D$1,'data (1)'!$J:$J,XYZ!$A536)</f>
        <v>1</v>
      </c>
      <c r="E536">
        <f>SUMIFS('data (1)'!$M:$M,'data (1)'!$A:$A,XYZ!E$1,'data (1)'!$J:$J,XYZ!$A536)</f>
        <v>0</v>
      </c>
      <c r="F536">
        <f>SUMIFS('data (1)'!$M:$M,'data (1)'!$A:$A,XYZ!F$1,'data (1)'!$J:$J,XYZ!$A536)</f>
        <v>0</v>
      </c>
      <c r="G536">
        <f>SUMIFS('data (1)'!$M:$M,'data (1)'!$A:$A,XYZ!G$1,'data (1)'!$J:$J,XYZ!$A536)</f>
        <v>0</v>
      </c>
    </row>
    <row r="537" spans="1:7" x14ac:dyDescent="0.15">
      <c r="A537" t="s">
        <v>189</v>
      </c>
      <c r="B537" s="11">
        <f t="shared" si="8"/>
        <v>2.2360679774997894</v>
      </c>
      <c r="C537">
        <f>SUMIFS('data (1)'!$M:$M,'data (1)'!$A:$A,XYZ!C$1,'data (1)'!$J:$J,XYZ!$A537)</f>
        <v>1</v>
      </c>
      <c r="D537">
        <f>SUMIFS('data (1)'!$M:$M,'data (1)'!$A:$A,XYZ!D$1,'data (1)'!$J:$J,XYZ!$A537)</f>
        <v>0</v>
      </c>
      <c r="E537">
        <f>SUMIFS('data (1)'!$M:$M,'data (1)'!$A:$A,XYZ!E$1,'data (1)'!$J:$J,XYZ!$A537)</f>
        <v>0</v>
      </c>
      <c r="F537">
        <f>SUMIFS('data (1)'!$M:$M,'data (1)'!$A:$A,XYZ!F$1,'data (1)'!$J:$J,XYZ!$A537)</f>
        <v>0</v>
      </c>
      <c r="G537">
        <f>SUMIFS('data (1)'!$M:$M,'data (1)'!$A:$A,XYZ!G$1,'data (1)'!$J:$J,XYZ!$A537)</f>
        <v>0</v>
      </c>
    </row>
    <row r="538" spans="1:7" x14ac:dyDescent="0.15">
      <c r="A538" t="s">
        <v>562</v>
      </c>
      <c r="B538" s="11">
        <f t="shared" si="8"/>
        <v>2.2360679774997894</v>
      </c>
      <c r="C538">
        <f>SUMIFS('data (1)'!$M:$M,'data (1)'!$A:$A,XYZ!C$1,'data (1)'!$J:$J,XYZ!$A538)</f>
        <v>0</v>
      </c>
      <c r="D538">
        <f>SUMIFS('data (1)'!$M:$M,'data (1)'!$A:$A,XYZ!D$1,'data (1)'!$J:$J,XYZ!$A538)</f>
        <v>1</v>
      </c>
      <c r="E538">
        <f>SUMIFS('data (1)'!$M:$M,'data (1)'!$A:$A,XYZ!E$1,'data (1)'!$J:$J,XYZ!$A538)</f>
        <v>0</v>
      </c>
      <c r="F538">
        <f>SUMIFS('data (1)'!$M:$M,'data (1)'!$A:$A,XYZ!F$1,'data (1)'!$J:$J,XYZ!$A538)</f>
        <v>0</v>
      </c>
      <c r="G538">
        <f>SUMIFS('data (1)'!$M:$M,'data (1)'!$A:$A,XYZ!G$1,'data (1)'!$J:$J,XYZ!$A538)</f>
        <v>0</v>
      </c>
    </row>
    <row r="539" spans="1:7" x14ac:dyDescent="0.15">
      <c r="A539" t="s">
        <v>683</v>
      </c>
      <c r="B539" s="11">
        <f t="shared" si="8"/>
        <v>2.2360679774997894</v>
      </c>
      <c r="C539">
        <f>SUMIFS('data (1)'!$M:$M,'data (1)'!$A:$A,XYZ!C$1,'data (1)'!$J:$J,XYZ!$A539)</f>
        <v>0</v>
      </c>
      <c r="D539">
        <f>SUMIFS('data (1)'!$M:$M,'data (1)'!$A:$A,XYZ!D$1,'data (1)'!$J:$J,XYZ!$A539)</f>
        <v>1</v>
      </c>
      <c r="E539">
        <f>SUMIFS('data (1)'!$M:$M,'data (1)'!$A:$A,XYZ!E$1,'data (1)'!$J:$J,XYZ!$A539)</f>
        <v>0</v>
      </c>
      <c r="F539">
        <f>SUMIFS('data (1)'!$M:$M,'data (1)'!$A:$A,XYZ!F$1,'data (1)'!$J:$J,XYZ!$A539)</f>
        <v>0</v>
      </c>
      <c r="G539">
        <f>SUMIFS('data (1)'!$M:$M,'data (1)'!$A:$A,XYZ!G$1,'data (1)'!$J:$J,XYZ!$A539)</f>
        <v>0</v>
      </c>
    </row>
    <row r="540" spans="1:7" x14ac:dyDescent="0.15">
      <c r="A540" t="s">
        <v>833</v>
      </c>
      <c r="B540" s="11">
        <f t="shared" si="8"/>
        <v>2.2360679774997894</v>
      </c>
      <c r="C540">
        <f>SUMIFS('data (1)'!$M:$M,'data (1)'!$A:$A,XYZ!C$1,'data (1)'!$J:$J,XYZ!$A540)</f>
        <v>0</v>
      </c>
      <c r="D540">
        <f>SUMIFS('data (1)'!$M:$M,'data (1)'!$A:$A,XYZ!D$1,'data (1)'!$J:$J,XYZ!$A540)</f>
        <v>0</v>
      </c>
      <c r="E540">
        <f>SUMIFS('data (1)'!$M:$M,'data (1)'!$A:$A,XYZ!E$1,'data (1)'!$J:$J,XYZ!$A540)</f>
        <v>1</v>
      </c>
      <c r="F540">
        <f>SUMIFS('data (1)'!$M:$M,'data (1)'!$A:$A,XYZ!F$1,'data (1)'!$J:$J,XYZ!$A540)</f>
        <v>0</v>
      </c>
      <c r="G540">
        <f>SUMIFS('data (1)'!$M:$M,'data (1)'!$A:$A,XYZ!G$1,'data (1)'!$J:$J,XYZ!$A540)</f>
        <v>0</v>
      </c>
    </row>
    <row r="541" spans="1:7" x14ac:dyDescent="0.15">
      <c r="A541" t="s">
        <v>995</v>
      </c>
      <c r="B541" s="11">
        <f t="shared" si="8"/>
        <v>2.2360679774997894</v>
      </c>
      <c r="C541">
        <f>SUMIFS('data (1)'!$M:$M,'data (1)'!$A:$A,XYZ!C$1,'data (1)'!$J:$J,XYZ!$A541)</f>
        <v>0</v>
      </c>
      <c r="D541">
        <f>SUMIFS('data (1)'!$M:$M,'data (1)'!$A:$A,XYZ!D$1,'data (1)'!$J:$J,XYZ!$A541)</f>
        <v>0</v>
      </c>
      <c r="E541">
        <f>SUMIFS('data (1)'!$M:$M,'data (1)'!$A:$A,XYZ!E$1,'data (1)'!$J:$J,XYZ!$A541)</f>
        <v>0</v>
      </c>
      <c r="F541">
        <f>SUMIFS('data (1)'!$M:$M,'data (1)'!$A:$A,XYZ!F$1,'data (1)'!$J:$J,XYZ!$A541)</f>
        <v>1</v>
      </c>
      <c r="G541">
        <f>SUMIFS('data (1)'!$M:$M,'data (1)'!$A:$A,XYZ!G$1,'data (1)'!$J:$J,XYZ!$A541)</f>
        <v>0</v>
      </c>
    </row>
    <row r="542" spans="1:7" x14ac:dyDescent="0.15">
      <c r="A542" t="s">
        <v>1112</v>
      </c>
      <c r="B542" s="11">
        <f t="shared" si="8"/>
        <v>2.2360679774997894</v>
      </c>
      <c r="C542">
        <f>SUMIFS('data (1)'!$M:$M,'data (1)'!$A:$A,XYZ!C$1,'data (1)'!$J:$J,XYZ!$A542)</f>
        <v>0</v>
      </c>
      <c r="D542">
        <f>SUMIFS('data (1)'!$M:$M,'data (1)'!$A:$A,XYZ!D$1,'data (1)'!$J:$J,XYZ!$A542)</f>
        <v>0</v>
      </c>
      <c r="E542">
        <f>SUMIFS('data (1)'!$M:$M,'data (1)'!$A:$A,XYZ!E$1,'data (1)'!$J:$J,XYZ!$A542)</f>
        <v>0</v>
      </c>
      <c r="F542">
        <f>SUMIFS('data (1)'!$M:$M,'data (1)'!$A:$A,XYZ!F$1,'data (1)'!$J:$J,XYZ!$A542)</f>
        <v>0</v>
      </c>
      <c r="G542">
        <f>SUMIFS('data (1)'!$M:$M,'data (1)'!$A:$A,XYZ!G$1,'data (1)'!$J:$J,XYZ!$A542)</f>
        <v>1</v>
      </c>
    </row>
    <row r="543" spans="1:7" x14ac:dyDescent="0.15">
      <c r="A543" t="s">
        <v>1151</v>
      </c>
      <c r="B543" s="11">
        <f t="shared" si="8"/>
        <v>2.2360679774997894</v>
      </c>
      <c r="C543">
        <f>SUMIFS('data (1)'!$M:$M,'data (1)'!$A:$A,XYZ!C$1,'data (1)'!$J:$J,XYZ!$A543)</f>
        <v>0</v>
      </c>
      <c r="D543">
        <f>SUMIFS('data (1)'!$M:$M,'data (1)'!$A:$A,XYZ!D$1,'data (1)'!$J:$J,XYZ!$A543)</f>
        <v>0</v>
      </c>
      <c r="E543">
        <f>SUMIFS('data (1)'!$M:$M,'data (1)'!$A:$A,XYZ!E$1,'data (1)'!$J:$J,XYZ!$A543)</f>
        <v>0</v>
      </c>
      <c r="F543">
        <f>SUMIFS('data (1)'!$M:$M,'data (1)'!$A:$A,XYZ!F$1,'data (1)'!$J:$J,XYZ!$A543)</f>
        <v>0</v>
      </c>
      <c r="G543">
        <f>SUMIFS('data (1)'!$M:$M,'data (1)'!$A:$A,XYZ!G$1,'data (1)'!$J:$J,XYZ!$A543)</f>
        <v>1</v>
      </c>
    </row>
    <row r="544" spans="1:7" x14ac:dyDescent="0.15">
      <c r="A544" t="s">
        <v>1178</v>
      </c>
      <c r="B544" s="11">
        <f t="shared" si="8"/>
        <v>2.2360679774997894</v>
      </c>
      <c r="C544">
        <f>SUMIFS('data (1)'!$M:$M,'data (1)'!$A:$A,XYZ!C$1,'data (1)'!$J:$J,XYZ!$A544)</f>
        <v>0</v>
      </c>
      <c r="D544">
        <f>SUMIFS('data (1)'!$M:$M,'data (1)'!$A:$A,XYZ!D$1,'data (1)'!$J:$J,XYZ!$A544)</f>
        <v>0</v>
      </c>
      <c r="E544">
        <f>SUMIFS('data (1)'!$M:$M,'data (1)'!$A:$A,XYZ!E$1,'data (1)'!$J:$J,XYZ!$A544)</f>
        <v>0</v>
      </c>
      <c r="F544">
        <f>SUMIFS('data (1)'!$M:$M,'data (1)'!$A:$A,XYZ!F$1,'data (1)'!$J:$J,XYZ!$A544)</f>
        <v>0</v>
      </c>
      <c r="G544">
        <f>SUMIFS('data (1)'!$M:$M,'data (1)'!$A:$A,XYZ!G$1,'data (1)'!$J:$J,XYZ!$A544)</f>
        <v>1</v>
      </c>
    </row>
    <row r="545" spans="1:7" x14ac:dyDescent="0.15">
      <c r="A545" t="s">
        <v>581</v>
      </c>
      <c r="B545" s="11">
        <f t="shared" si="8"/>
        <v>2.2360679774997894</v>
      </c>
      <c r="C545">
        <f>SUMIFS('data (1)'!$M:$M,'data (1)'!$A:$A,XYZ!C$1,'data (1)'!$J:$J,XYZ!$A545)</f>
        <v>0</v>
      </c>
      <c r="D545">
        <f>SUMIFS('data (1)'!$M:$M,'data (1)'!$A:$A,XYZ!D$1,'data (1)'!$J:$J,XYZ!$A545)</f>
        <v>1</v>
      </c>
      <c r="E545">
        <f>SUMIFS('data (1)'!$M:$M,'data (1)'!$A:$A,XYZ!E$1,'data (1)'!$J:$J,XYZ!$A545)</f>
        <v>0</v>
      </c>
      <c r="F545">
        <f>SUMIFS('data (1)'!$M:$M,'data (1)'!$A:$A,XYZ!F$1,'data (1)'!$J:$J,XYZ!$A545)</f>
        <v>0</v>
      </c>
      <c r="G545">
        <f>SUMIFS('data (1)'!$M:$M,'data (1)'!$A:$A,XYZ!G$1,'data (1)'!$J:$J,XYZ!$A545)</f>
        <v>0</v>
      </c>
    </row>
    <row r="546" spans="1:7" x14ac:dyDescent="0.15">
      <c r="A546" t="s">
        <v>831</v>
      </c>
      <c r="B546" s="11">
        <f t="shared" si="8"/>
        <v>2.2360679774997894</v>
      </c>
      <c r="C546">
        <f>SUMIFS('data (1)'!$M:$M,'data (1)'!$A:$A,XYZ!C$1,'data (1)'!$J:$J,XYZ!$A546)</f>
        <v>0</v>
      </c>
      <c r="D546">
        <f>SUMIFS('data (1)'!$M:$M,'data (1)'!$A:$A,XYZ!D$1,'data (1)'!$J:$J,XYZ!$A546)</f>
        <v>0</v>
      </c>
      <c r="E546">
        <f>SUMIFS('data (1)'!$M:$M,'data (1)'!$A:$A,XYZ!E$1,'data (1)'!$J:$J,XYZ!$A546)</f>
        <v>1</v>
      </c>
      <c r="F546">
        <f>SUMIFS('data (1)'!$M:$M,'data (1)'!$A:$A,XYZ!F$1,'data (1)'!$J:$J,XYZ!$A546)</f>
        <v>0</v>
      </c>
      <c r="G546">
        <f>SUMIFS('data (1)'!$M:$M,'data (1)'!$A:$A,XYZ!G$1,'data (1)'!$J:$J,XYZ!$A546)</f>
        <v>0</v>
      </c>
    </row>
    <row r="547" spans="1:7" x14ac:dyDescent="0.15">
      <c r="A547" t="s">
        <v>505</v>
      </c>
      <c r="B547" s="11">
        <f t="shared" si="8"/>
        <v>2.2360679774997894</v>
      </c>
      <c r="C547">
        <f>SUMIFS('data (1)'!$M:$M,'data (1)'!$A:$A,XYZ!C$1,'data (1)'!$J:$J,XYZ!$A547)</f>
        <v>0</v>
      </c>
      <c r="D547">
        <f>SUMIFS('data (1)'!$M:$M,'data (1)'!$A:$A,XYZ!D$1,'data (1)'!$J:$J,XYZ!$A547)</f>
        <v>1</v>
      </c>
      <c r="E547">
        <f>SUMIFS('data (1)'!$M:$M,'data (1)'!$A:$A,XYZ!E$1,'data (1)'!$J:$J,XYZ!$A547)</f>
        <v>0</v>
      </c>
      <c r="F547">
        <f>SUMIFS('data (1)'!$M:$M,'data (1)'!$A:$A,XYZ!F$1,'data (1)'!$J:$J,XYZ!$A547)</f>
        <v>0</v>
      </c>
      <c r="G547">
        <f>SUMIFS('data (1)'!$M:$M,'data (1)'!$A:$A,XYZ!G$1,'data (1)'!$J:$J,XYZ!$A547)</f>
        <v>0</v>
      </c>
    </row>
    <row r="548" spans="1:7" x14ac:dyDescent="0.15">
      <c r="A548" t="s">
        <v>557</v>
      </c>
      <c r="B548" s="11">
        <f t="shared" si="8"/>
        <v>2.2360679774997894</v>
      </c>
      <c r="C548">
        <f>SUMIFS('data (1)'!$M:$M,'data (1)'!$A:$A,XYZ!C$1,'data (1)'!$J:$J,XYZ!$A548)</f>
        <v>0</v>
      </c>
      <c r="D548">
        <f>SUMIFS('data (1)'!$M:$M,'data (1)'!$A:$A,XYZ!D$1,'data (1)'!$J:$J,XYZ!$A548)</f>
        <v>1</v>
      </c>
      <c r="E548">
        <f>SUMIFS('data (1)'!$M:$M,'data (1)'!$A:$A,XYZ!E$1,'data (1)'!$J:$J,XYZ!$A548)</f>
        <v>0</v>
      </c>
      <c r="F548">
        <f>SUMIFS('data (1)'!$M:$M,'data (1)'!$A:$A,XYZ!F$1,'data (1)'!$J:$J,XYZ!$A548)</f>
        <v>0</v>
      </c>
      <c r="G548">
        <f>SUMIFS('data (1)'!$M:$M,'data (1)'!$A:$A,XYZ!G$1,'data (1)'!$J:$J,XYZ!$A548)</f>
        <v>0</v>
      </c>
    </row>
    <row r="549" spans="1:7" x14ac:dyDescent="0.15">
      <c r="A549" t="s">
        <v>851</v>
      </c>
      <c r="B549" s="11">
        <f t="shared" si="8"/>
        <v>2.2360679774997894</v>
      </c>
      <c r="C549">
        <f>SUMIFS('data (1)'!$M:$M,'data (1)'!$A:$A,XYZ!C$1,'data (1)'!$J:$J,XYZ!$A549)</f>
        <v>0</v>
      </c>
      <c r="D549">
        <f>SUMIFS('data (1)'!$M:$M,'data (1)'!$A:$A,XYZ!D$1,'data (1)'!$J:$J,XYZ!$A549)</f>
        <v>0</v>
      </c>
      <c r="E549">
        <f>SUMIFS('data (1)'!$M:$M,'data (1)'!$A:$A,XYZ!E$1,'data (1)'!$J:$J,XYZ!$A549)</f>
        <v>1</v>
      </c>
      <c r="F549">
        <f>SUMIFS('data (1)'!$M:$M,'data (1)'!$A:$A,XYZ!F$1,'data (1)'!$J:$J,XYZ!$A549)</f>
        <v>0</v>
      </c>
      <c r="G549">
        <f>SUMIFS('data (1)'!$M:$M,'data (1)'!$A:$A,XYZ!G$1,'data (1)'!$J:$J,XYZ!$A549)</f>
        <v>0</v>
      </c>
    </row>
    <row r="550" spans="1:7" x14ac:dyDescent="0.15">
      <c r="A550" t="s">
        <v>1052</v>
      </c>
      <c r="B550" s="11">
        <f t="shared" si="8"/>
        <v>2.2360679774997894</v>
      </c>
      <c r="C550">
        <f>SUMIFS('data (1)'!$M:$M,'data (1)'!$A:$A,XYZ!C$1,'data (1)'!$J:$J,XYZ!$A550)</f>
        <v>0</v>
      </c>
      <c r="D550">
        <f>SUMIFS('data (1)'!$M:$M,'data (1)'!$A:$A,XYZ!D$1,'data (1)'!$J:$J,XYZ!$A550)</f>
        <v>0</v>
      </c>
      <c r="E550">
        <f>SUMIFS('data (1)'!$M:$M,'data (1)'!$A:$A,XYZ!E$1,'data (1)'!$J:$J,XYZ!$A550)</f>
        <v>0</v>
      </c>
      <c r="F550">
        <f>SUMIFS('data (1)'!$M:$M,'data (1)'!$A:$A,XYZ!F$1,'data (1)'!$J:$J,XYZ!$A550)</f>
        <v>1</v>
      </c>
      <c r="G550">
        <f>SUMIFS('data (1)'!$M:$M,'data (1)'!$A:$A,XYZ!G$1,'data (1)'!$J:$J,XYZ!$A550)</f>
        <v>0</v>
      </c>
    </row>
    <row r="551" spans="1:7" x14ac:dyDescent="0.15">
      <c r="A551" t="s">
        <v>766</v>
      </c>
      <c r="B551" s="11">
        <f t="shared" si="8"/>
        <v>2.2360679774997894</v>
      </c>
      <c r="C551">
        <f>SUMIFS('data (1)'!$M:$M,'data (1)'!$A:$A,XYZ!C$1,'data (1)'!$J:$J,XYZ!$A551)</f>
        <v>0</v>
      </c>
      <c r="D551">
        <f>SUMIFS('data (1)'!$M:$M,'data (1)'!$A:$A,XYZ!D$1,'data (1)'!$J:$J,XYZ!$A551)</f>
        <v>0</v>
      </c>
      <c r="E551">
        <f>SUMIFS('data (1)'!$M:$M,'data (1)'!$A:$A,XYZ!E$1,'data (1)'!$J:$J,XYZ!$A551)</f>
        <v>1</v>
      </c>
      <c r="F551">
        <f>SUMIFS('data (1)'!$M:$M,'data (1)'!$A:$A,XYZ!F$1,'data (1)'!$J:$J,XYZ!$A551)</f>
        <v>0</v>
      </c>
      <c r="G551">
        <f>SUMIFS('data (1)'!$M:$M,'data (1)'!$A:$A,XYZ!G$1,'data (1)'!$J:$J,XYZ!$A551)</f>
        <v>0</v>
      </c>
    </row>
    <row r="552" spans="1:7" x14ac:dyDescent="0.15">
      <c r="A552" t="s">
        <v>152</v>
      </c>
      <c r="B552" s="11">
        <f t="shared" si="8"/>
        <v>2.2360679774997894</v>
      </c>
      <c r="C552">
        <f>SUMIFS('data (1)'!$M:$M,'data (1)'!$A:$A,XYZ!C$1,'data (1)'!$J:$J,XYZ!$A552)</f>
        <v>1</v>
      </c>
      <c r="D552">
        <f>SUMIFS('data (1)'!$M:$M,'data (1)'!$A:$A,XYZ!D$1,'data (1)'!$J:$J,XYZ!$A552)</f>
        <v>0</v>
      </c>
      <c r="E552">
        <f>SUMIFS('data (1)'!$M:$M,'data (1)'!$A:$A,XYZ!E$1,'data (1)'!$J:$J,XYZ!$A552)</f>
        <v>0</v>
      </c>
      <c r="F552">
        <f>SUMIFS('data (1)'!$M:$M,'data (1)'!$A:$A,XYZ!F$1,'data (1)'!$J:$J,XYZ!$A552)</f>
        <v>0</v>
      </c>
      <c r="G552">
        <f>SUMIFS('data (1)'!$M:$M,'data (1)'!$A:$A,XYZ!G$1,'data (1)'!$J:$J,XYZ!$A552)</f>
        <v>0</v>
      </c>
    </row>
    <row r="553" spans="1:7" x14ac:dyDescent="0.15">
      <c r="A553" t="s">
        <v>954</v>
      </c>
      <c r="B553" s="11">
        <f t="shared" si="8"/>
        <v>2.2360679774997894</v>
      </c>
      <c r="C553">
        <f>SUMIFS('data (1)'!$M:$M,'data (1)'!$A:$A,XYZ!C$1,'data (1)'!$J:$J,XYZ!$A553)</f>
        <v>0</v>
      </c>
      <c r="D553">
        <f>SUMIFS('data (1)'!$M:$M,'data (1)'!$A:$A,XYZ!D$1,'data (1)'!$J:$J,XYZ!$A553)</f>
        <v>0</v>
      </c>
      <c r="E553">
        <f>SUMIFS('data (1)'!$M:$M,'data (1)'!$A:$A,XYZ!E$1,'data (1)'!$J:$J,XYZ!$A553)</f>
        <v>0</v>
      </c>
      <c r="F553">
        <f>SUMIFS('data (1)'!$M:$M,'data (1)'!$A:$A,XYZ!F$1,'data (1)'!$J:$J,XYZ!$A553)</f>
        <v>1</v>
      </c>
      <c r="G553">
        <f>SUMIFS('data (1)'!$M:$M,'data (1)'!$A:$A,XYZ!G$1,'data (1)'!$J:$J,XYZ!$A553)</f>
        <v>0</v>
      </c>
    </row>
    <row r="554" spans="1:7" x14ac:dyDescent="0.15">
      <c r="A554" t="s">
        <v>365</v>
      </c>
      <c r="B554" s="11">
        <f t="shared" si="8"/>
        <v>2.2360679774997894</v>
      </c>
      <c r="C554">
        <f>SUMIFS('data (1)'!$M:$M,'data (1)'!$A:$A,XYZ!C$1,'data (1)'!$J:$J,XYZ!$A554)</f>
        <v>1</v>
      </c>
      <c r="D554">
        <f>SUMIFS('data (1)'!$M:$M,'data (1)'!$A:$A,XYZ!D$1,'data (1)'!$J:$J,XYZ!$A554)</f>
        <v>0</v>
      </c>
      <c r="E554">
        <f>SUMIFS('data (1)'!$M:$M,'data (1)'!$A:$A,XYZ!E$1,'data (1)'!$J:$J,XYZ!$A554)</f>
        <v>0</v>
      </c>
      <c r="F554">
        <f>SUMIFS('data (1)'!$M:$M,'data (1)'!$A:$A,XYZ!F$1,'data (1)'!$J:$J,XYZ!$A554)</f>
        <v>0</v>
      </c>
      <c r="G554">
        <f>SUMIFS('data (1)'!$M:$M,'data (1)'!$A:$A,XYZ!G$1,'data (1)'!$J:$J,XYZ!$A554)</f>
        <v>0</v>
      </c>
    </row>
    <row r="555" spans="1:7" x14ac:dyDescent="0.15">
      <c r="A555" t="s">
        <v>980</v>
      </c>
      <c r="B555" s="11">
        <f t="shared" si="8"/>
        <v>2.2360679774997894</v>
      </c>
      <c r="C555">
        <f>SUMIFS('data (1)'!$M:$M,'data (1)'!$A:$A,XYZ!C$1,'data (1)'!$J:$J,XYZ!$A555)</f>
        <v>0</v>
      </c>
      <c r="D555">
        <f>SUMIFS('data (1)'!$M:$M,'data (1)'!$A:$A,XYZ!D$1,'data (1)'!$J:$J,XYZ!$A555)</f>
        <v>0</v>
      </c>
      <c r="E555">
        <f>SUMIFS('data (1)'!$M:$M,'data (1)'!$A:$A,XYZ!E$1,'data (1)'!$J:$J,XYZ!$A555)</f>
        <v>0</v>
      </c>
      <c r="F555">
        <f>SUMIFS('data (1)'!$M:$M,'data (1)'!$A:$A,XYZ!F$1,'data (1)'!$J:$J,XYZ!$A555)</f>
        <v>1</v>
      </c>
      <c r="G555">
        <f>SUMIFS('data (1)'!$M:$M,'data (1)'!$A:$A,XYZ!G$1,'data (1)'!$J:$J,XYZ!$A555)</f>
        <v>0</v>
      </c>
    </row>
    <row r="556" spans="1:7" x14ac:dyDescent="0.15">
      <c r="A556" t="s">
        <v>764</v>
      </c>
      <c r="B556" s="11">
        <f t="shared" si="8"/>
        <v>2.2360679774997894</v>
      </c>
      <c r="C556">
        <f>SUMIFS('data (1)'!$M:$M,'data (1)'!$A:$A,XYZ!C$1,'data (1)'!$J:$J,XYZ!$A556)</f>
        <v>0</v>
      </c>
      <c r="D556">
        <f>SUMIFS('data (1)'!$M:$M,'data (1)'!$A:$A,XYZ!D$1,'data (1)'!$J:$J,XYZ!$A556)</f>
        <v>0</v>
      </c>
      <c r="E556">
        <f>SUMIFS('data (1)'!$M:$M,'data (1)'!$A:$A,XYZ!E$1,'data (1)'!$J:$J,XYZ!$A556)</f>
        <v>1</v>
      </c>
      <c r="F556">
        <f>SUMIFS('data (1)'!$M:$M,'data (1)'!$A:$A,XYZ!F$1,'data (1)'!$J:$J,XYZ!$A556)</f>
        <v>0</v>
      </c>
      <c r="G556">
        <f>SUMIFS('data (1)'!$M:$M,'data (1)'!$A:$A,XYZ!G$1,'data (1)'!$J:$J,XYZ!$A556)</f>
        <v>0</v>
      </c>
    </row>
    <row r="557" spans="1:7" x14ac:dyDescent="0.15">
      <c r="A557" t="s">
        <v>811</v>
      </c>
      <c r="B557" s="11">
        <f t="shared" si="8"/>
        <v>2.2360679774997894</v>
      </c>
      <c r="C557">
        <f>SUMIFS('data (1)'!$M:$M,'data (1)'!$A:$A,XYZ!C$1,'data (1)'!$J:$J,XYZ!$A557)</f>
        <v>0</v>
      </c>
      <c r="D557">
        <f>SUMIFS('data (1)'!$M:$M,'data (1)'!$A:$A,XYZ!D$1,'data (1)'!$J:$J,XYZ!$A557)</f>
        <v>0</v>
      </c>
      <c r="E557">
        <f>SUMIFS('data (1)'!$M:$M,'data (1)'!$A:$A,XYZ!E$1,'data (1)'!$J:$J,XYZ!$A557)</f>
        <v>1</v>
      </c>
      <c r="F557">
        <f>SUMIFS('data (1)'!$M:$M,'data (1)'!$A:$A,XYZ!F$1,'data (1)'!$J:$J,XYZ!$A557)</f>
        <v>0</v>
      </c>
      <c r="G557">
        <f>SUMIFS('data (1)'!$M:$M,'data (1)'!$A:$A,XYZ!G$1,'data (1)'!$J:$J,XYZ!$A557)</f>
        <v>0</v>
      </c>
    </row>
    <row r="558" spans="1:7" x14ac:dyDescent="0.15">
      <c r="A558" t="s">
        <v>634</v>
      </c>
      <c r="B558" s="11">
        <f t="shared" si="8"/>
        <v>2.2360679774997894</v>
      </c>
      <c r="C558">
        <f>SUMIFS('data (1)'!$M:$M,'data (1)'!$A:$A,XYZ!C$1,'data (1)'!$J:$J,XYZ!$A558)</f>
        <v>0</v>
      </c>
      <c r="D558">
        <f>SUMIFS('data (1)'!$M:$M,'data (1)'!$A:$A,XYZ!D$1,'data (1)'!$J:$J,XYZ!$A558)</f>
        <v>1</v>
      </c>
      <c r="E558">
        <f>SUMIFS('data (1)'!$M:$M,'data (1)'!$A:$A,XYZ!E$1,'data (1)'!$J:$J,XYZ!$A558)</f>
        <v>0</v>
      </c>
      <c r="F558">
        <f>SUMIFS('data (1)'!$M:$M,'data (1)'!$A:$A,XYZ!F$1,'data (1)'!$J:$J,XYZ!$A558)</f>
        <v>0</v>
      </c>
      <c r="G558">
        <f>SUMIFS('data (1)'!$M:$M,'data (1)'!$A:$A,XYZ!G$1,'data (1)'!$J:$J,XYZ!$A558)</f>
        <v>0</v>
      </c>
    </row>
    <row r="559" spans="1:7" x14ac:dyDescent="0.15">
      <c r="A559" t="s">
        <v>1049</v>
      </c>
      <c r="B559" s="11">
        <f t="shared" si="8"/>
        <v>2.2360679774997894</v>
      </c>
      <c r="C559">
        <f>SUMIFS('data (1)'!$M:$M,'data (1)'!$A:$A,XYZ!C$1,'data (1)'!$J:$J,XYZ!$A559)</f>
        <v>0</v>
      </c>
      <c r="D559">
        <f>SUMIFS('data (1)'!$M:$M,'data (1)'!$A:$A,XYZ!D$1,'data (1)'!$J:$J,XYZ!$A559)</f>
        <v>0</v>
      </c>
      <c r="E559">
        <f>SUMIFS('data (1)'!$M:$M,'data (1)'!$A:$A,XYZ!E$1,'data (1)'!$J:$J,XYZ!$A559)</f>
        <v>0</v>
      </c>
      <c r="F559">
        <f>SUMIFS('data (1)'!$M:$M,'data (1)'!$A:$A,XYZ!F$1,'data (1)'!$J:$J,XYZ!$A559)</f>
        <v>1</v>
      </c>
      <c r="G559">
        <f>SUMIFS('data (1)'!$M:$M,'data (1)'!$A:$A,XYZ!G$1,'data (1)'!$J:$J,XYZ!$A559)</f>
        <v>0</v>
      </c>
    </row>
    <row r="560" spans="1:7" x14ac:dyDescent="0.15">
      <c r="A560" t="s">
        <v>471</v>
      </c>
      <c r="B560" s="11">
        <f t="shared" si="8"/>
        <v>2.2360679774997894</v>
      </c>
      <c r="C560">
        <f>SUMIFS('data (1)'!$M:$M,'data (1)'!$A:$A,XYZ!C$1,'data (1)'!$J:$J,XYZ!$A560)</f>
        <v>1</v>
      </c>
      <c r="D560">
        <f>SUMIFS('data (1)'!$M:$M,'data (1)'!$A:$A,XYZ!D$1,'data (1)'!$J:$J,XYZ!$A560)</f>
        <v>0</v>
      </c>
      <c r="E560">
        <f>SUMIFS('data (1)'!$M:$M,'data (1)'!$A:$A,XYZ!E$1,'data (1)'!$J:$J,XYZ!$A560)</f>
        <v>0</v>
      </c>
      <c r="F560">
        <f>SUMIFS('data (1)'!$M:$M,'data (1)'!$A:$A,XYZ!F$1,'data (1)'!$J:$J,XYZ!$A560)</f>
        <v>0</v>
      </c>
      <c r="G560">
        <f>SUMIFS('data (1)'!$M:$M,'data (1)'!$A:$A,XYZ!G$1,'data (1)'!$J:$J,XYZ!$A560)</f>
        <v>0</v>
      </c>
    </row>
    <row r="561" spans="1:7" x14ac:dyDescent="0.15">
      <c r="A561" t="s">
        <v>1199</v>
      </c>
      <c r="B561" s="11">
        <f t="shared" si="8"/>
        <v>2.2360679774997894</v>
      </c>
      <c r="C561">
        <f>SUMIFS('data (1)'!$M:$M,'data (1)'!$A:$A,XYZ!C$1,'data (1)'!$J:$J,XYZ!$A561)</f>
        <v>0</v>
      </c>
      <c r="D561">
        <f>SUMIFS('data (1)'!$M:$M,'data (1)'!$A:$A,XYZ!D$1,'data (1)'!$J:$J,XYZ!$A561)</f>
        <v>0</v>
      </c>
      <c r="E561">
        <f>SUMIFS('data (1)'!$M:$M,'data (1)'!$A:$A,XYZ!E$1,'data (1)'!$J:$J,XYZ!$A561)</f>
        <v>0</v>
      </c>
      <c r="F561">
        <f>SUMIFS('data (1)'!$M:$M,'data (1)'!$A:$A,XYZ!F$1,'data (1)'!$J:$J,XYZ!$A561)</f>
        <v>0</v>
      </c>
      <c r="G561">
        <f>SUMIFS('data (1)'!$M:$M,'data (1)'!$A:$A,XYZ!G$1,'data (1)'!$J:$J,XYZ!$A561)</f>
        <v>1</v>
      </c>
    </row>
    <row r="562" spans="1:7" x14ac:dyDescent="0.15">
      <c r="A562" t="s">
        <v>426</v>
      </c>
      <c r="B562" s="11">
        <f t="shared" si="8"/>
        <v>2.2360679774997894</v>
      </c>
      <c r="C562">
        <f>SUMIFS('data (1)'!$M:$M,'data (1)'!$A:$A,XYZ!C$1,'data (1)'!$J:$J,XYZ!$A562)</f>
        <v>1</v>
      </c>
      <c r="D562">
        <f>SUMIFS('data (1)'!$M:$M,'data (1)'!$A:$A,XYZ!D$1,'data (1)'!$J:$J,XYZ!$A562)</f>
        <v>0</v>
      </c>
      <c r="E562">
        <f>SUMIFS('data (1)'!$M:$M,'data (1)'!$A:$A,XYZ!E$1,'data (1)'!$J:$J,XYZ!$A562)</f>
        <v>0</v>
      </c>
      <c r="F562">
        <f>SUMIFS('data (1)'!$M:$M,'data (1)'!$A:$A,XYZ!F$1,'data (1)'!$J:$J,XYZ!$A562)</f>
        <v>0</v>
      </c>
      <c r="G562">
        <f>SUMIFS('data (1)'!$M:$M,'data (1)'!$A:$A,XYZ!G$1,'data (1)'!$J:$J,XYZ!$A562)</f>
        <v>0</v>
      </c>
    </row>
    <row r="563" spans="1:7" x14ac:dyDescent="0.15">
      <c r="A563" t="s">
        <v>496</v>
      </c>
      <c r="B563" s="11">
        <f t="shared" si="8"/>
        <v>2.2360679774997894</v>
      </c>
      <c r="C563">
        <f>SUMIFS('data (1)'!$M:$M,'data (1)'!$A:$A,XYZ!C$1,'data (1)'!$J:$J,XYZ!$A563)</f>
        <v>0</v>
      </c>
      <c r="D563">
        <f>SUMIFS('data (1)'!$M:$M,'data (1)'!$A:$A,XYZ!D$1,'data (1)'!$J:$J,XYZ!$A563)</f>
        <v>1</v>
      </c>
      <c r="E563">
        <f>SUMIFS('data (1)'!$M:$M,'data (1)'!$A:$A,XYZ!E$1,'data (1)'!$J:$J,XYZ!$A563)</f>
        <v>0</v>
      </c>
      <c r="F563">
        <f>SUMIFS('data (1)'!$M:$M,'data (1)'!$A:$A,XYZ!F$1,'data (1)'!$J:$J,XYZ!$A563)</f>
        <v>0</v>
      </c>
      <c r="G563">
        <f>SUMIFS('data (1)'!$M:$M,'data (1)'!$A:$A,XYZ!G$1,'data (1)'!$J:$J,XYZ!$A563)</f>
        <v>0</v>
      </c>
    </row>
    <row r="564" spans="1:7" x14ac:dyDescent="0.15">
      <c r="A564" t="s">
        <v>1026</v>
      </c>
      <c r="B564" s="11">
        <f t="shared" si="8"/>
        <v>2.2360679774997894</v>
      </c>
      <c r="C564">
        <f>SUMIFS('data (1)'!$M:$M,'data (1)'!$A:$A,XYZ!C$1,'data (1)'!$J:$J,XYZ!$A564)</f>
        <v>0</v>
      </c>
      <c r="D564">
        <f>SUMIFS('data (1)'!$M:$M,'data (1)'!$A:$A,XYZ!D$1,'data (1)'!$J:$J,XYZ!$A564)</f>
        <v>0</v>
      </c>
      <c r="E564">
        <f>SUMIFS('data (1)'!$M:$M,'data (1)'!$A:$A,XYZ!E$1,'data (1)'!$J:$J,XYZ!$A564)</f>
        <v>0</v>
      </c>
      <c r="F564">
        <f>SUMIFS('data (1)'!$M:$M,'data (1)'!$A:$A,XYZ!F$1,'data (1)'!$J:$J,XYZ!$A564)</f>
        <v>1</v>
      </c>
      <c r="G564">
        <f>SUMIFS('data (1)'!$M:$M,'data (1)'!$A:$A,XYZ!G$1,'data (1)'!$J:$J,XYZ!$A564)</f>
        <v>0</v>
      </c>
    </row>
    <row r="565" spans="1:7" x14ac:dyDescent="0.15">
      <c r="A565" t="s">
        <v>1216</v>
      </c>
      <c r="B565" s="11">
        <f t="shared" si="8"/>
        <v>2.2360679774997894</v>
      </c>
      <c r="C565">
        <f>SUMIFS('data (1)'!$M:$M,'data (1)'!$A:$A,XYZ!C$1,'data (1)'!$J:$J,XYZ!$A565)</f>
        <v>0</v>
      </c>
      <c r="D565">
        <f>SUMIFS('data (1)'!$M:$M,'data (1)'!$A:$A,XYZ!D$1,'data (1)'!$J:$J,XYZ!$A565)</f>
        <v>0</v>
      </c>
      <c r="E565">
        <f>SUMIFS('data (1)'!$M:$M,'data (1)'!$A:$A,XYZ!E$1,'data (1)'!$J:$J,XYZ!$A565)</f>
        <v>0</v>
      </c>
      <c r="F565">
        <f>SUMIFS('data (1)'!$M:$M,'data (1)'!$A:$A,XYZ!F$1,'data (1)'!$J:$J,XYZ!$A565)</f>
        <v>0</v>
      </c>
      <c r="G565">
        <f>SUMIFS('data (1)'!$M:$M,'data (1)'!$A:$A,XYZ!G$1,'data (1)'!$J:$J,XYZ!$A565)</f>
        <v>1</v>
      </c>
    </row>
    <row r="566" spans="1:7" x14ac:dyDescent="0.15">
      <c r="A566" t="s">
        <v>374</v>
      </c>
      <c r="B566" s="11">
        <f t="shared" si="8"/>
        <v>2.2360679774997894</v>
      </c>
      <c r="C566">
        <f>SUMIFS('data (1)'!$M:$M,'data (1)'!$A:$A,XYZ!C$1,'data (1)'!$J:$J,XYZ!$A566)</f>
        <v>1</v>
      </c>
      <c r="D566">
        <f>SUMIFS('data (1)'!$M:$M,'data (1)'!$A:$A,XYZ!D$1,'data (1)'!$J:$J,XYZ!$A566)</f>
        <v>0</v>
      </c>
      <c r="E566">
        <f>SUMIFS('data (1)'!$M:$M,'data (1)'!$A:$A,XYZ!E$1,'data (1)'!$J:$J,XYZ!$A566)</f>
        <v>0</v>
      </c>
      <c r="F566">
        <f>SUMIFS('data (1)'!$M:$M,'data (1)'!$A:$A,XYZ!F$1,'data (1)'!$J:$J,XYZ!$A566)</f>
        <v>0</v>
      </c>
      <c r="G566">
        <f>SUMIFS('data (1)'!$M:$M,'data (1)'!$A:$A,XYZ!G$1,'data (1)'!$J:$J,XYZ!$A566)</f>
        <v>0</v>
      </c>
    </row>
    <row r="567" spans="1:7" x14ac:dyDescent="0.15">
      <c r="A567" t="s">
        <v>798</v>
      </c>
      <c r="B567" s="11">
        <f t="shared" si="8"/>
        <v>2.2360679774997894</v>
      </c>
      <c r="C567">
        <f>SUMIFS('data (1)'!$M:$M,'data (1)'!$A:$A,XYZ!C$1,'data (1)'!$J:$J,XYZ!$A567)</f>
        <v>0</v>
      </c>
      <c r="D567">
        <f>SUMIFS('data (1)'!$M:$M,'data (1)'!$A:$A,XYZ!D$1,'data (1)'!$J:$J,XYZ!$A567)</f>
        <v>0</v>
      </c>
      <c r="E567">
        <f>SUMIFS('data (1)'!$M:$M,'data (1)'!$A:$A,XYZ!E$1,'data (1)'!$J:$J,XYZ!$A567)</f>
        <v>1</v>
      </c>
      <c r="F567">
        <f>SUMIFS('data (1)'!$M:$M,'data (1)'!$A:$A,XYZ!F$1,'data (1)'!$J:$J,XYZ!$A567)</f>
        <v>0</v>
      </c>
      <c r="G567">
        <f>SUMIFS('data (1)'!$M:$M,'data (1)'!$A:$A,XYZ!G$1,'data (1)'!$J:$J,XYZ!$A567)</f>
        <v>0</v>
      </c>
    </row>
    <row r="568" spans="1:7" x14ac:dyDescent="0.15">
      <c r="A568" t="s">
        <v>872</v>
      </c>
      <c r="B568" s="11">
        <f t="shared" si="8"/>
        <v>2.2360679774997894</v>
      </c>
      <c r="C568">
        <f>SUMIFS('data (1)'!$M:$M,'data (1)'!$A:$A,XYZ!C$1,'data (1)'!$J:$J,XYZ!$A568)</f>
        <v>0</v>
      </c>
      <c r="D568">
        <f>SUMIFS('data (1)'!$M:$M,'data (1)'!$A:$A,XYZ!D$1,'data (1)'!$J:$J,XYZ!$A568)</f>
        <v>0</v>
      </c>
      <c r="E568">
        <f>SUMIFS('data (1)'!$M:$M,'data (1)'!$A:$A,XYZ!E$1,'data (1)'!$J:$J,XYZ!$A568)</f>
        <v>1</v>
      </c>
      <c r="F568">
        <f>SUMIFS('data (1)'!$M:$M,'data (1)'!$A:$A,XYZ!F$1,'data (1)'!$J:$J,XYZ!$A568)</f>
        <v>0</v>
      </c>
      <c r="G568">
        <f>SUMIFS('data (1)'!$M:$M,'data (1)'!$A:$A,XYZ!G$1,'data (1)'!$J:$J,XYZ!$A568)</f>
        <v>0</v>
      </c>
    </row>
    <row r="569" spans="1:7" x14ac:dyDescent="0.15">
      <c r="A569" t="s">
        <v>1212</v>
      </c>
      <c r="B569" s="11">
        <f t="shared" si="8"/>
        <v>2.2360679774997894</v>
      </c>
      <c r="C569">
        <f>SUMIFS('data (1)'!$M:$M,'data (1)'!$A:$A,XYZ!C$1,'data (1)'!$J:$J,XYZ!$A569)</f>
        <v>0</v>
      </c>
      <c r="D569">
        <f>SUMIFS('data (1)'!$M:$M,'data (1)'!$A:$A,XYZ!D$1,'data (1)'!$J:$J,XYZ!$A569)</f>
        <v>0</v>
      </c>
      <c r="E569">
        <f>SUMIFS('data (1)'!$M:$M,'data (1)'!$A:$A,XYZ!E$1,'data (1)'!$J:$J,XYZ!$A569)</f>
        <v>0</v>
      </c>
      <c r="F569">
        <f>SUMIFS('data (1)'!$M:$M,'data (1)'!$A:$A,XYZ!F$1,'data (1)'!$J:$J,XYZ!$A569)</f>
        <v>0</v>
      </c>
      <c r="G569">
        <f>SUMIFS('data (1)'!$M:$M,'data (1)'!$A:$A,XYZ!G$1,'data (1)'!$J:$J,XYZ!$A569)</f>
        <v>1</v>
      </c>
    </row>
    <row r="570" spans="1:7" x14ac:dyDescent="0.15">
      <c r="A570" t="s">
        <v>404</v>
      </c>
      <c r="B570" s="11">
        <f t="shared" si="8"/>
        <v>2.2360679774997894</v>
      </c>
      <c r="C570">
        <f>SUMIFS('data (1)'!$M:$M,'data (1)'!$A:$A,XYZ!C$1,'data (1)'!$J:$J,XYZ!$A570)</f>
        <v>1</v>
      </c>
      <c r="D570">
        <f>SUMIFS('data (1)'!$M:$M,'data (1)'!$A:$A,XYZ!D$1,'data (1)'!$J:$J,XYZ!$A570)</f>
        <v>0</v>
      </c>
      <c r="E570">
        <f>SUMIFS('data (1)'!$M:$M,'data (1)'!$A:$A,XYZ!E$1,'data (1)'!$J:$J,XYZ!$A570)</f>
        <v>0</v>
      </c>
      <c r="F570">
        <f>SUMIFS('data (1)'!$M:$M,'data (1)'!$A:$A,XYZ!F$1,'data (1)'!$J:$J,XYZ!$A570)</f>
        <v>0</v>
      </c>
      <c r="G570">
        <f>SUMIFS('data (1)'!$M:$M,'data (1)'!$A:$A,XYZ!G$1,'data (1)'!$J:$J,XYZ!$A570)</f>
        <v>0</v>
      </c>
    </row>
    <row r="571" spans="1:7" x14ac:dyDescent="0.15">
      <c r="A571" t="s">
        <v>1006</v>
      </c>
      <c r="B571" s="11">
        <f t="shared" si="8"/>
        <v>2.2360679774997894</v>
      </c>
      <c r="C571">
        <f>SUMIFS('data (1)'!$M:$M,'data (1)'!$A:$A,XYZ!C$1,'data (1)'!$J:$J,XYZ!$A571)</f>
        <v>0</v>
      </c>
      <c r="D571">
        <f>SUMIFS('data (1)'!$M:$M,'data (1)'!$A:$A,XYZ!D$1,'data (1)'!$J:$J,XYZ!$A571)</f>
        <v>0</v>
      </c>
      <c r="E571">
        <f>SUMIFS('data (1)'!$M:$M,'data (1)'!$A:$A,XYZ!E$1,'data (1)'!$J:$J,XYZ!$A571)</f>
        <v>0</v>
      </c>
      <c r="F571">
        <f>SUMIFS('data (1)'!$M:$M,'data (1)'!$A:$A,XYZ!F$1,'data (1)'!$J:$J,XYZ!$A571)</f>
        <v>1</v>
      </c>
      <c r="G571">
        <f>SUMIFS('data (1)'!$M:$M,'data (1)'!$A:$A,XYZ!G$1,'data (1)'!$J:$J,XYZ!$A571)</f>
        <v>0</v>
      </c>
    </row>
    <row r="572" spans="1:7" x14ac:dyDescent="0.15">
      <c r="A572" t="s">
        <v>1191</v>
      </c>
      <c r="B572" s="11">
        <f t="shared" si="8"/>
        <v>2.2360679774997894</v>
      </c>
      <c r="C572">
        <f>SUMIFS('data (1)'!$M:$M,'data (1)'!$A:$A,XYZ!C$1,'data (1)'!$J:$J,XYZ!$A572)</f>
        <v>0</v>
      </c>
      <c r="D572">
        <f>SUMIFS('data (1)'!$M:$M,'data (1)'!$A:$A,XYZ!D$1,'data (1)'!$J:$J,XYZ!$A572)</f>
        <v>0</v>
      </c>
      <c r="E572">
        <f>SUMIFS('data (1)'!$M:$M,'data (1)'!$A:$A,XYZ!E$1,'data (1)'!$J:$J,XYZ!$A572)</f>
        <v>0</v>
      </c>
      <c r="F572">
        <f>SUMIFS('data (1)'!$M:$M,'data (1)'!$A:$A,XYZ!F$1,'data (1)'!$J:$J,XYZ!$A572)</f>
        <v>0</v>
      </c>
      <c r="G572">
        <f>SUMIFS('data (1)'!$M:$M,'data (1)'!$A:$A,XYZ!G$1,'data (1)'!$J:$J,XYZ!$A572)</f>
        <v>1</v>
      </c>
    </row>
    <row r="573" spans="1:7" x14ac:dyDescent="0.15">
      <c r="A573" t="s">
        <v>344</v>
      </c>
      <c r="B573" s="11">
        <f t="shared" si="8"/>
        <v>2.2360679774997894</v>
      </c>
      <c r="C573">
        <f>SUMIFS('data (1)'!$M:$M,'data (1)'!$A:$A,XYZ!C$1,'data (1)'!$J:$J,XYZ!$A573)</f>
        <v>1</v>
      </c>
      <c r="D573">
        <f>SUMIFS('data (1)'!$M:$M,'data (1)'!$A:$A,XYZ!D$1,'data (1)'!$J:$J,XYZ!$A573)</f>
        <v>0</v>
      </c>
      <c r="E573">
        <f>SUMIFS('data (1)'!$M:$M,'data (1)'!$A:$A,XYZ!E$1,'data (1)'!$J:$J,XYZ!$A573)</f>
        <v>0</v>
      </c>
      <c r="F573">
        <f>SUMIFS('data (1)'!$M:$M,'data (1)'!$A:$A,XYZ!F$1,'data (1)'!$J:$J,XYZ!$A573)</f>
        <v>0</v>
      </c>
      <c r="G573">
        <f>SUMIFS('data (1)'!$M:$M,'data (1)'!$A:$A,XYZ!G$1,'data (1)'!$J:$J,XYZ!$A573)</f>
        <v>0</v>
      </c>
    </row>
    <row r="574" spans="1:7" x14ac:dyDescent="0.15">
      <c r="A574" t="s">
        <v>938</v>
      </c>
      <c r="B574" s="11">
        <f t="shared" si="8"/>
        <v>2.2360679774997894</v>
      </c>
      <c r="C574">
        <f>SUMIFS('data (1)'!$M:$M,'data (1)'!$A:$A,XYZ!C$1,'data (1)'!$J:$J,XYZ!$A574)</f>
        <v>0</v>
      </c>
      <c r="D574">
        <f>SUMIFS('data (1)'!$M:$M,'data (1)'!$A:$A,XYZ!D$1,'data (1)'!$J:$J,XYZ!$A574)</f>
        <v>0</v>
      </c>
      <c r="E574">
        <f>SUMIFS('data (1)'!$M:$M,'data (1)'!$A:$A,XYZ!E$1,'data (1)'!$J:$J,XYZ!$A574)</f>
        <v>0</v>
      </c>
      <c r="F574">
        <f>SUMIFS('data (1)'!$M:$M,'data (1)'!$A:$A,XYZ!F$1,'data (1)'!$J:$J,XYZ!$A574)</f>
        <v>1</v>
      </c>
      <c r="G574">
        <f>SUMIFS('data (1)'!$M:$M,'data (1)'!$A:$A,XYZ!G$1,'data (1)'!$J:$J,XYZ!$A574)</f>
        <v>0</v>
      </c>
    </row>
    <row r="575" spans="1:7" x14ac:dyDescent="0.15">
      <c r="A575" t="s">
        <v>947</v>
      </c>
      <c r="B575" s="11">
        <f t="shared" si="8"/>
        <v>2.2360679774997894</v>
      </c>
      <c r="C575">
        <f>SUMIFS('data (1)'!$M:$M,'data (1)'!$A:$A,XYZ!C$1,'data (1)'!$J:$J,XYZ!$A575)</f>
        <v>0</v>
      </c>
      <c r="D575">
        <f>SUMIFS('data (1)'!$M:$M,'data (1)'!$A:$A,XYZ!D$1,'data (1)'!$J:$J,XYZ!$A575)</f>
        <v>0</v>
      </c>
      <c r="E575">
        <f>SUMIFS('data (1)'!$M:$M,'data (1)'!$A:$A,XYZ!E$1,'data (1)'!$J:$J,XYZ!$A575)</f>
        <v>0</v>
      </c>
      <c r="F575">
        <f>SUMIFS('data (1)'!$M:$M,'data (1)'!$A:$A,XYZ!F$1,'data (1)'!$J:$J,XYZ!$A575)</f>
        <v>1</v>
      </c>
      <c r="G575">
        <f>SUMIFS('data (1)'!$M:$M,'data (1)'!$A:$A,XYZ!G$1,'data (1)'!$J:$J,XYZ!$A575)</f>
        <v>0</v>
      </c>
    </row>
    <row r="576" spans="1:7" x14ac:dyDescent="0.15">
      <c r="A576" t="s">
        <v>444</v>
      </c>
      <c r="B576" s="11">
        <f t="shared" si="8"/>
        <v>2.2360679774997894</v>
      </c>
      <c r="C576">
        <f>SUMIFS('data (1)'!$M:$M,'data (1)'!$A:$A,XYZ!C$1,'data (1)'!$J:$J,XYZ!$A576)</f>
        <v>1</v>
      </c>
      <c r="D576">
        <f>SUMIFS('data (1)'!$M:$M,'data (1)'!$A:$A,XYZ!D$1,'data (1)'!$J:$J,XYZ!$A576)</f>
        <v>0</v>
      </c>
      <c r="E576">
        <f>SUMIFS('data (1)'!$M:$M,'data (1)'!$A:$A,XYZ!E$1,'data (1)'!$J:$J,XYZ!$A576)</f>
        <v>0</v>
      </c>
      <c r="F576">
        <f>SUMIFS('data (1)'!$M:$M,'data (1)'!$A:$A,XYZ!F$1,'data (1)'!$J:$J,XYZ!$A576)</f>
        <v>0</v>
      </c>
      <c r="G576">
        <f>SUMIFS('data (1)'!$M:$M,'data (1)'!$A:$A,XYZ!G$1,'data (1)'!$J:$J,XYZ!$A576)</f>
        <v>0</v>
      </c>
    </row>
    <row r="577" spans="1:7" x14ac:dyDescent="0.15">
      <c r="A577" t="s">
        <v>1194</v>
      </c>
      <c r="B577" s="11">
        <f t="shared" si="8"/>
        <v>2.2360679774997894</v>
      </c>
      <c r="C577">
        <f>SUMIFS('data (1)'!$M:$M,'data (1)'!$A:$A,XYZ!C$1,'data (1)'!$J:$J,XYZ!$A577)</f>
        <v>0</v>
      </c>
      <c r="D577">
        <f>SUMIFS('data (1)'!$M:$M,'data (1)'!$A:$A,XYZ!D$1,'data (1)'!$J:$J,XYZ!$A577)</f>
        <v>0</v>
      </c>
      <c r="E577">
        <f>SUMIFS('data (1)'!$M:$M,'data (1)'!$A:$A,XYZ!E$1,'data (1)'!$J:$J,XYZ!$A577)</f>
        <v>0</v>
      </c>
      <c r="F577">
        <f>SUMIFS('data (1)'!$M:$M,'data (1)'!$A:$A,XYZ!F$1,'data (1)'!$J:$J,XYZ!$A577)</f>
        <v>0</v>
      </c>
      <c r="G577">
        <f>SUMIFS('data (1)'!$M:$M,'data (1)'!$A:$A,XYZ!G$1,'data (1)'!$J:$J,XYZ!$A577)</f>
        <v>1</v>
      </c>
    </row>
    <row r="578" spans="1:7" x14ac:dyDescent="0.15">
      <c r="A578" t="s">
        <v>548</v>
      </c>
      <c r="B578" s="11">
        <f t="shared" si="8"/>
        <v>2.2360679774997894</v>
      </c>
      <c r="C578">
        <f>SUMIFS('data (1)'!$M:$M,'data (1)'!$A:$A,XYZ!C$1,'data (1)'!$J:$J,XYZ!$A578)</f>
        <v>0</v>
      </c>
      <c r="D578">
        <f>SUMIFS('data (1)'!$M:$M,'data (1)'!$A:$A,XYZ!D$1,'data (1)'!$J:$J,XYZ!$A578)</f>
        <v>1</v>
      </c>
      <c r="E578">
        <f>SUMIFS('data (1)'!$M:$M,'data (1)'!$A:$A,XYZ!E$1,'data (1)'!$J:$J,XYZ!$A578)</f>
        <v>0</v>
      </c>
      <c r="F578">
        <f>SUMIFS('data (1)'!$M:$M,'data (1)'!$A:$A,XYZ!F$1,'data (1)'!$J:$J,XYZ!$A578)</f>
        <v>0</v>
      </c>
      <c r="G578">
        <f>SUMIFS('data (1)'!$M:$M,'data (1)'!$A:$A,XYZ!G$1,'data (1)'!$J:$J,XYZ!$A578)</f>
        <v>0</v>
      </c>
    </row>
    <row r="579" spans="1:7" x14ac:dyDescent="0.15">
      <c r="A579" t="s">
        <v>367</v>
      </c>
      <c r="B579" s="11">
        <f t="shared" ref="B579:B642" si="9">_xlfn.STDEV.S(C579:G579)/AVERAGE(C579:G579)</f>
        <v>2.2360679774997894</v>
      </c>
      <c r="C579">
        <f>SUMIFS('data (1)'!$M:$M,'data (1)'!$A:$A,XYZ!C$1,'data (1)'!$J:$J,XYZ!$A579)</f>
        <v>1</v>
      </c>
      <c r="D579">
        <f>SUMIFS('data (1)'!$M:$M,'data (1)'!$A:$A,XYZ!D$1,'data (1)'!$J:$J,XYZ!$A579)</f>
        <v>0</v>
      </c>
      <c r="E579">
        <f>SUMIFS('data (1)'!$M:$M,'data (1)'!$A:$A,XYZ!E$1,'data (1)'!$J:$J,XYZ!$A579)</f>
        <v>0</v>
      </c>
      <c r="F579">
        <f>SUMIFS('data (1)'!$M:$M,'data (1)'!$A:$A,XYZ!F$1,'data (1)'!$J:$J,XYZ!$A579)</f>
        <v>0</v>
      </c>
      <c r="G579">
        <f>SUMIFS('data (1)'!$M:$M,'data (1)'!$A:$A,XYZ!G$1,'data (1)'!$J:$J,XYZ!$A579)</f>
        <v>0</v>
      </c>
    </row>
    <row r="580" spans="1:7" x14ac:dyDescent="0.15">
      <c r="A580" t="s">
        <v>1071</v>
      </c>
      <c r="B580" s="11">
        <f t="shared" si="9"/>
        <v>2.2360679774997894</v>
      </c>
      <c r="C580">
        <f>SUMIFS('data (1)'!$M:$M,'data (1)'!$A:$A,XYZ!C$1,'data (1)'!$J:$J,XYZ!$A580)</f>
        <v>0</v>
      </c>
      <c r="D580">
        <f>SUMIFS('data (1)'!$M:$M,'data (1)'!$A:$A,XYZ!D$1,'data (1)'!$J:$J,XYZ!$A580)</f>
        <v>0</v>
      </c>
      <c r="E580">
        <f>SUMIFS('data (1)'!$M:$M,'data (1)'!$A:$A,XYZ!E$1,'data (1)'!$J:$J,XYZ!$A580)</f>
        <v>0</v>
      </c>
      <c r="F580">
        <f>SUMIFS('data (1)'!$M:$M,'data (1)'!$A:$A,XYZ!F$1,'data (1)'!$J:$J,XYZ!$A580)</f>
        <v>1</v>
      </c>
      <c r="G580">
        <f>SUMIFS('data (1)'!$M:$M,'data (1)'!$A:$A,XYZ!G$1,'data (1)'!$J:$J,XYZ!$A580)</f>
        <v>0</v>
      </c>
    </row>
    <row r="581" spans="1:7" x14ac:dyDescent="0.15">
      <c r="A581" t="s">
        <v>721</v>
      </c>
      <c r="B581" s="11">
        <f t="shared" si="9"/>
        <v>2.2360679774997894</v>
      </c>
      <c r="C581">
        <f>SUMIFS('data (1)'!$M:$M,'data (1)'!$A:$A,XYZ!C$1,'data (1)'!$J:$J,XYZ!$A581)</f>
        <v>0</v>
      </c>
      <c r="D581">
        <f>SUMIFS('data (1)'!$M:$M,'data (1)'!$A:$A,XYZ!D$1,'data (1)'!$J:$J,XYZ!$A581)</f>
        <v>0</v>
      </c>
      <c r="E581">
        <f>SUMIFS('data (1)'!$M:$M,'data (1)'!$A:$A,XYZ!E$1,'data (1)'!$J:$J,XYZ!$A581)</f>
        <v>1</v>
      </c>
      <c r="F581">
        <f>SUMIFS('data (1)'!$M:$M,'data (1)'!$A:$A,XYZ!F$1,'data (1)'!$J:$J,XYZ!$A581)</f>
        <v>0</v>
      </c>
      <c r="G581">
        <f>SUMIFS('data (1)'!$M:$M,'data (1)'!$A:$A,XYZ!G$1,'data (1)'!$J:$J,XYZ!$A581)</f>
        <v>0</v>
      </c>
    </row>
    <row r="582" spans="1:7" x14ac:dyDescent="0.15">
      <c r="A582" t="s">
        <v>145</v>
      </c>
      <c r="B582" s="11">
        <f t="shared" si="9"/>
        <v>2.2360679774997894</v>
      </c>
      <c r="C582">
        <f>SUMIFS('data (1)'!$M:$M,'data (1)'!$A:$A,XYZ!C$1,'data (1)'!$J:$J,XYZ!$A582)</f>
        <v>1</v>
      </c>
      <c r="D582">
        <f>SUMIFS('data (1)'!$M:$M,'data (1)'!$A:$A,XYZ!D$1,'data (1)'!$J:$J,XYZ!$A582)</f>
        <v>0</v>
      </c>
      <c r="E582">
        <f>SUMIFS('data (1)'!$M:$M,'data (1)'!$A:$A,XYZ!E$1,'data (1)'!$J:$J,XYZ!$A582)</f>
        <v>0</v>
      </c>
      <c r="F582">
        <f>SUMIFS('data (1)'!$M:$M,'data (1)'!$A:$A,XYZ!F$1,'data (1)'!$J:$J,XYZ!$A582)</f>
        <v>0</v>
      </c>
      <c r="G582">
        <f>SUMIFS('data (1)'!$M:$M,'data (1)'!$A:$A,XYZ!G$1,'data (1)'!$J:$J,XYZ!$A582)</f>
        <v>0</v>
      </c>
    </row>
    <row r="583" spans="1:7" x14ac:dyDescent="0.15">
      <c r="A583" t="s">
        <v>339</v>
      </c>
      <c r="B583" s="11">
        <f t="shared" si="9"/>
        <v>2.2360679774997894</v>
      </c>
      <c r="C583">
        <f>SUMIFS('data (1)'!$M:$M,'data (1)'!$A:$A,XYZ!C$1,'data (1)'!$J:$J,XYZ!$A583)</f>
        <v>1</v>
      </c>
      <c r="D583">
        <f>SUMIFS('data (1)'!$M:$M,'data (1)'!$A:$A,XYZ!D$1,'data (1)'!$J:$J,XYZ!$A583)</f>
        <v>0</v>
      </c>
      <c r="E583">
        <f>SUMIFS('data (1)'!$M:$M,'data (1)'!$A:$A,XYZ!E$1,'data (1)'!$J:$J,XYZ!$A583)</f>
        <v>0</v>
      </c>
      <c r="F583">
        <f>SUMIFS('data (1)'!$M:$M,'data (1)'!$A:$A,XYZ!F$1,'data (1)'!$J:$J,XYZ!$A583)</f>
        <v>0</v>
      </c>
      <c r="G583">
        <f>SUMIFS('data (1)'!$M:$M,'data (1)'!$A:$A,XYZ!G$1,'data (1)'!$J:$J,XYZ!$A583)</f>
        <v>0</v>
      </c>
    </row>
    <row r="584" spans="1:7" x14ac:dyDescent="0.15">
      <c r="A584" t="s">
        <v>442</v>
      </c>
      <c r="B584" s="11">
        <f t="shared" si="9"/>
        <v>2.2360679774997894</v>
      </c>
      <c r="C584">
        <f>SUMIFS('data (1)'!$M:$M,'data (1)'!$A:$A,XYZ!C$1,'data (1)'!$J:$J,XYZ!$A584)</f>
        <v>1</v>
      </c>
      <c r="D584">
        <f>SUMIFS('data (1)'!$M:$M,'data (1)'!$A:$A,XYZ!D$1,'data (1)'!$J:$J,XYZ!$A584)</f>
        <v>0</v>
      </c>
      <c r="E584">
        <f>SUMIFS('data (1)'!$M:$M,'data (1)'!$A:$A,XYZ!E$1,'data (1)'!$J:$J,XYZ!$A584)</f>
        <v>0</v>
      </c>
      <c r="F584">
        <f>SUMIFS('data (1)'!$M:$M,'data (1)'!$A:$A,XYZ!F$1,'data (1)'!$J:$J,XYZ!$A584)</f>
        <v>0</v>
      </c>
      <c r="G584">
        <f>SUMIFS('data (1)'!$M:$M,'data (1)'!$A:$A,XYZ!G$1,'data (1)'!$J:$J,XYZ!$A584)</f>
        <v>0</v>
      </c>
    </row>
    <row r="585" spans="1:7" x14ac:dyDescent="0.15">
      <c r="A585" t="s">
        <v>498</v>
      </c>
      <c r="B585" s="11">
        <f t="shared" si="9"/>
        <v>2.2360679774997894</v>
      </c>
      <c r="C585">
        <f>SUMIFS('data (1)'!$M:$M,'data (1)'!$A:$A,XYZ!C$1,'data (1)'!$J:$J,XYZ!$A585)</f>
        <v>0</v>
      </c>
      <c r="D585">
        <f>SUMIFS('data (1)'!$M:$M,'data (1)'!$A:$A,XYZ!D$1,'data (1)'!$J:$J,XYZ!$A585)</f>
        <v>1</v>
      </c>
      <c r="E585">
        <f>SUMIFS('data (1)'!$M:$M,'data (1)'!$A:$A,XYZ!E$1,'data (1)'!$J:$J,XYZ!$A585)</f>
        <v>0</v>
      </c>
      <c r="F585">
        <f>SUMIFS('data (1)'!$M:$M,'data (1)'!$A:$A,XYZ!F$1,'data (1)'!$J:$J,XYZ!$A585)</f>
        <v>0</v>
      </c>
      <c r="G585">
        <f>SUMIFS('data (1)'!$M:$M,'data (1)'!$A:$A,XYZ!G$1,'data (1)'!$J:$J,XYZ!$A585)</f>
        <v>0</v>
      </c>
    </row>
    <row r="586" spans="1:7" x14ac:dyDescent="0.15">
      <c r="A586" t="s">
        <v>282</v>
      </c>
      <c r="B586" s="11">
        <f t="shared" si="9"/>
        <v>2.2360679774997894</v>
      </c>
      <c r="C586">
        <f>SUMIFS('data (1)'!$M:$M,'data (1)'!$A:$A,XYZ!C$1,'data (1)'!$J:$J,XYZ!$A586)</f>
        <v>1</v>
      </c>
      <c r="D586">
        <f>SUMIFS('data (1)'!$M:$M,'data (1)'!$A:$A,XYZ!D$1,'data (1)'!$J:$J,XYZ!$A586)</f>
        <v>0</v>
      </c>
      <c r="E586">
        <f>SUMIFS('data (1)'!$M:$M,'data (1)'!$A:$A,XYZ!E$1,'data (1)'!$J:$J,XYZ!$A586)</f>
        <v>0</v>
      </c>
      <c r="F586">
        <f>SUMIFS('data (1)'!$M:$M,'data (1)'!$A:$A,XYZ!F$1,'data (1)'!$J:$J,XYZ!$A586)</f>
        <v>0</v>
      </c>
      <c r="G586">
        <f>SUMIFS('data (1)'!$M:$M,'data (1)'!$A:$A,XYZ!G$1,'data (1)'!$J:$J,XYZ!$A586)</f>
        <v>0</v>
      </c>
    </row>
    <row r="587" spans="1:7" x14ac:dyDescent="0.15">
      <c r="A587" t="s">
        <v>219</v>
      </c>
      <c r="B587" s="11">
        <f t="shared" si="9"/>
        <v>2.2360679774997894</v>
      </c>
      <c r="C587">
        <f>SUMIFS('data (1)'!$M:$M,'data (1)'!$A:$A,XYZ!C$1,'data (1)'!$J:$J,XYZ!$A587)</f>
        <v>1</v>
      </c>
      <c r="D587">
        <f>SUMIFS('data (1)'!$M:$M,'data (1)'!$A:$A,XYZ!D$1,'data (1)'!$J:$J,XYZ!$A587)</f>
        <v>0</v>
      </c>
      <c r="E587">
        <f>SUMIFS('data (1)'!$M:$M,'data (1)'!$A:$A,XYZ!E$1,'data (1)'!$J:$J,XYZ!$A587)</f>
        <v>0</v>
      </c>
      <c r="F587">
        <f>SUMIFS('data (1)'!$M:$M,'data (1)'!$A:$A,XYZ!F$1,'data (1)'!$J:$J,XYZ!$A587)</f>
        <v>0</v>
      </c>
      <c r="G587">
        <f>SUMIFS('data (1)'!$M:$M,'data (1)'!$A:$A,XYZ!G$1,'data (1)'!$J:$J,XYZ!$A587)</f>
        <v>0</v>
      </c>
    </row>
    <row r="588" spans="1:7" x14ac:dyDescent="0.15">
      <c r="A588" t="s">
        <v>1140</v>
      </c>
      <c r="B588" s="11">
        <f t="shared" si="9"/>
        <v>2.2360679774997894</v>
      </c>
      <c r="C588">
        <f>SUMIFS('data (1)'!$M:$M,'data (1)'!$A:$A,XYZ!C$1,'data (1)'!$J:$J,XYZ!$A588)</f>
        <v>0</v>
      </c>
      <c r="D588">
        <f>SUMIFS('data (1)'!$M:$M,'data (1)'!$A:$A,XYZ!D$1,'data (1)'!$J:$J,XYZ!$A588)</f>
        <v>0</v>
      </c>
      <c r="E588">
        <f>SUMIFS('data (1)'!$M:$M,'data (1)'!$A:$A,XYZ!E$1,'data (1)'!$J:$J,XYZ!$A588)</f>
        <v>0</v>
      </c>
      <c r="F588">
        <f>SUMIFS('data (1)'!$M:$M,'data (1)'!$A:$A,XYZ!F$1,'data (1)'!$J:$J,XYZ!$A588)</f>
        <v>0</v>
      </c>
      <c r="G588">
        <f>SUMIFS('data (1)'!$M:$M,'data (1)'!$A:$A,XYZ!G$1,'data (1)'!$J:$J,XYZ!$A588)</f>
        <v>1</v>
      </c>
    </row>
    <row r="589" spans="1:7" x14ac:dyDescent="0.15">
      <c r="A589" t="s">
        <v>516</v>
      </c>
      <c r="B589" s="11">
        <f t="shared" si="9"/>
        <v>2.2360679774997894</v>
      </c>
      <c r="C589">
        <f>SUMIFS('data (1)'!$M:$M,'data (1)'!$A:$A,XYZ!C$1,'data (1)'!$J:$J,XYZ!$A589)</f>
        <v>0</v>
      </c>
      <c r="D589">
        <f>SUMIFS('data (1)'!$M:$M,'data (1)'!$A:$A,XYZ!D$1,'data (1)'!$J:$J,XYZ!$A589)</f>
        <v>1</v>
      </c>
      <c r="E589">
        <f>SUMIFS('data (1)'!$M:$M,'data (1)'!$A:$A,XYZ!E$1,'data (1)'!$J:$J,XYZ!$A589)</f>
        <v>0</v>
      </c>
      <c r="F589">
        <f>SUMIFS('data (1)'!$M:$M,'data (1)'!$A:$A,XYZ!F$1,'data (1)'!$J:$J,XYZ!$A589)</f>
        <v>0</v>
      </c>
      <c r="G589">
        <f>SUMIFS('data (1)'!$M:$M,'data (1)'!$A:$A,XYZ!G$1,'data (1)'!$J:$J,XYZ!$A589)</f>
        <v>0</v>
      </c>
    </row>
    <row r="590" spans="1:7" x14ac:dyDescent="0.15">
      <c r="A590" t="s">
        <v>323</v>
      </c>
      <c r="B590" s="11">
        <f t="shared" si="9"/>
        <v>2.2360679774997894</v>
      </c>
      <c r="C590">
        <f>SUMIFS('data (1)'!$M:$M,'data (1)'!$A:$A,XYZ!C$1,'data (1)'!$J:$J,XYZ!$A590)</f>
        <v>1</v>
      </c>
      <c r="D590">
        <f>SUMIFS('data (1)'!$M:$M,'data (1)'!$A:$A,XYZ!D$1,'data (1)'!$J:$J,XYZ!$A590)</f>
        <v>0</v>
      </c>
      <c r="E590">
        <f>SUMIFS('data (1)'!$M:$M,'data (1)'!$A:$A,XYZ!E$1,'data (1)'!$J:$J,XYZ!$A590)</f>
        <v>0</v>
      </c>
      <c r="F590">
        <f>SUMIFS('data (1)'!$M:$M,'data (1)'!$A:$A,XYZ!F$1,'data (1)'!$J:$J,XYZ!$A590)</f>
        <v>0</v>
      </c>
      <c r="G590">
        <f>SUMIFS('data (1)'!$M:$M,'data (1)'!$A:$A,XYZ!G$1,'data (1)'!$J:$J,XYZ!$A590)</f>
        <v>0</v>
      </c>
    </row>
    <row r="591" spans="1:7" x14ac:dyDescent="0.15">
      <c r="A591" t="s">
        <v>1159</v>
      </c>
      <c r="B591" s="11">
        <f t="shared" si="9"/>
        <v>2.2360679774997894</v>
      </c>
      <c r="C591">
        <f>SUMIFS('data (1)'!$M:$M,'data (1)'!$A:$A,XYZ!C$1,'data (1)'!$J:$J,XYZ!$A591)</f>
        <v>0</v>
      </c>
      <c r="D591">
        <f>SUMIFS('data (1)'!$M:$M,'data (1)'!$A:$A,XYZ!D$1,'data (1)'!$J:$J,XYZ!$A591)</f>
        <v>0</v>
      </c>
      <c r="E591">
        <f>SUMIFS('data (1)'!$M:$M,'data (1)'!$A:$A,XYZ!E$1,'data (1)'!$J:$J,XYZ!$A591)</f>
        <v>0</v>
      </c>
      <c r="F591">
        <f>SUMIFS('data (1)'!$M:$M,'data (1)'!$A:$A,XYZ!F$1,'data (1)'!$J:$J,XYZ!$A591)</f>
        <v>0</v>
      </c>
      <c r="G591">
        <f>SUMIFS('data (1)'!$M:$M,'data (1)'!$A:$A,XYZ!G$1,'data (1)'!$J:$J,XYZ!$A591)</f>
        <v>1</v>
      </c>
    </row>
    <row r="592" spans="1:7" x14ac:dyDescent="0.15">
      <c r="A592" t="s">
        <v>538</v>
      </c>
      <c r="B592" s="11">
        <f t="shared" si="9"/>
        <v>2.2360679774997894</v>
      </c>
      <c r="C592">
        <f>SUMIFS('data (1)'!$M:$M,'data (1)'!$A:$A,XYZ!C$1,'data (1)'!$J:$J,XYZ!$A592)</f>
        <v>0</v>
      </c>
      <c r="D592">
        <f>SUMIFS('data (1)'!$M:$M,'data (1)'!$A:$A,XYZ!D$1,'data (1)'!$J:$J,XYZ!$A592)</f>
        <v>1</v>
      </c>
      <c r="E592">
        <f>SUMIFS('data (1)'!$M:$M,'data (1)'!$A:$A,XYZ!E$1,'data (1)'!$J:$J,XYZ!$A592)</f>
        <v>0</v>
      </c>
      <c r="F592">
        <f>SUMIFS('data (1)'!$M:$M,'data (1)'!$A:$A,XYZ!F$1,'data (1)'!$J:$J,XYZ!$A592)</f>
        <v>0</v>
      </c>
      <c r="G592">
        <f>SUMIFS('data (1)'!$M:$M,'data (1)'!$A:$A,XYZ!G$1,'data (1)'!$J:$J,XYZ!$A592)</f>
        <v>0</v>
      </c>
    </row>
    <row r="593" spans="1:7" x14ac:dyDescent="0.15">
      <c r="A593" t="s">
        <v>109</v>
      </c>
      <c r="B593" s="11">
        <f t="shared" si="9"/>
        <v>2.2360679774997894</v>
      </c>
      <c r="C593">
        <f>SUMIFS('data (1)'!$M:$M,'data (1)'!$A:$A,XYZ!C$1,'data (1)'!$J:$J,XYZ!$A593)</f>
        <v>1</v>
      </c>
      <c r="D593">
        <f>SUMIFS('data (1)'!$M:$M,'data (1)'!$A:$A,XYZ!D$1,'data (1)'!$J:$J,XYZ!$A593)</f>
        <v>0</v>
      </c>
      <c r="E593">
        <f>SUMIFS('data (1)'!$M:$M,'data (1)'!$A:$A,XYZ!E$1,'data (1)'!$J:$J,XYZ!$A593)</f>
        <v>0</v>
      </c>
      <c r="F593">
        <f>SUMIFS('data (1)'!$M:$M,'data (1)'!$A:$A,XYZ!F$1,'data (1)'!$J:$J,XYZ!$A593)</f>
        <v>0</v>
      </c>
      <c r="G593">
        <f>SUMIFS('data (1)'!$M:$M,'data (1)'!$A:$A,XYZ!G$1,'data (1)'!$J:$J,XYZ!$A593)</f>
        <v>0</v>
      </c>
    </row>
    <row r="594" spans="1:7" x14ac:dyDescent="0.15">
      <c r="A594" t="s">
        <v>1073</v>
      </c>
      <c r="B594" s="11">
        <f t="shared" si="9"/>
        <v>2.2360679774997894</v>
      </c>
      <c r="C594">
        <f>SUMIFS('data (1)'!$M:$M,'data (1)'!$A:$A,XYZ!C$1,'data (1)'!$J:$J,XYZ!$A594)</f>
        <v>0</v>
      </c>
      <c r="D594">
        <f>SUMIFS('data (1)'!$M:$M,'data (1)'!$A:$A,XYZ!D$1,'data (1)'!$J:$J,XYZ!$A594)</f>
        <v>0</v>
      </c>
      <c r="E594">
        <f>SUMIFS('data (1)'!$M:$M,'data (1)'!$A:$A,XYZ!E$1,'data (1)'!$J:$J,XYZ!$A594)</f>
        <v>0</v>
      </c>
      <c r="F594">
        <f>SUMIFS('data (1)'!$M:$M,'data (1)'!$A:$A,XYZ!F$1,'data (1)'!$J:$J,XYZ!$A594)</f>
        <v>1</v>
      </c>
      <c r="G594">
        <f>SUMIFS('data (1)'!$M:$M,'data (1)'!$A:$A,XYZ!G$1,'data (1)'!$J:$J,XYZ!$A594)</f>
        <v>0</v>
      </c>
    </row>
    <row r="595" spans="1:7" x14ac:dyDescent="0.15">
      <c r="A595" t="s">
        <v>1044</v>
      </c>
      <c r="B595" s="11">
        <f t="shared" si="9"/>
        <v>2.2360679774997894</v>
      </c>
      <c r="C595">
        <f>SUMIFS('data (1)'!$M:$M,'data (1)'!$A:$A,XYZ!C$1,'data (1)'!$J:$J,XYZ!$A595)</f>
        <v>0</v>
      </c>
      <c r="D595">
        <f>SUMIFS('data (1)'!$M:$M,'data (1)'!$A:$A,XYZ!D$1,'data (1)'!$J:$J,XYZ!$A595)</f>
        <v>0</v>
      </c>
      <c r="E595">
        <f>SUMIFS('data (1)'!$M:$M,'data (1)'!$A:$A,XYZ!E$1,'data (1)'!$J:$J,XYZ!$A595)</f>
        <v>0</v>
      </c>
      <c r="F595">
        <f>SUMIFS('data (1)'!$M:$M,'data (1)'!$A:$A,XYZ!F$1,'data (1)'!$J:$J,XYZ!$A595)</f>
        <v>1</v>
      </c>
      <c r="G595">
        <f>SUMIFS('data (1)'!$M:$M,'data (1)'!$A:$A,XYZ!G$1,'data (1)'!$J:$J,XYZ!$A595)</f>
        <v>0</v>
      </c>
    </row>
    <row r="596" spans="1:7" x14ac:dyDescent="0.15">
      <c r="A596" t="s">
        <v>403</v>
      </c>
      <c r="B596" s="11">
        <f t="shared" si="9"/>
        <v>2.2360679774997894</v>
      </c>
      <c r="C596">
        <f>SUMIFS('data (1)'!$M:$M,'data (1)'!$A:$A,XYZ!C$1,'data (1)'!$J:$J,XYZ!$A596)</f>
        <v>1</v>
      </c>
      <c r="D596">
        <f>SUMIFS('data (1)'!$M:$M,'data (1)'!$A:$A,XYZ!D$1,'data (1)'!$J:$J,XYZ!$A596)</f>
        <v>0</v>
      </c>
      <c r="E596">
        <f>SUMIFS('data (1)'!$M:$M,'data (1)'!$A:$A,XYZ!E$1,'data (1)'!$J:$J,XYZ!$A596)</f>
        <v>0</v>
      </c>
      <c r="F596">
        <f>SUMIFS('data (1)'!$M:$M,'data (1)'!$A:$A,XYZ!F$1,'data (1)'!$J:$J,XYZ!$A596)</f>
        <v>0</v>
      </c>
      <c r="G596">
        <f>SUMIFS('data (1)'!$M:$M,'data (1)'!$A:$A,XYZ!G$1,'data (1)'!$J:$J,XYZ!$A596)</f>
        <v>0</v>
      </c>
    </row>
    <row r="597" spans="1:7" x14ac:dyDescent="0.15">
      <c r="A597" t="s">
        <v>524</v>
      </c>
      <c r="B597" s="11">
        <f t="shared" si="9"/>
        <v>2.2360679774997894</v>
      </c>
      <c r="C597">
        <f>SUMIFS('data (1)'!$M:$M,'data (1)'!$A:$A,XYZ!C$1,'data (1)'!$J:$J,XYZ!$A597)</f>
        <v>0</v>
      </c>
      <c r="D597">
        <f>SUMIFS('data (1)'!$M:$M,'data (1)'!$A:$A,XYZ!D$1,'data (1)'!$J:$J,XYZ!$A597)</f>
        <v>1</v>
      </c>
      <c r="E597">
        <f>SUMIFS('data (1)'!$M:$M,'data (1)'!$A:$A,XYZ!E$1,'data (1)'!$J:$J,XYZ!$A597)</f>
        <v>0</v>
      </c>
      <c r="F597">
        <f>SUMIFS('data (1)'!$M:$M,'data (1)'!$A:$A,XYZ!F$1,'data (1)'!$J:$J,XYZ!$A597)</f>
        <v>0</v>
      </c>
      <c r="G597">
        <f>SUMIFS('data (1)'!$M:$M,'data (1)'!$A:$A,XYZ!G$1,'data (1)'!$J:$J,XYZ!$A597)</f>
        <v>0</v>
      </c>
    </row>
    <row r="598" spans="1:7" x14ac:dyDescent="0.15">
      <c r="A598" t="s">
        <v>730</v>
      </c>
      <c r="B598" s="11">
        <f t="shared" si="9"/>
        <v>2.2360679774997894</v>
      </c>
      <c r="C598">
        <f>SUMIFS('data (1)'!$M:$M,'data (1)'!$A:$A,XYZ!C$1,'data (1)'!$J:$J,XYZ!$A598)</f>
        <v>0</v>
      </c>
      <c r="D598">
        <f>SUMIFS('data (1)'!$M:$M,'data (1)'!$A:$A,XYZ!D$1,'data (1)'!$J:$J,XYZ!$A598)</f>
        <v>0</v>
      </c>
      <c r="E598">
        <f>SUMIFS('data (1)'!$M:$M,'data (1)'!$A:$A,XYZ!E$1,'data (1)'!$J:$J,XYZ!$A598)</f>
        <v>1</v>
      </c>
      <c r="F598">
        <f>SUMIFS('data (1)'!$M:$M,'data (1)'!$A:$A,XYZ!F$1,'data (1)'!$J:$J,XYZ!$A598)</f>
        <v>0</v>
      </c>
      <c r="G598">
        <f>SUMIFS('data (1)'!$M:$M,'data (1)'!$A:$A,XYZ!G$1,'data (1)'!$J:$J,XYZ!$A598)</f>
        <v>0</v>
      </c>
    </row>
    <row r="599" spans="1:7" x14ac:dyDescent="0.15">
      <c r="A599" t="s">
        <v>987</v>
      </c>
      <c r="B599" s="11">
        <f t="shared" si="9"/>
        <v>2.2360679774997894</v>
      </c>
      <c r="C599">
        <f>SUMIFS('data (1)'!$M:$M,'data (1)'!$A:$A,XYZ!C$1,'data (1)'!$J:$J,XYZ!$A599)</f>
        <v>0</v>
      </c>
      <c r="D599">
        <f>SUMIFS('data (1)'!$M:$M,'data (1)'!$A:$A,XYZ!D$1,'data (1)'!$J:$J,XYZ!$A599)</f>
        <v>0</v>
      </c>
      <c r="E599">
        <f>SUMIFS('data (1)'!$M:$M,'data (1)'!$A:$A,XYZ!E$1,'data (1)'!$J:$J,XYZ!$A599)</f>
        <v>0</v>
      </c>
      <c r="F599">
        <f>SUMIFS('data (1)'!$M:$M,'data (1)'!$A:$A,XYZ!F$1,'data (1)'!$J:$J,XYZ!$A599)</f>
        <v>1</v>
      </c>
      <c r="G599">
        <f>SUMIFS('data (1)'!$M:$M,'data (1)'!$A:$A,XYZ!G$1,'data (1)'!$J:$J,XYZ!$A599)</f>
        <v>0</v>
      </c>
    </row>
    <row r="600" spans="1:7" x14ac:dyDescent="0.15">
      <c r="A600" t="s">
        <v>864</v>
      </c>
      <c r="B600" s="11">
        <f t="shared" si="9"/>
        <v>2.2360679774997894</v>
      </c>
      <c r="C600">
        <f>SUMIFS('data (1)'!$M:$M,'data (1)'!$A:$A,XYZ!C$1,'data (1)'!$J:$J,XYZ!$A600)</f>
        <v>0</v>
      </c>
      <c r="D600">
        <f>SUMIFS('data (1)'!$M:$M,'data (1)'!$A:$A,XYZ!D$1,'data (1)'!$J:$J,XYZ!$A600)</f>
        <v>0</v>
      </c>
      <c r="E600">
        <f>SUMIFS('data (1)'!$M:$M,'data (1)'!$A:$A,XYZ!E$1,'data (1)'!$J:$J,XYZ!$A600)</f>
        <v>1</v>
      </c>
      <c r="F600">
        <f>SUMIFS('data (1)'!$M:$M,'data (1)'!$A:$A,XYZ!F$1,'data (1)'!$J:$J,XYZ!$A600)</f>
        <v>0</v>
      </c>
      <c r="G600">
        <f>SUMIFS('data (1)'!$M:$M,'data (1)'!$A:$A,XYZ!G$1,'data (1)'!$J:$J,XYZ!$A600)</f>
        <v>0</v>
      </c>
    </row>
    <row r="601" spans="1:7" x14ac:dyDescent="0.15">
      <c r="A601" t="s">
        <v>1025</v>
      </c>
      <c r="B601" s="11">
        <f t="shared" si="9"/>
        <v>2.2360679774997894</v>
      </c>
      <c r="C601">
        <f>SUMIFS('data (1)'!$M:$M,'data (1)'!$A:$A,XYZ!C$1,'data (1)'!$J:$J,XYZ!$A601)</f>
        <v>0</v>
      </c>
      <c r="D601">
        <f>SUMIFS('data (1)'!$M:$M,'data (1)'!$A:$A,XYZ!D$1,'data (1)'!$J:$J,XYZ!$A601)</f>
        <v>0</v>
      </c>
      <c r="E601">
        <f>SUMIFS('data (1)'!$M:$M,'data (1)'!$A:$A,XYZ!E$1,'data (1)'!$J:$J,XYZ!$A601)</f>
        <v>0</v>
      </c>
      <c r="F601">
        <f>SUMIFS('data (1)'!$M:$M,'data (1)'!$A:$A,XYZ!F$1,'data (1)'!$J:$J,XYZ!$A601)</f>
        <v>1</v>
      </c>
      <c r="G601">
        <f>SUMIFS('data (1)'!$M:$M,'data (1)'!$A:$A,XYZ!G$1,'data (1)'!$J:$J,XYZ!$A601)</f>
        <v>0</v>
      </c>
    </row>
    <row r="602" spans="1:7" x14ac:dyDescent="0.15">
      <c r="A602" t="s">
        <v>1000</v>
      </c>
      <c r="B602" s="11">
        <f t="shared" si="9"/>
        <v>2.2360679774997894</v>
      </c>
      <c r="C602">
        <f>SUMIFS('data (1)'!$M:$M,'data (1)'!$A:$A,XYZ!C$1,'data (1)'!$J:$J,XYZ!$A602)</f>
        <v>0</v>
      </c>
      <c r="D602">
        <f>SUMIFS('data (1)'!$M:$M,'data (1)'!$A:$A,XYZ!D$1,'data (1)'!$J:$J,XYZ!$A602)</f>
        <v>0</v>
      </c>
      <c r="E602">
        <f>SUMIFS('data (1)'!$M:$M,'data (1)'!$A:$A,XYZ!E$1,'data (1)'!$J:$J,XYZ!$A602)</f>
        <v>0</v>
      </c>
      <c r="F602">
        <f>SUMIFS('data (1)'!$M:$M,'data (1)'!$A:$A,XYZ!F$1,'data (1)'!$J:$J,XYZ!$A602)</f>
        <v>1</v>
      </c>
      <c r="G602">
        <f>SUMIFS('data (1)'!$M:$M,'data (1)'!$A:$A,XYZ!G$1,'data (1)'!$J:$J,XYZ!$A602)</f>
        <v>0</v>
      </c>
    </row>
    <row r="603" spans="1:7" x14ac:dyDescent="0.15">
      <c r="A603" t="s">
        <v>1040</v>
      </c>
      <c r="B603" s="11">
        <f t="shared" si="9"/>
        <v>2.2360679774997894</v>
      </c>
      <c r="C603">
        <f>SUMIFS('data (1)'!$M:$M,'data (1)'!$A:$A,XYZ!C$1,'data (1)'!$J:$J,XYZ!$A603)</f>
        <v>0</v>
      </c>
      <c r="D603">
        <f>SUMIFS('data (1)'!$M:$M,'data (1)'!$A:$A,XYZ!D$1,'data (1)'!$J:$J,XYZ!$A603)</f>
        <v>0</v>
      </c>
      <c r="E603">
        <f>SUMIFS('data (1)'!$M:$M,'data (1)'!$A:$A,XYZ!E$1,'data (1)'!$J:$J,XYZ!$A603)</f>
        <v>0</v>
      </c>
      <c r="F603">
        <f>SUMIFS('data (1)'!$M:$M,'data (1)'!$A:$A,XYZ!F$1,'data (1)'!$J:$J,XYZ!$A603)</f>
        <v>1</v>
      </c>
      <c r="G603">
        <f>SUMIFS('data (1)'!$M:$M,'data (1)'!$A:$A,XYZ!G$1,'data (1)'!$J:$J,XYZ!$A603)</f>
        <v>0</v>
      </c>
    </row>
    <row r="604" spans="1:7" x14ac:dyDescent="0.15">
      <c r="A604" t="s">
        <v>658</v>
      </c>
      <c r="B604" s="11">
        <f t="shared" si="9"/>
        <v>2.2360679774997894</v>
      </c>
      <c r="C604">
        <f>SUMIFS('data (1)'!$M:$M,'data (1)'!$A:$A,XYZ!C$1,'data (1)'!$J:$J,XYZ!$A604)</f>
        <v>0</v>
      </c>
      <c r="D604">
        <f>SUMIFS('data (1)'!$M:$M,'data (1)'!$A:$A,XYZ!D$1,'data (1)'!$J:$J,XYZ!$A604)</f>
        <v>1</v>
      </c>
      <c r="E604">
        <f>SUMIFS('data (1)'!$M:$M,'data (1)'!$A:$A,XYZ!E$1,'data (1)'!$J:$J,XYZ!$A604)</f>
        <v>0</v>
      </c>
      <c r="F604">
        <f>SUMIFS('data (1)'!$M:$M,'data (1)'!$A:$A,XYZ!F$1,'data (1)'!$J:$J,XYZ!$A604)</f>
        <v>0</v>
      </c>
      <c r="G604">
        <f>SUMIFS('data (1)'!$M:$M,'data (1)'!$A:$A,XYZ!G$1,'data (1)'!$J:$J,XYZ!$A604)</f>
        <v>0</v>
      </c>
    </row>
    <row r="605" spans="1:7" x14ac:dyDescent="0.15">
      <c r="A605" t="s">
        <v>613</v>
      </c>
      <c r="B605" s="11">
        <f t="shared" si="9"/>
        <v>2.2360679774997894</v>
      </c>
      <c r="C605">
        <f>SUMIFS('data (1)'!$M:$M,'data (1)'!$A:$A,XYZ!C$1,'data (1)'!$J:$J,XYZ!$A605)</f>
        <v>0</v>
      </c>
      <c r="D605">
        <f>SUMIFS('data (1)'!$M:$M,'data (1)'!$A:$A,XYZ!D$1,'data (1)'!$J:$J,XYZ!$A605)</f>
        <v>1</v>
      </c>
      <c r="E605">
        <f>SUMIFS('data (1)'!$M:$M,'data (1)'!$A:$A,XYZ!E$1,'data (1)'!$J:$J,XYZ!$A605)</f>
        <v>0</v>
      </c>
      <c r="F605">
        <f>SUMIFS('data (1)'!$M:$M,'data (1)'!$A:$A,XYZ!F$1,'data (1)'!$J:$J,XYZ!$A605)</f>
        <v>0</v>
      </c>
      <c r="G605">
        <f>SUMIFS('data (1)'!$M:$M,'data (1)'!$A:$A,XYZ!G$1,'data (1)'!$J:$J,XYZ!$A605)</f>
        <v>0</v>
      </c>
    </row>
    <row r="606" spans="1:7" x14ac:dyDescent="0.15">
      <c r="A606" t="s">
        <v>671</v>
      </c>
      <c r="B606" s="11">
        <f t="shared" si="9"/>
        <v>2.2360679774997894</v>
      </c>
      <c r="C606">
        <f>SUMIFS('data (1)'!$M:$M,'data (1)'!$A:$A,XYZ!C$1,'data (1)'!$J:$J,XYZ!$A606)</f>
        <v>0</v>
      </c>
      <c r="D606">
        <f>SUMIFS('data (1)'!$M:$M,'data (1)'!$A:$A,XYZ!D$1,'data (1)'!$J:$J,XYZ!$A606)</f>
        <v>1</v>
      </c>
      <c r="E606">
        <f>SUMIFS('data (1)'!$M:$M,'data (1)'!$A:$A,XYZ!E$1,'data (1)'!$J:$J,XYZ!$A606)</f>
        <v>0</v>
      </c>
      <c r="F606">
        <f>SUMIFS('data (1)'!$M:$M,'data (1)'!$A:$A,XYZ!F$1,'data (1)'!$J:$J,XYZ!$A606)</f>
        <v>0</v>
      </c>
      <c r="G606">
        <f>SUMIFS('data (1)'!$M:$M,'data (1)'!$A:$A,XYZ!G$1,'data (1)'!$J:$J,XYZ!$A606)</f>
        <v>0</v>
      </c>
    </row>
    <row r="607" spans="1:7" x14ac:dyDescent="0.15">
      <c r="A607" t="s">
        <v>883</v>
      </c>
      <c r="B607" s="11">
        <f t="shared" si="9"/>
        <v>2.2360679774997894</v>
      </c>
      <c r="C607">
        <f>SUMIFS('data (1)'!$M:$M,'data (1)'!$A:$A,XYZ!C$1,'data (1)'!$J:$J,XYZ!$A607)</f>
        <v>0</v>
      </c>
      <c r="D607">
        <f>SUMIFS('data (1)'!$M:$M,'data (1)'!$A:$A,XYZ!D$1,'data (1)'!$J:$J,XYZ!$A607)</f>
        <v>0</v>
      </c>
      <c r="E607">
        <f>SUMIFS('data (1)'!$M:$M,'data (1)'!$A:$A,XYZ!E$1,'data (1)'!$J:$J,XYZ!$A607)</f>
        <v>1</v>
      </c>
      <c r="F607">
        <f>SUMIFS('data (1)'!$M:$M,'data (1)'!$A:$A,XYZ!F$1,'data (1)'!$J:$J,XYZ!$A607)</f>
        <v>0</v>
      </c>
      <c r="G607">
        <f>SUMIFS('data (1)'!$M:$M,'data (1)'!$A:$A,XYZ!G$1,'data (1)'!$J:$J,XYZ!$A607)</f>
        <v>0</v>
      </c>
    </row>
    <row r="608" spans="1:7" x14ac:dyDescent="0.15">
      <c r="A608" t="s">
        <v>965</v>
      </c>
      <c r="B608" s="11">
        <f t="shared" si="9"/>
        <v>2.2360679774997894</v>
      </c>
      <c r="C608">
        <f>SUMIFS('data (1)'!$M:$M,'data (1)'!$A:$A,XYZ!C$1,'data (1)'!$J:$J,XYZ!$A608)</f>
        <v>0</v>
      </c>
      <c r="D608">
        <f>SUMIFS('data (1)'!$M:$M,'data (1)'!$A:$A,XYZ!D$1,'data (1)'!$J:$J,XYZ!$A608)</f>
        <v>0</v>
      </c>
      <c r="E608">
        <f>SUMIFS('data (1)'!$M:$M,'data (1)'!$A:$A,XYZ!E$1,'data (1)'!$J:$J,XYZ!$A608)</f>
        <v>0</v>
      </c>
      <c r="F608">
        <f>SUMIFS('data (1)'!$M:$M,'data (1)'!$A:$A,XYZ!F$1,'data (1)'!$J:$J,XYZ!$A608)</f>
        <v>1</v>
      </c>
      <c r="G608">
        <f>SUMIFS('data (1)'!$M:$M,'data (1)'!$A:$A,XYZ!G$1,'data (1)'!$J:$J,XYZ!$A608)</f>
        <v>0</v>
      </c>
    </row>
    <row r="609" spans="1:7" x14ac:dyDescent="0.15">
      <c r="A609" t="s">
        <v>1193</v>
      </c>
      <c r="B609" s="11">
        <f t="shared" si="9"/>
        <v>2.2360679774997894</v>
      </c>
      <c r="C609">
        <f>SUMIFS('data (1)'!$M:$M,'data (1)'!$A:$A,XYZ!C$1,'data (1)'!$J:$J,XYZ!$A609)</f>
        <v>0</v>
      </c>
      <c r="D609">
        <f>SUMIFS('data (1)'!$M:$M,'data (1)'!$A:$A,XYZ!D$1,'data (1)'!$J:$J,XYZ!$A609)</f>
        <v>0</v>
      </c>
      <c r="E609">
        <f>SUMIFS('data (1)'!$M:$M,'data (1)'!$A:$A,XYZ!E$1,'data (1)'!$J:$J,XYZ!$A609)</f>
        <v>0</v>
      </c>
      <c r="F609">
        <f>SUMIFS('data (1)'!$M:$M,'data (1)'!$A:$A,XYZ!F$1,'data (1)'!$J:$J,XYZ!$A609)</f>
        <v>0</v>
      </c>
      <c r="G609">
        <f>SUMIFS('data (1)'!$M:$M,'data (1)'!$A:$A,XYZ!G$1,'data (1)'!$J:$J,XYZ!$A609)</f>
        <v>1</v>
      </c>
    </row>
    <row r="610" spans="1:7" x14ac:dyDescent="0.15">
      <c r="A610" t="s">
        <v>439</v>
      </c>
      <c r="B610" s="11">
        <f t="shared" si="9"/>
        <v>2.2360679774997894</v>
      </c>
      <c r="C610">
        <f>SUMIFS('data (1)'!$M:$M,'data (1)'!$A:$A,XYZ!C$1,'data (1)'!$J:$J,XYZ!$A610)</f>
        <v>1</v>
      </c>
      <c r="D610">
        <f>SUMIFS('data (1)'!$M:$M,'data (1)'!$A:$A,XYZ!D$1,'data (1)'!$J:$J,XYZ!$A610)</f>
        <v>0</v>
      </c>
      <c r="E610">
        <f>SUMIFS('data (1)'!$M:$M,'data (1)'!$A:$A,XYZ!E$1,'data (1)'!$J:$J,XYZ!$A610)</f>
        <v>0</v>
      </c>
      <c r="F610">
        <f>SUMIFS('data (1)'!$M:$M,'data (1)'!$A:$A,XYZ!F$1,'data (1)'!$J:$J,XYZ!$A610)</f>
        <v>0</v>
      </c>
      <c r="G610">
        <f>SUMIFS('data (1)'!$M:$M,'data (1)'!$A:$A,XYZ!G$1,'data (1)'!$J:$J,XYZ!$A610)</f>
        <v>0</v>
      </c>
    </row>
    <row r="611" spans="1:7" x14ac:dyDescent="0.15">
      <c r="A611" t="s">
        <v>1146</v>
      </c>
      <c r="B611" s="11">
        <f t="shared" si="9"/>
        <v>2.2360679774997894</v>
      </c>
      <c r="C611">
        <f>SUMIFS('data (1)'!$M:$M,'data (1)'!$A:$A,XYZ!C$1,'data (1)'!$J:$J,XYZ!$A611)</f>
        <v>0</v>
      </c>
      <c r="D611">
        <f>SUMIFS('data (1)'!$M:$M,'data (1)'!$A:$A,XYZ!D$1,'data (1)'!$J:$J,XYZ!$A611)</f>
        <v>0</v>
      </c>
      <c r="E611">
        <f>SUMIFS('data (1)'!$M:$M,'data (1)'!$A:$A,XYZ!E$1,'data (1)'!$J:$J,XYZ!$A611)</f>
        <v>0</v>
      </c>
      <c r="F611">
        <f>SUMIFS('data (1)'!$M:$M,'data (1)'!$A:$A,XYZ!F$1,'data (1)'!$J:$J,XYZ!$A611)</f>
        <v>0</v>
      </c>
      <c r="G611">
        <f>SUMIFS('data (1)'!$M:$M,'data (1)'!$A:$A,XYZ!G$1,'data (1)'!$J:$J,XYZ!$A611)</f>
        <v>1</v>
      </c>
    </row>
    <row r="612" spans="1:7" x14ac:dyDescent="0.15">
      <c r="A612" t="s">
        <v>512</v>
      </c>
      <c r="B612" s="11">
        <f t="shared" si="9"/>
        <v>2.2360679774997894</v>
      </c>
      <c r="C612">
        <f>SUMIFS('data (1)'!$M:$M,'data (1)'!$A:$A,XYZ!C$1,'data (1)'!$J:$J,XYZ!$A612)</f>
        <v>0</v>
      </c>
      <c r="D612">
        <f>SUMIFS('data (1)'!$M:$M,'data (1)'!$A:$A,XYZ!D$1,'data (1)'!$J:$J,XYZ!$A612)</f>
        <v>1</v>
      </c>
      <c r="E612">
        <f>SUMIFS('data (1)'!$M:$M,'data (1)'!$A:$A,XYZ!E$1,'data (1)'!$J:$J,XYZ!$A612)</f>
        <v>0</v>
      </c>
      <c r="F612">
        <f>SUMIFS('data (1)'!$M:$M,'data (1)'!$A:$A,XYZ!F$1,'data (1)'!$J:$J,XYZ!$A612)</f>
        <v>0</v>
      </c>
      <c r="G612">
        <f>SUMIFS('data (1)'!$M:$M,'data (1)'!$A:$A,XYZ!G$1,'data (1)'!$J:$J,XYZ!$A612)</f>
        <v>0</v>
      </c>
    </row>
    <row r="613" spans="1:7" x14ac:dyDescent="0.15">
      <c r="A613" t="s">
        <v>962</v>
      </c>
      <c r="B613" s="11">
        <f t="shared" si="9"/>
        <v>2.2360679774997894</v>
      </c>
      <c r="C613">
        <f>SUMIFS('data (1)'!$M:$M,'data (1)'!$A:$A,XYZ!C$1,'data (1)'!$J:$J,XYZ!$A613)</f>
        <v>0</v>
      </c>
      <c r="D613">
        <f>SUMIFS('data (1)'!$M:$M,'data (1)'!$A:$A,XYZ!D$1,'data (1)'!$J:$J,XYZ!$A613)</f>
        <v>0</v>
      </c>
      <c r="E613">
        <f>SUMIFS('data (1)'!$M:$M,'data (1)'!$A:$A,XYZ!E$1,'data (1)'!$J:$J,XYZ!$A613)</f>
        <v>0</v>
      </c>
      <c r="F613">
        <f>SUMIFS('data (1)'!$M:$M,'data (1)'!$A:$A,XYZ!F$1,'data (1)'!$J:$J,XYZ!$A613)</f>
        <v>1</v>
      </c>
      <c r="G613">
        <f>SUMIFS('data (1)'!$M:$M,'data (1)'!$A:$A,XYZ!G$1,'data (1)'!$J:$J,XYZ!$A613)</f>
        <v>0</v>
      </c>
    </row>
    <row r="614" spans="1:7" x14ac:dyDescent="0.15">
      <c r="A614" t="s">
        <v>316</v>
      </c>
      <c r="B614" s="11">
        <f t="shared" si="9"/>
        <v>2.2360679774997894</v>
      </c>
      <c r="C614">
        <f>SUMIFS('data (1)'!$M:$M,'data (1)'!$A:$A,XYZ!C$1,'data (1)'!$J:$J,XYZ!$A614)</f>
        <v>1</v>
      </c>
      <c r="D614">
        <f>SUMIFS('data (1)'!$M:$M,'data (1)'!$A:$A,XYZ!D$1,'data (1)'!$J:$J,XYZ!$A614)</f>
        <v>0</v>
      </c>
      <c r="E614">
        <f>SUMIFS('data (1)'!$M:$M,'data (1)'!$A:$A,XYZ!E$1,'data (1)'!$J:$J,XYZ!$A614)</f>
        <v>0</v>
      </c>
      <c r="F614">
        <f>SUMIFS('data (1)'!$M:$M,'data (1)'!$A:$A,XYZ!F$1,'data (1)'!$J:$J,XYZ!$A614)</f>
        <v>0</v>
      </c>
      <c r="G614">
        <f>SUMIFS('data (1)'!$M:$M,'data (1)'!$A:$A,XYZ!G$1,'data (1)'!$J:$J,XYZ!$A614)</f>
        <v>0</v>
      </c>
    </row>
    <row r="615" spans="1:7" x14ac:dyDescent="0.15">
      <c r="A615" t="s">
        <v>126</v>
      </c>
      <c r="B615" s="11">
        <f t="shared" si="9"/>
        <v>2.2360679774997894</v>
      </c>
      <c r="C615">
        <f>SUMIFS('data (1)'!$M:$M,'data (1)'!$A:$A,XYZ!C$1,'data (1)'!$J:$J,XYZ!$A615)</f>
        <v>1</v>
      </c>
      <c r="D615">
        <f>SUMIFS('data (1)'!$M:$M,'data (1)'!$A:$A,XYZ!D$1,'data (1)'!$J:$J,XYZ!$A615)</f>
        <v>0</v>
      </c>
      <c r="E615">
        <f>SUMIFS('data (1)'!$M:$M,'data (1)'!$A:$A,XYZ!E$1,'data (1)'!$J:$J,XYZ!$A615)</f>
        <v>0</v>
      </c>
      <c r="F615">
        <f>SUMIFS('data (1)'!$M:$M,'data (1)'!$A:$A,XYZ!F$1,'data (1)'!$J:$J,XYZ!$A615)</f>
        <v>0</v>
      </c>
      <c r="G615">
        <f>SUMIFS('data (1)'!$M:$M,'data (1)'!$A:$A,XYZ!G$1,'data (1)'!$J:$J,XYZ!$A615)</f>
        <v>0</v>
      </c>
    </row>
    <row r="616" spans="1:7" x14ac:dyDescent="0.15">
      <c r="A616" t="s">
        <v>827</v>
      </c>
      <c r="B616" s="11">
        <f t="shared" si="9"/>
        <v>2.2360679774997894</v>
      </c>
      <c r="C616">
        <f>SUMIFS('data (1)'!$M:$M,'data (1)'!$A:$A,XYZ!C$1,'data (1)'!$J:$J,XYZ!$A616)</f>
        <v>0</v>
      </c>
      <c r="D616">
        <f>SUMIFS('data (1)'!$M:$M,'data (1)'!$A:$A,XYZ!D$1,'data (1)'!$J:$J,XYZ!$A616)</f>
        <v>0</v>
      </c>
      <c r="E616">
        <f>SUMIFS('data (1)'!$M:$M,'data (1)'!$A:$A,XYZ!E$1,'data (1)'!$J:$J,XYZ!$A616)</f>
        <v>1</v>
      </c>
      <c r="F616">
        <f>SUMIFS('data (1)'!$M:$M,'data (1)'!$A:$A,XYZ!F$1,'data (1)'!$J:$J,XYZ!$A616)</f>
        <v>0</v>
      </c>
      <c r="G616">
        <f>SUMIFS('data (1)'!$M:$M,'data (1)'!$A:$A,XYZ!G$1,'data (1)'!$J:$J,XYZ!$A616)</f>
        <v>0</v>
      </c>
    </row>
    <row r="617" spans="1:7" x14ac:dyDescent="0.15">
      <c r="A617" t="s">
        <v>1103</v>
      </c>
      <c r="B617" s="11">
        <f t="shared" si="9"/>
        <v>2.2360679774997894</v>
      </c>
      <c r="C617">
        <f>SUMIFS('data (1)'!$M:$M,'data (1)'!$A:$A,XYZ!C$1,'data (1)'!$J:$J,XYZ!$A617)</f>
        <v>0</v>
      </c>
      <c r="D617">
        <f>SUMIFS('data (1)'!$M:$M,'data (1)'!$A:$A,XYZ!D$1,'data (1)'!$J:$J,XYZ!$A617)</f>
        <v>0</v>
      </c>
      <c r="E617">
        <f>SUMIFS('data (1)'!$M:$M,'data (1)'!$A:$A,XYZ!E$1,'data (1)'!$J:$J,XYZ!$A617)</f>
        <v>0</v>
      </c>
      <c r="F617">
        <f>SUMIFS('data (1)'!$M:$M,'data (1)'!$A:$A,XYZ!F$1,'data (1)'!$J:$J,XYZ!$A617)</f>
        <v>0</v>
      </c>
      <c r="G617">
        <f>SUMIFS('data (1)'!$M:$M,'data (1)'!$A:$A,XYZ!G$1,'data (1)'!$J:$J,XYZ!$A617)</f>
        <v>1</v>
      </c>
    </row>
    <row r="618" spans="1:7" x14ac:dyDescent="0.15">
      <c r="A618" t="s">
        <v>867</v>
      </c>
      <c r="B618" s="11">
        <f t="shared" si="9"/>
        <v>2.2360679774997894</v>
      </c>
      <c r="C618">
        <f>SUMIFS('data (1)'!$M:$M,'data (1)'!$A:$A,XYZ!C$1,'data (1)'!$J:$J,XYZ!$A618)</f>
        <v>0</v>
      </c>
      <c r="D618">
        <f>SUMIFS('data (1)'!$M:$M,'data (1)'!$A:$A,XYZ!D$1,'data (1)'!$J:$J,XYZ!$A618)</f>
        <v>0</v>
      </c>
      <c r="E618">
        <f>SUMIFS('data (1)'!$M:$M,'data (1)'!$A:$A,XYZ!E$1,'data (1)'!$J:$J,XYZ!$A618)</f>
        <v>1</v>
      </c>
      <c r="F618">
        <f>SUMIFS('data (1)'!$M:$M,'data (1)'!$A:$A,XYZ!F$1,'data (1)'!$J:$J,XYZ!$A618)</f>
        <v>0</v>
      </c>
      <c r="G618">
        <f>SUMIFS('data (1)'!$M:$M,'data (1)'!$A:$A,XYZ!G$1,'data (1)'!$J:$J,XYZ!$A618)</f>
        <v>0</v>
      </c>
    </row>
    <row r="619" spans="1:7" x14ac:dyDescent="0.15">
      <c r="A619" t="s">
        <v>945</v>
      </c>
      <c r="B619" s="11">
        <f t="shared" si="9"/>
        <v>2.2360679774997894</v>
      </c>
      <c r="C619">
        <f>SUMIFS('data (1)'!$M:$M,'data (1)'!$A:$A,XYZ!C$1,'data (1)'!$J:$J,XYZ!$A619)</f>
        <v>0</v>
      </c>
      <c r="D619">
        <f>SUMIFS('data (1)'!$M:$M,'data (1)'!$A:$A,XYZ!D$1,'data (1)'!$J:$J,XYZ!$A619)</f>
        <v>0</v>
      </c>
      <c r="E619">
        <f>SUMIFS('data (1)'!$M:$M,'data (1)'!$A:$A,XYZ!E$1,'data (1)'!$J:$J,XYZ!$A619)</f>
        <v>0</v>
      </c>
      <c r="F619">
        <f>SUMIFS('data (1)'!$M:$M,'data (1)'!$A:$A,XYZ!F$1,'data (1)'!$J:$J,XYZ!$A619)</f>
        <v>1</v>
      </c>
      <c r="G619">
        <f>SUMIFS('data (1)'!$M:$M,'data (1)'!$A:$A,XYZ!G$1,'data (1)'!$J:$J,XYZ!$A619)</f>
        <v>0</v>
      </c>
    </row>
    <row r="620" spans="1:7" x14ac:dyDescent="0.15">
      <c r="A620" t="s">
        <v>26</v>
      </c>
      <c r="B620" s="11">
        <f t="shared" si="9"/>
        <v>2.2360679774997894</v>
      </c>
      <c r="C620">
        <f>SUMIFS('data (1)'!$M:$M,'data (1)'!$A:$A,XYZ!C$1,'data (1)'!$J:$J,XYZ!$A620)</f>
        <v>1</v>
      </c>
      <c r="D620">
        <f>SUMIFS('data (1)'!$M:$M,'data (1)'!$A:$A,XYZ!D$1,'data (1)'!$J:$J,XYZ!$A620)</f>
        <v>0</v>
      </c>
      <c r="E620">
        <f>SUMIFS('data (1)'!$M:$M,'data (1)'!$A:$A,XYZ!E$1,'data (1)'!$J:$J,XYZ!$A620)</f>
        <v>0</v>
      </c>
      <c r="F620">
        <f>SUMIFS('data (1)'!$M:$M,'data (1)'!$A:$A,XYZ!F$1,'data (1)'!$J:$J,XYZ!$A620)</f>
        <v>0</v>
      </c>
      <c r="G620">
        <f>SUMIFS('data (1)'!$M:$M,'data (1)'!$A:$A,XYZ!G$1,'data (1)'!$J:$J,XYZ!$A620)</f>
        <v>0</v>
      </c>
    </row>
    <row r="621" spans="1:7" x14ac:dyDescent="0.15">
      <c r="A621" t="s">
        <v>116</v>
      </c>
      <c r="B621" s="11">
        <f t="shared" si="9"/>
        <v>2.2360679774997894</v>
      </c>
      <c r="C621">
        <f>SUMIFS('data (1)'!$M:$M,'data (1)'!$A:$A,XYZ!C$1,'data (1)'!$J:$J,XYZ!$A621)</f>
        <v>1</v>
      </c>
      <c r="D621">
        <f>SUMIFS('data (1)'!$M:$M,'data (1)'!$A:$A,XYZ!D$1,'data (1)'!$J:$J,XYZ!$A621)</f>
        <v>0</v>
      </c>
      <c r="E621">
        <f>SUMIFS('data (1)'!$M:$M,'data (1)'!$A:$A,XYZ!E$1,'data (1)'!$J:$J,XYZ!$A621)</f>
        <v>0</v>
      </c>
      <c r="F621">
        <f>SUMIFS('data (1)'!$M:$M,'data (1)'!$A:$A,XYZ!F$1,'data (1)'!$J:$J,XYZ!$A621)</f>
        <v>0</v>
      </c>
      <c r="G621">
        <f>SUMIFS('data (1)'!$M:$M,'data (1)'!$A:$A,XYZ!G$1,'data (1)'!$J:$J,XYZ!$A621)</f>
        <v>0</v>
      </c>
    </row>
    <row r="622" spans="1:7" x14ac:dyDescent="0.15">
      <c r="A622" t="s">
        <v>1063</v>
      </c>
      <c r="B622" s="11">
        <f t="shared" si="9"/>
        <v>2.2360679774997894</v>
      </c>
      <c r="C622">
        <f>SUMIFS('data (1)'!$M:$M,'data (1)'!$A:$A,XYZ!C$1,'data (1)'!$J:$J,XYZ!$A622)</f>
        <v>0</v>
      </c>
      <c r="D622">
        <f>SUMIFS('data (1)'!$M:$M,'data (1)'!$A:$A,XYZ!D$1,'data (1)'!$J:$J,XYZ!$A622)</f>
        <v>0</v>
      </c>
      <c r="E622">
        <f>SUMIFS('data (1)'!$M:$M,'data (1)'!$A:$A,XYZ!E$1,'data (1)'!$J:$J,XYZ!$A622)</f>
        <v>0</v>
      </c>
      <c r="F622">
        <f>SUMIFS('data (1)'!$M:$M,'data (1)'!$A:$A,XYZ!F$1,'data (1)'!$J:$J,XYZ!$A622)</f>
        <v>1</v>
      </c>
      <c r="G622">
        <f>SUMIFS('data (1)'!$M:$M,'data (1)'!$A:$A,XYZ!G$1,'data (1)'!$J:$J,XYZ!$A622)</f>
        <v>0</v>
      </c>
    </row>
    <row r="623" spans="1:7" x14ac:dyDescent="0.15">
      <c r="A623" t="s">
        <v>53</v>
      </c>
      <c r="B623" s="11">
        <f t="shared" si="9"/>
        <v>2.2360679774997894</v>
      </c>
      <c r="C623">
        <f>SUMIFS('data (1)'!$M:$M,'data (1)'!$A:$A,XYZ!C$1,'data (1)'!$J:$J,XYZ!$A623)</f>
        <v>1</v>
      </c>
      <c r="D623">
        <f>SUMIFS('data (1)'!$M:$M,'data (1)'!$A:$A,XYZ!D$1,'data (1)'!$J:$J,XYZ!$A623)</f>
        <v>0</v>
      </c>
      <c r="E623">
        <f>SUMIFS('data (1)'!$M:$M,'data (1)'!$A:$A,XYZ!E$1,'data (1)'!$J:$J,XYZ!$A623)</f>
        <v>0</v>
      </c>
      <c r="F623">
        <f>SUMIFS('data (1)'!$M:$M,'data (1)'!$A:$A,XYZ!F$1,'data (1)'!$J:$J,XYZ!$A623)</f>
        <v>0</v>
      </c>
      <c r="G623">
        <f>SUMIFS('data (1)'!$M:$M,'data (1)'!$A:$A,XYZ!G$1,'data (1)'!$J:$J,XYZ!$A623)</f>
        <v>0</v>
      </c>
    </row>
    <row r="624" spans="1:7" x14ac:dyDescent="0.15">
      <c r="A624" t="s">
        <v>870</v>
      </c>
      <c r="B624" s="11">
        <f t="shared" si="9"/>
        <v>2.2360679774997894</v>
      </c>
      <c r="C624">
        <f>SUMIFS('data (1)'!$M:$M,'data (1)'!$A:$A,XYZ!C$1,'data (1)'!$J:$J,XYZ!$A624)</f>
        <v>0</v>
      </c>
      <c r="D624">
        <f>SUMIFS('data (1)'!$M:$M,'data (1)'!$A:$A,XYZ!D$1,'data (1)'!$J:$J,XYZ!$A624)</f>
        <v>0</v>
      </c>
      <c r="E624">
        <f>SUMIFS('data (1)'!$M:$M,'data (1)'!$A:$A,XYZ!E$1,'data (1)'!$J:$J,XYZ!$A624)</f>
        <v>1</v>
      </c>
      <c r="F624">
        <f>SUMIFS('data (1)'!$M:$M,'data (1)'!$A:$A,XYZ!F$1,'data (1)'!$J:$J,XYZ!$A624)</f>
        <v>0</v>
      </c>
      <c r="G624">
        <f>SUMIFS('data (1)'!$M:$M,'data (1)'!$A:$A,XYZ!G$1,'data (1)'!$J:$J,XYZ!$A624)</f>
        <v>0</v>
      </c>
    </row>
    <row r="625" spans="1:7" x14ac:dyDescent="0.15">
      <c r="A625" t="s">
        <v>1108</v>
      </c>
      <c r="B625" s="11">
        <f t="shared" si="9"/>
        <v>2.2360679774997894</v>
      </c>
      <c r="C625">
        <f>SUMIFS('data (1)'!$M:$M,'data (1)'!$A:$A,XYZ!C$1,'data (1)'!$J:$J,XYZ!$A625)</f>
        <v>0</v>
      </c>
      <c r="D625">
        <f>SUMIFS('data (1)'!$M:$M,'data (1)'!$A:$A,XYZ!D$1,'data (1)'!$J:$J,XYZ!$A625)</f>
        <v>0</v>
      </c>
      <c r="E625">
        <f>SUMIFS('data (1)'!$M:$M,'data (1)'!$A:$A,XYZ!E$1,'data (1)'!$J:$J,XYZ!$A625)</f>
        <v>0</v>
      </c>
      <c r="F625">
        <f>SUMIFS('data (1)'!$M:$M,'data (1)'!$A:$A,XYZ!F$1,'data (1)'!$J:$J,XYZ!$A625)</f>
        <v>0</v>
      </c>
      <c r="G625">
        <f>SUMIFS('data (1)'!$M:$M,'data (1)'!$A:$A,XYZ!G$1,'data (1)'!$J:$J,XYZ!$A625)</f>
        <v>1</v>
      </c>
    </row>
    <row r="626" spans="1:7" x14ac:dyDescent="0.15">
      <c r="A626" t="s">
        <v>669</v>
      </c>
      <c r="B626" s="11">
        <f t="shared" si="9"/>
        <v>2.2360679774997894</v>
      </c>
      <c r="C626">
        <f>SUMIFS('data (1)'!$M:$M,'data (1)'!$A:$A,XYZ!C$1,'data (1)'!$J:$J,XYZ!$A626)</f>
        <v>0</v>
      </c>
      <c r="D626">
        <f>SUMIFS('data (1)'!$M:$M,'data (1)'!$A:$A,XYZ!D$1,'data (1)'!$J:$J,XYZ!$A626)</f>
        <v>1</v>
      </c>
      <c r="E626">
        <f>SUMIFS('data (1)'!$M:$M,'data (1)'!$A:$A,XYZ!E$1,'data (1)'!$J:$J,XYZ!$A626)</f>
        <v>0</v>
      </c>
      <c r="F626">
        <f>SUMIFS('data (1)'!$M:$M,'data (1)'!$A:$A,XYZ!F$1,'data (1)'!$J:$J,XYZ!$A626)</f>
        <v>0</v>
      </c>
      <c r="G626">
        <f>SUMIFS('data (1)'!$M:$M,'data (1)'!$A:$A,XYZ!G$1,'data (1)'!$J:$J,XYZ!$A626)</f>
        <v>0</v>
      </c>
    </row>
    <row r="627" spans="1:7" x14ac:dyDescent="0.15">
      <c r="A627" t="s">
        <v>105</v>
      </c>
      <c r="B627" s="11">
        <f t="shared" si="9"/>
        <v>2.2360679774997894</v>
      </c>
      <c r="C627">
        <f>SUMIFS('data (1)'!$M:$M,'data (1)'!$A:$A,XYZ!C$1,'data (1)'!$J:$J,XYZ!$A627)</f>
        <v>1</v>
      </c>
      <c r="D627">
        <f>SUMIFS('data (1)'!$M:$M,'data (1)'!$A:$A,XYZ!D$1,'data (1)'!$J:$J,XYZ!$A627)</f>
        <v>0</v>
      </c>
      <c r="E627">
        <f>SUMIFS('data (1)'!$M:$M,'data (1)'!$A:$A,XYZ!E$1,'data (1)'!$J:$J,XYZ!$A627)</f>
        <v>0</v>
      </c>
      <c r="F627">
        <f>SUMIFS('data (1)'!$M:$M,'data (1)'!$A:$A,XYZ!F$1,'data (1)'!$J:$J,XYZ!$A627)</f>
        <v>0</v>
      </c>
      <c r="G627">
        <f>SUMIFS('data (1)'!$M:$M,'data (1)'!$A:$A,XYZ!G$1,'data (1)'!$J:$J,XYZ!$A627)</f>
        <v>0</v>
      </c>
    </row>
    <row r="628" spans="1:7" x14ac:dyDescent="0.15">
      <c r="A628" t="s">
        <v>542</v>
      </c>
      <c r="B628" s="11">
        <f t="shared" si="9"/>
        <v>2.2360679774997894</v>
      </c>
      <c r="C628">
        <f>SUMIFS('data (1)'!$M:$M,'data (1)'!$A:$A,XYZ!C$1,'data (1)'!$J:$J,XYZ!$A628)</f>
        <v>0</v>
      </c>
      <c r="D628">
        <f>SUMIFS('data (1)'!$M:$M,'data (1)'!$A:$A,XYZ!D$1,'data (1)'!$J:$J,XYZ!$A628)</f>
        <v>1</v>
      </c>
      <c r="E628">
        <f>SUMIFS('data (1)'!$M:$M,'data (1)'!$A:$A,XYZ!E$1,'data (1)'!$J:$J,XYZ!$A628)</f>
        <v>0</v>
      </c>
      <c r="F628">
        <f>SUMIFS('data (1)'!$M:$M,'data (1)'!$A:$A,XYZ!F$1,'data (1)'!$J:$J,XYZ!$A628)</f>
        <v>0</v>
      </c>
      <c r="G628">
        <f>SUMIFS('data (1)'!$M:$M,'data (1)'!$A:$A,XYZ!G$1,'data (1)'!$J:$J,XYZ!$A628)</f>
        <v>0</v>
      </c>
    </row>
    <row r="629" spans="1:7" x14ac:dyDescent="0.15">
      <c r="A629" t="s">
        <v>916</v>
      </c>
      <c r="B629" s="11">
        <f t="shared" si="9"/>
        <v>2.2360679774997894</v>
      </c>
      <c r="C629">
        <f>SUMIFS('data (1)'!$M:$M,'data (1)'!$A:$A,XYZ!C$1,'data (1)'!$J:$J,XYZ!$A629)</f>
        <v>0</v>
      </c>
      <c r="D629">
        <f>SUMIFS('data (1)'!$M:$M,'data (1)'!$A:$A,XYZ!D$1,'data (1)'!$J:$J,XYZ!$A629)</f>
        <v>0</v>
      </c>
      <c r="E629">
        <f>SUMIFS('data (1)'!$M:$M,'data (1)'!$A:$A,XYZ!E$1,'data (1)'!$J:$J,XYZ!$A629)</f>
        <v>1</v>
      </c>
      <c r="F629">
        <f>SUMIFS('data (1)'!$M:$M,'data (1)'!$A:$A,XYZ!F$1,'data (1)'!$J:$J,XYZ!$A629)</f>
        <v>0</v>
      </c>
      <c r="G629">
        <f>SUMIFS('data (1)'!$M:$M,'data (1)'!$A:$A,XYZ!G$1,'data (1)'!$J:$J,XYZ!$A629)</f>
        <v>0</v>
      </c>
    </row>
    <row r="630" spans="1:7" x14ac:dyDescent="0.15">
      <c r="A630" t="s">
        <v>443</v>
      </c>
      <c r="B630" s="11">
        <f t="shared" si="9"/>
        <v>2.2360679774997894</v>
      </c>
      <c r="C630">
        <f>SUMIFS('data (1)'!$M:$M,'data (1)'!$A:$A,XYZ!C$1,'data (1)'!$J:$J,XYZ!$A630)</f>
        <v>1</v>
      </c>
      <c r="D630">
        <f>SUMIFS('data (1)'!$M:$M,'data (1)'!$A:$A,XYZ!D$1,'data (1)'!$J:$J,XYZ!$A630)</f>
        <v>0</v>
      </c>
      <c r="E630">
        <f>SUMIFS('data (1)'!$M:$M,'data (1)'!$A:$A,XYZ!E$1,'data (1)'!$J:$J,XYZ!$A630)</f>
        <v>0</v>
      </c>
      <c r="F630">
        <f>SUMIFS('data (1)'!$M:$M,'data (1)'!$A:$A,XYZ!F$1,'data (1)'!$J:$J,XYZ!$A630)</f>
        <v>0</v>
      </c>
      <c r="G630">
        <f>SUMIFS('data (1)'!$M:$M,'data (1)'!$A:$A,XYZ!G$1,'data (1)'!$J:$J,XYZ!$A630)</f>
        <v>0</v>
      </c>
    </row>
    <row r="631" spans="1:7" x14ac:dyDescent="0.15">
      <c r="A631" t="s">
        <v>154</v>
      </c>
      <c r="B631" s="11">
        <f t="shared" si="9"/>
        <v>2.2360679774997894</v>
      </c>
      <c r="C631">
        <f>SUMIFS('data (1)'!$M:$M,'data (1)'!$A:$A,XYZ!C$1,'data (1)'!$J:$J,XYZ!$A631)</f>
        <v>1</v>
      </c>
      <c r="D631">
        <f>SUMIFS('data (1)'!$M:$M,'data (1)'!$A:$A,XYZ!D$1,'data (1)'!$J:$J,XYZ!$A631)</f>
        <v>0</v>
      </c>
      <c r="E631">
        <f>SUMIFS('data (1)'!$M:$M,'data (1)'!$A:$A,XYZ!E$1,'data (1)'!$J:$J,XYZ!$A631)</f>
        <v>0</v>
      </c>
      <c r="F631">
        <f>SUMIFS('data (1)'!$M:$M,'data (1)'!$A:$A,XYZ!F$1,'data (1)'!$J:$J,XYZ!$A631)</f>
        <v>0</v>
      </c>
      <c r="G631">
        <f>SUMIFS('data (1)'!$M:$M,'data (1)'!$A:$A,XYZ!G$1,'data (1)'!$J:$J,XYZ!$A631)</f>
        <v>0</v>
      </c>
    </row>
    <row r="632" spans="1:7" x14ac:dyDescent="0.15">
      <c r="A632" t="s">
        <v>780</v>
      </c>
      <c r="B632" s="11">
        <f t="shared" si="9"/>
        <v>2.2360679774997894</v>
      </c>
      <c r="C632">
        <f>SUMIFS('data (1)'!$M:$M,'data (1)'!$A:$A,XYZ!C$1,'data (1)'!$J:$J,XYZ!$A632)</f>
        <v>0</v>
      </c>
      <c r="D632">
        <f>SUMIFS('data (1)'!$M:$M,'data (1)'!$A:$A,XYZ!D$1,'data (1)'!$J:$J,XYZ!$A632)</f>
        <v>0</v>
      </c>
      <c r="E632">
        <f>SUMIFS('data (1)'!$M:$M,'data (1)'!$A:$A,XYZ!E$1,'data (1)'!$J:$J,XYZ!$A632)</f>
        <v>1</v>
      </c>
      <c r="F632">
        <f>SUMIFS('data (1)'!$M:$M,'data (1)'!$A:$A,XYZ!F$1,'data (1)'!$J:$J,XYZ!$A632)</f>
        <v>0</v>
      </c>
      <c r="G632">
        <f>SUMIFS('data (1)'!$M:$M,'data (1)'!$A:$A,XYZ!G$1,'data (1)'!$J:$J,XYZ!$A632)</f>
        <v>0</v>
      </c>
    </row>
    <row r="633" spans="1:7" x14ac:dyDescent="0.15">
      <c r="A633" t="s">
        <v>503</v>
      </c>
      <c r="B633" s="11">
        <f t="shared" si="9"/>
        <v>2.2360679774997894</v>
      </c>
      <c r="C633">
        <f>SUMIFS('data (1)'!$M:$M,'data (1)'!$A:$A,XYZ!C$1,'data (1)'!$J:$J,XYZ!$A633)</f>
        <v>0</v>
      </c>
      <c r="D633">
        <f>SUMIFS('data (1)'!$M:$M,'data (1)'!$A:$A,XYZ!D$1,'data (1)'!$J:$J,XYZ!$A633)</f>
        <v>1</v>
      </c>
      <c r="E633">
        <f>SUMIFS('data (1)'!$M:$M,'data (1)'!$A:$A,XYZ!E$1,'data (1)'!$J:$J,XYZ!$A633)</f>
        <v>0</v>
      </c>
      <c r="F633">
        <f>SUMIFS('data (1)'!$M:$M,'data (1)'!$A:$A,XYZ!F$1,'data (1)'!$J:$J,XYZ!$A633)</f>
        <v>0</v>
      </c>
      <c r="G633">
        <f>SUMIFS('data (1)'!$M:$M,'data (1)'!$A:$A,XYZ!G$1,'data (1)'!$J:$J,XYZ!$A633)</f>
        <v>0</v>
      </c>
    </row>
    <row r="634" spans="1:7" x14ac:dyDescent="0.15">
      <c r="A634" t="s">
        <v>1170</v>
      </c>
      <c r="B634" s="11">
        <f t="shared" si="9"/>
        <v>2.2360679774997894</v>
      </c>
      <c r="C634">
        <f>SUMIFS('data (1)'!$M:$M,'data (1)'!$A:$A,XYZ!C$1,'data (1)'!$J:$J,XYZ!$A634)</f>
        <v>0</v>
      </c>
      <c r="D634">
        <f>SUMIFS('data (1)'!$M:$M,'data (1)'!$A:$A,XYZ!D$1,'data (1)'!$J:$J,XYZ!$A634)</f>
        <v>0</v>
      </c>
      <c r="E634">
        <f>SUMIFS('data (1)'!$M:$M,'data (1)'!$A:$A,XYZ!E$1,'data (1)'!$J:$J,XYZ!$A634)</f>
        <v>0</v>
      </c>
      <c r="F634">
        <f>SUMIFS('data (1)'!$M:$M,'data (1)'!$A:$A,XYZ!F$1,'data (1)'!$J:$J,XYZ!$A634)</f>
        <v>0</v>
      </c>
      <c r="G634">
        <f>SUMIFS('data (1)'!$M:$M,'data (1)'!$A:$A,XYZ!G$1,'data (1)'!$J:$J,XYZ!$A634)</f>
        <v>1</v>
      </c>
    </row>
    <row r="635" spans="1:7" x14ac:dyDescent="0.15">
      <c r="A635" t="s">
        <v>835</v>
      </c>
      <c r="B635" s="11">
        <f t="shared" si="9"/>
        <v>2.2360679774997894</v>
      </c>
      <c r="C635">
        <f>SUMIFS('data (1)'!$M:$M,'data (1)'!$A:$A,XYZ!C$1,'data (1)'!$J:$J,XYZ!$A635)</f>
        <v>0</v>
      </c>
      <c r="D635">
        <f>SUMIFS('data (1)'!$M:$M,'data (1)'!$A:$A,XYZ!D$1,'data (1)'!$J:$J,XYZ!$A635)</f>
        <v>0</v>
      </c>
      <c r="E635">
        <f>SUMIFS('data (1)'!$M:$M,'data (1)'!$A:$A,XYZ!E$1,'data (1)'!$J:$J,XYZ!$A635)</f>
        <v>1</v>
      </c>
      <c r="F635">
        <f>SUMIFS('data (1)'!$M:$M,'data (1)'!$A:$A,XYZ!F$1,'data (1)'!$J:$J,XYZ!$A635)</f>
        <v>0</v>
      </c>
      <c r="G635">
        <f>SUMIFS('data (1)'!$M:$M,'data (1)'!$A:$A,XYZ!G$1,'data (1)'!$J:$J,XYZ!$A635)</f>
        <v>0</v>
      </c>
    </row>
    <row r="636" spans="1:7" x14ac:dyDescent="0.15">
      <c r="A636" t="s">
        <v>1084</v>
      </c>
      <c r="B636" s="11">
        <f t="shared" si="9"/>
        <v>2.2360679774997894</v>
      </c>
      <c r="C636">
        <f>SUMIFS('data (1)'!$M:$M,'data (1)'!$A:$A,XYZ!C$1,'data (1)'!$J:$J,XYZ!$A636)</f>
        <v>0</v>
      </c>
      <c r="D636">
        <f>SUMIFS('data (1)'!$M:$M,'data (1)'!$A:$A,XYZ!D$1,'data (1)'!$J:$J,XYZ!$A636)</f>
        <v>0</v>
      </c>
      <c r="E636">
        <f>SUMIFS('data (1)'!$M:$M,'data (1)'!$A:$A,XYZ!E$1,'data (1)'!$J:$J,XYZ!$A636)</f>
        <v>0</v>
      </c>
      <c r="F636">
        <f>SUMIFS('data (1)'!$M:$M,'data (1)'!$A:$A,XYZ!F$1,'data (1)'!$J:$J,XYZ!$A636)</f>
        <v>0</v>
      </c>
      <c r="G636">
        <f>SUMIFS('data (1)'!$M:$M,'data (1)'!$A:$A,XYZ!G$1,'data (1)'!$J:$J,XYZ!$A636)</f>
        <v>1</v>
      </c>
    </row>
    <row r="637" spans="1:7" x14ac:dyDescent="0.15">
      <c r="A637" t="s">
        <v>258</v>
      </c>
      <c r="B637" s="11">
        <f t="shared" si="9"/>
        <v>2.2360679774997894</v>
      </c>
      <c r="C637">
        <f>SUMIFS('data (1)'!$M:$M,'data (1)'!$A:$A,XYZ!C$1,'data (1)'!$J:$J,XYZ!$A637)</f>
        <v>1</v>
      </c>
      <c r="D637">
        <f>SUMIFS('data (1)'!$M:$M,'data (1)'!$A:$A,XYZ!D$1,'data (1)'!$J:$J,XYZ!$A637)</f>
        <v>0</v>
      </c>
      <c r="E637">
        <f>SUMIFS('data (1)'!$M:$M,'data (1)'!$A:$A,XYZ!E$1,'data (1)'!$J:$J,XYZ!$A637)</f>
        <v>0</v>
      </c>
      <c r="F637">
        <f>SUMIFS('data (1)'!$M:$M,'data (1)'!$A:$A,XYZ!F$1,'data (1)'!$J:$J,XYZ!$A637)</f>
        <v>0</v>
      </c>
      <c r="G637">
        <f>SUMIFS('data (1)'!$M:$M,'data (1)'!$A:$A,XYZ!G$1,'data (1)'!$J:$J,XYZ!$A637)</f>
        <v>0</v>
      </c>
    </row>
    <row r="638" spans="1:7" x14ac:dyDescent="0.15">
      <c r="A638" t="s">
        <v>187</v>
      </c>
      <c r="B638" s="11">
        <f t="shared" si="9"/>
        <v>2.2360679774997894</v>
      </c>
      <c r="C638">
        <f>SUMIFS('data (1)'!$M:$M,'data (1)'!$A:$A,XYZ!C$1,'data (1)'!$J:$J,XYZ!$A638)</f>
        <v>1</v>
      </c>
      <c r="D638">
        <f>SUMIFS('data (1)'!$M:$M,'data (1)'!$A:$A,XYZ!D$1,'data (1)'!$J:$J,XYZ!$A638)</f>
        <v>0</v>
      </c>
      <c r="E638">
        <f>SUMIFS('data (1)'!$M:$M,'data (1)'!$A:$A,XYZ!E$1,'data (1)'!$J:$J,XYZ!$A638)</f>
        <v>0</v>
      </c>
      <c r="F638">
        <f>SUMIFS('data (1)'!$M:$M,'data (1)'!$A:$A,XYZ!F$1,'data (1)'!$J:$J,XYZ!$A638)</f>
        <v>0</v>
      </c>
      <c r="G638">
        <f>SUMIFS('data (1)'!$M:$M,'data (1)'!$A:$A,XYZ!G$1,'data (1)'!$J:$J,XYZ!$A638)</f>
        <v>0</v>
      </c>
    </row>
    <row r="639" spans="1:7" x14ac:dyDescent="0.15">
      <c r="A639" t="s">
        <v>191</v>
      </c>
      <c r="B639" s="11">
        <f t="shared" si="9"/>
        <v>2.2360679774997894</v>
      </c>
      <c r="C639">
        <f>SUMIFS('data (1)'!$M:$M,'data (1)'!$A:$A,XYZ!C$1,'data (1)'!$J:$J,XYZ!$A639)</f>
        <v>1</v>
      </c>
      <c r="D639">
        <f>SUMIFS('data (1)'!$M:$M,'data (1)'!$A:$A,XYZ!D$1,'data (1)'!$J:$J,XYZ!$A639)</f>
        <v>0</v>
      </c>
      <c r="E639">
        <f>SUMIFS('data (1)'!$M:$M,'data (1)'!$A:$A,XYZ!E$1,'data (1)'!$J:$J,XYZ!$A639)</f>
        <v>0</v>
      </c>
      <c r="F639">
        <f>SUMIFS('data (1)'!$M:$M,'data (1)'!$A:$A,XYZ!F$1,'data (1)'!$J:$J,XYZ!$A639)</f>
        <v>0</v>
      </c>
      <c r="G639">
        <f>SUMIFS('data (1)'!$M:$M,'data (1)'!$A:$A,XYZ!G$1,'data (1)'!$J:$J,XYZ!$A639)</f>
        <v>0</v>
      </c>
    </row>
    <row r="640" spans="1:7" x14ac:dyDescent="0.15">
      <c r="A640" t="s">
        <v>952</v>
      </c>
      <c r="B640" s="11">
        <f t="shared" si="9"/>
        <v>2.2360679774997894</v>
      </c>
      <c r="C640">
        <f>SUMIFS('data (1)'!$M:$M,'data (1)'!$A:$A,XYZ!C$1,'data (1)'!$J:$J,XYZ!$A640)</f>
        <v>0</v>
      </c>
      <c r="D640">
        <f>SUMIFS('data (1)'!$M:$M,'data (1)'!$A:$A,XYZ!D$1,'data (1)'!$J:$J,XYZ!$A640)</f>
        <v>0</v>
      </c>
      <c r="E640">
        <f>SUMIFS('data (1)'!$M:$M,'data (1)'!$A:$A,XYZ!E$1,'data (1)'!$J:$J,XYZ!$A640)</f>
        <v>0</v>
      </c>
      <c r="F640">
        <f>SUMIFS('data (1)'!$M:$M,'data (1)'!$A:$A,XYZ!F$1,'data (1)'!$J:$J,XYZ!$A640)</f>
        <v>1</v>
      </c>
      <c r="G640">
        <f>SUMIFS('data (1)'!$M:$M,'data (1)'!$A:$A,XYZ!G$1,'data (1)'!$J:$J,XYZ!$A640)</f>
        <v>0</v>
      </c>
    </row>
    <row r="641" spans="1:7" x14ac:dyDescent="0.15">
      <c r="A641" t="s">
        <v>422</v>
      </c>
      <c r="B641" s="11">
        <f t="shared" si="9"/>
        <v>2.2360679774997894</v>
      </c>
      <c r="C641">
        <f>SUMIFS('data (1)'!$M:$M,'data (1)'!$A:$A,XYZ!C$1,'data (1)'!$J:$J,XYZ!$A641)</f>
        <v>1</v>
      </c>
      <c r="D641">
        <f>SUMIFS('data (1)'!$M:$M,'data (1)'!$A:$A,XYZ!D$1,'data (1)'!$J:$J,XYZ!$A641)</f>
        <v>0</v>
      </c>
      <c r="E641">
        <f>SUMIFS('data (1)'!$M:$M,'data (1)'!$A:$A,XYZ!E$1,'data (1)'!$J:$J,XYZ!$A641)</f>
        <v>0</v>
      </c>
      <c r="F641">
        <f>SUMIFS('data (1)'!$M:$M,'data (1)'!$A:$A,XYZ!F$1,'data (1)'!$J:$J,XYZ!$A641)</f>
        <v>0</v>
      </c>
      <c r="G641">
        <f>SUMIFS('data (1)'!$M:$M,'data (1)'!$A:$A,XYZ!G$1,'data (1)'!$J:$J,XYZ!$A641)</f>
        <v>0</v>
      </c>
    </row>
    <row r="642" spans="1:7" x14ac:dyDescent="0.15">
      <c r="A642" t="s">
        <v>877</v>
      </c>
      <c r="B642" s="11">
        <f t="shared" si="9"/>
        <v>2.2360679774997894</v>
      </c>
      <c r="C642">
        <f>SUMIFS('data (1)'!$M:$M,'data (1)'!$A:$A,XYZ!C$1,'data (1)'!$J:$J,XYZ!$A642)</f>
        <v>0</v>
      </c>
      <c r="D642">
        <f>SUMIFS('data (1)'!$M:$M,'data (1)'!$A:$A,XYZ!D$1,'data (1)'!$J:$J,XYZ!$A642)</f>
        <v>0</v>
      </c>
      <c r="E642">
        <f>SUMIFS('data (1)'!$M:$M,'data (1)'!$A:$A,XYZ!E$1,'data (1)'!$J:$J,XYZ!$A642)</f>
        <v>1</v>
      </c>
      <c r="F642">
        <f>SUMIFS('data (1)'!$M:$M,'data (1)'!$A:$A,XYZ!F$1,'data (1)'!$J:$J,XYZ!$A642)</f>
        <v>0</v>
      </c>
      <c r="G642">
        <f>SUMIFS('data (1)'!$M:$M,'data (1)'!$A:$A,XYZ!G$1,'data (1)'!$J:$J,XYZ!$A642)</f>
        <v>0</v>
      </c>
    </row>
    <row r="643" spans="1:7" x14ac:dyDescent="0.15">
      <c r="A643" t="s">
        <v>329</v>
      </c>
      <c r="B643" s="11">
        <f t="shared" ref="B643:B706" si="10">_xlfn.STDEV.S(C643:G643)/AVERAGE(C643:G643)</f>
        <v>2.2360679774997894</v>
      </c>
      <c r="C643">
        <f>SUMIFS('data (1)'!$M:$M,'data (1)'!$A:$A,XYZ!C$1,'data (1)'!$J:$J,XYZ!$A643)</f>
        <v>1</v>
      </c>
      <c r="D643">
        <f>SUMIFS('data (1)'!$M:$M,'data (1)'!$A:$A,XYZ!D$1,'data (1)'!$J:$J,XYZ!$A643)</f>
        <v>0</v>
      </c>
      <c r="E643">
        <f>SUMIFS('data (1)'!$M:$M,'data (1)'!$A:$A,XYZ!E$1,'data (1)'!$J:$J,XYZ!$A643)</f>
        <v>0</v>
      </c>
      <c r="F643">
        <f>SUMIFS('data (1)'!$M:$M,'data (1)'!$A:$A,XYZ!F$1,'data (1)'!$J:$J,XYZ!$A643)</f>
        <v>0</v>
      </c>
      <c r="G643">
        <f>SUMIFS('data (1)'!$M:$M,'data (1)'!$A:$A,XYZ!G$1,'data (1)'!$J:$J,XYZ!$A643)</f>
        <v>0</v>
      </c>
    </row>
    <row r="644" spans="1:7" x14ac:dyDescent="0.15">
      <c r="A644" t="s">
        <v>1115</v>
      </c>
      <c r="B644" s="11">
        <f t="shared" si="10"/>
        <v>2.2360679774997894</v>
      </c>
      <c r="C644">
        <f>SUMIFS('data (1)'!$M:$M,'data (1)'!$A:$A,XYZ!C$1,'data (1)'!$J:$J,XYZ!$A644)</f>
        <v>0</v>
      </c>
      <c r="D644">
        <f>SUMIFS('data (1)'!$M:$M,'data (1)'!$A:$A,XYZ!D$1,'data (1)'!$J:$J,XYZ!$A644)</f>
        <v>0</v>
      </c>
      <c r="E644">
        <f>SUMIFS('data (1)'!$M:$M,'data (1)'!$A:$A,XYZ!E$1,'data (1)'!$J:$J,XYZ!$A644)</f>
        <v>0</v>
      </c>
      <c r="F644">
        <f>SUMIFS('data (1)'!$M:$M,'data (1)'!$A:$A,XYZ!F$1,'data (1)'!$J:$J,XYZ!$A644)</f>
        <v>0</v>
      </c>
      <c r="G644">
        <f>SUMIFS('data (1)'!$M:$M,'data (1)'!$A:$A,XYZ!G$1,'data (1)'!$J:$J,XYZ!$A644)</f>
        <v>1</v>
      </c>
    </row>
    <row r="645" spans="1:7" x14ac:dyDescent="0.15">
      <c r="A645" t="s">
        <v>386</v>
      </c>
      <c r="B645" s="11">
        <f t="shared" si="10"/>
        <v>2.2360679774997894</v>
      </c>
      <c r="C645">
        <f>SUMIFS('data (1)'!$M:$M,'data (1)'!$A:$A,XYZ!C$1,'data (1)'!$J:$J,XYZ!$A645)</f>
        <v>1</v>
      </c>
      <c r="D645">
        <f>SUMIFS('data (1)'!$M:$M,'data (1)'!$A:$A,XYZ!D$1,'data (1)'!$J:$J,XYZ!$A645)</f>
        <v>0</v>
      </c>
      <c r="E645">
        <f>SUMIFS('data (1)'!$M:$M,'data (1)'!$A:$A,XYZ!E$1,'data (1)'!$J:$J,XYZ!$A645)</f>
        <v>0</v>
      </c>
      <c r="F645">
        <f>SUMIFS('data (1)'!$M:$M,'data (1)'!$A:$A,XYZ!F$1,'data (1)'!$J:$J,XYZ!$A645)</f>
        <v>0</v>
      </c>
      <c r="G645">
        <f>SUMIFS('data (1)'!$M:$M,'data (1)'!$A:$A,XYZ!G$1,'data (1)'!$J:$J,XYZ!$A645)</f>
        <v>0</v>
      </c>
    </row>
    <row r="646" spans="1:7" x14ac:dyDescent="0.15">
      <c r="A646" t="s">
        <v>564</v>
      </c>
      <c r="B646" s="11">
        <f t="shared" si="10"/>
        <v>2.2360679774997894</v>
      </c>
      <c r="C646">
        <f>SUMIFS('data (1)'!$M:$M,'data (1)'!$A:$A,XYZ!C$1,'data (1)'!$J:$J,XYZ!$A646)</f>
        <v>0</v>
      </c>
      <c r="D646">
        <f>SUMIFS('data (1)'!$M:$M,'data (1)'!$A:$A,XYZ!D$1,'data (1)'!$J:$J,XYZ!$A646)</f>
        <v>1</v>
      </c>
      <c r="E646">
        <f>SUMIFS('data (1)'!$M:$M,'data (1)'!$A:$A,XYZ!E$1,'data (1)'!$J:$J,XYZ!$A646)</f>
        <v>0</v>
      </c>
      <c r="F646">
        <f>SUMIFS('data (1)'!$M:$M,'data (1)'!$A:$A,XYZ!F$1,'data (1)'!$J:$J,XYZ!$A646)</f>
        <v>0</v>
      </c>
      <c r="G646">
        <f>SUMIFS('data (1)'!$M:$M,'data (1)'!$A:$A,XYZ!G$1,'data (1)'!$J:$J,XYZ!$A646)</f>
        <v>0</v>
      </c>
    </row>
    <row r="647" spans="1:7" x14ac:dyDescent="0.15">
      <c r="A647" t="s">
        <v>518</v>
      </c>
      <c r="B647" s="11">
        <f t="shared" si="10"/>
        <v>2.2360679774997894</v>
      </c>
      <c r="C647">
        <f>SUMIFS('data (1)'!$M:$M,'data (1)'!$A:$A,XYZ!C$1,'data (1)'!$J:$J,XYZ!$A647)</f>
        <v>0</v>
      </c>
      <c r="D647">
        <f>SUMIFS('data (1)'!$M:$M,'data (1)'!$A:$A,XYZ!D$1,'data (1)'!$J:$J,XYZ!$A647)</f>
        <v>1</v>
      </c>
      <c r="E647">
        <f>SUMIFS('data (1)'!$M:$M,'data (1)'!$A:$A,XYZ!E$1,'data (1)'!$J:$J,XYZ!$A647)</f>
        <v>0</v>
      </c>
      <c r="F647">
        <f>SUMIFS('data (1)'!$M:$M,'data (1)'!$A:$A,XYZ!F$1,'data (1)'!$J:$J,XYZ!$A647)</f>
        <v>0</v>
      </c>
      <c r="G647">
        <f>SUMIFS('data (1)'!$M:$M,'data (1)'!$A:$A,XYZ!G$1,'data (1)'!$J:$J,XYZ!$A647)</f>
        <v>0</v>
      </c>
    </row>
    <row r="648" spans="1:7" x14ac:dyDescent="0.15">
      <c r="A648" t="s">
        <v>650</v>
      </c>
      <c r="B648" s="11">
        <f t="shared" si="10"/>
        <v>2.2360679774997894</v>
      </c>
      <c r="C648">
        <f>SUMIFS('data (1)'!$M:$M,'data (1)'!$A:$A,XYZ!C$1,'data (1)'!$J:$J,XYZ!$A648)</f>
        <v>0</v>
      </c>
      <c r="D648">
        <f>SUMIFS('data (1)'!$M:$M,'data (1)'!$A:$A,XYZ!D$1,'data (1)'!$J:$J,XYZ!$A648)</f>
        <v>1</v>
      </c>
      <c r="E648">
        <f>SUMIFS('data (1)'!$M:$M,'data (1)'!$A:$A,XYZ!E$1,'data (1)'!$J:$J,XYZ!$A648)</f>
        <v>0</v>
      </c>
      <c r="F648">
        <f>SUMIFS('data (1)'!$M:$M,'data (1)'!$A:$A,XYZ!F$1,'data (1)'!$J:$J,XYZ!$A648)</f>
        <v>0</v>
      </c>
      <c r="G648">
        <f>SUMIFS('data (1)'!$M:$M,'data (1)'!$A:$A,XYZ!G$1,'data (1)'!$J:$J,XYZ!$A648)</f>
        <v>0</v>
      </c>
    </row>
    <row r="649" spans="1:7" x14ac:dyDescent="0.15">
      <c r="A649" t="s">
        <v>814</v>
      </c>
      <c r="B649" s="11">
        <f t="shared" si="10"/>
        <v>2.2360679774997894</v>
      </c>
      <c r="C649">
        <f>SUMIFS('data (1)'!$M:$M,'data (1)'!$A:$A,XYZ!C$1,'data (1)'!$J:$J,XYZ!$A649)</f>
        <v>0</v>
      </c>
      <c r="D649">
        <f>SUMIFS('data (1)'!$M:$M,'data (1)'!$A:$A,XYZ!D$1,'data (1)'!$J:$J,XYZ!$A649)</f>
        <v>0</v>
      </c>
      <c r="E649">
        <f>SUMIFS('data (1)'!$M:$M,'data (1)'!$A:$A,XYZ!E$1,'data (1)'!$J:$J,XYZ!$A649)</f>
        <v>1</v>
      </c>
      <c r="F649">
        <f>SUMIFS('data (1)'!$M:$M,'data (1)'!$A:$A,XYZ!F$1,'data (1)'!$J:$J,XYZ!$A649)</f>
        <v>0</v>
      </c>
      <c r="G649">
        <f>SUMIFS('data (1)'!$M:$M,'data (1)'!$A:$A,XYZ!G$1,'data (1)'!$J:$J,XYZ!$A649)</f>
        <v>0</v>
      </c>
    </row>
    <row r="650" spans="1:7" x14ac:dyDescent="0.15">
      <c r="A650" t="s">
        <v>1047</v>
      </c>
      <c r="B650" s="11">
        <f t="shared" si="10"/>
        <v>2.2360679774997894</v>
      </c>
      <c r="C650">
        <f>SUMIFS('data (1)'!$M:$M,'data (1)'!$A:$A,XYZ!C$1,'data (1)'!$J:$J,XYZ!$A650)</f>
        <v>0</v>
      </c>
      <c r="D650">
        <f>SUMIFS('data (1)'!$M:$M,'data (1)'!$A:$A,XYZ!D$1,'data (1)'!$J:$J,XYZ!$A650)</f>
        <v>0</v>
      </c>
      <c r="E650">
        <f>SUMIFS('data (1)'!$M:$M,'data (1)'!$A:$A,XYZ!E$1,'data (1)'!$J:$J,XYZ!$A650)</f>
        <v>0</v>
      </c>
      <c r="F650">
        <f>SUMIFS('data (1)'!$M:$M,'data (1)'!$A:$A,XYZ!F$1,'data (1)'!$J:$J,XYZ!$A650)</f>
        <v>1</v>
      </c>
      <c r="G650">
        <f>SUMIFS('data (1)'!$M:$M,'data (1)'!$A:$A,XYZ!G$1,'data (1)'!$J:$J,XYZ!$A650)</f>
        <v>0</v>
      </c>
    </row>
    <row r="651" spans="1:7" x14ac:dyDescent="0.15">
      <c r="A651" t="s">
        <v>1142</v>
      </c>
      <c r="B651" s="11">
        <f t="shared" si="10"/>
        <v>2.2360679774997894</v>
      </c>
      <c r="C651">
        <f>SUMIFS('data (1)'!$M:$M,'data (1)'!$A:$A,XYZ!C$1,'data (1)'!$J:$J,XYZ!$A651)</f>
        <v>0</v>
      </c>
      <c r="D651">
        <f>SUMIFS('data (1)'!$M:$M,'data (1)'!$A:$A,XYZ!D$1,'data (1)'!$J:$J,XYZ!$A651)</f>
        <v>0</v>
      </c>
      <c r="E651">
        <f>SUMIFS('data (1)'!$M:$M,'data (1)'!$A:$A,XYZ!E$1,'data (1)'!$J:$J,XYZ!$A651)</f>
        <v>0</v>
      </c>
      <c r="F651">
        <f>SUMIFS('data (1)'!$M:$M,'data (1)'!$A:$A,XYZ!F$1,'data (1)'!$J:$J,XYZ!$A651)</f>
        <v>0</v>
      </c>
      <c r="G651">
        <f>SUMIFS('data (1)'!$M:$M,'data (1)'!$A:$A,XYZ!G$1,'data (1)'!$J:$J,XYZ!$A651)</f>
        <v>1</v>
      </c>
    </row>
    <row r="652" spans="1:7" x14ac:dyDescent="0.15">
      <c r="A652" t="s">
        <v>677</v>
      </c>
      <c r="B652" s="11">
        <f t="shared" si="10"/>
        <v>2.2360679774997894</v>
      </c>
      <c r="C652">
        <f>SUMIFS('data (1)'!$M:$M,'data (1)'!$A:$A,XYZ!C$1,'data (1)'!$J:$J,XYZ!$A652)</f>
        <v>0</v>
      </c>
      <c r="D652">
        <f>SUMIFS('data (1)'!$M:$M,'data (1)'!$A:$A,XYZ!D$1,'data (1)'!$J:$J,XYZ!$A652)</f>
        <v>1</v>
      </c>
      <c r="E652">
        <f>SUMIFS('data (1)'!$M:$M,'data (1)'!$A:$A,XYZ!E$1,'data (1)'!$J:$J,XYZ!$A652)</f>
        <v>0</v>
      </c>
      <c r="F652">
        <f>SUMIFS('data (1)'!$M:$M,'data (1)'!$A:$A,XYZ!F$1,'data (1)'!$J:$J,XYZ!$A652)</f>
        <v>0</v>
      </c>
      <c r="G652">
        <f>SUMIFS('data (1)'!$M:$M,'data (1)'!$A:$A,XYZ!G$1,'data (1)'!$J:$J,XYZ!$A652)</f>
        <v>0</v>
      </c>
    </row>
    <row r="653" spans="1:7" x14ac:dyDescent="0.15">
      <c r="A653" t="s">
        <v>578</v>
      </c>
      <c r="B653" s="11">
        <f t="shared" si="10"/>
        <v>2.2360679774997894</v>
      </c>
      <c r="C653">
        <f>SUMIFS('data (1)'!$M:$M,'data (1)'!$A:$A,XYZ!C$1,'data (1)'!$J:$J,XYZ!$A653)</f>
        <v>0</v>
      </c>
      <c r="D653">
        <f>SUMIFS('data (1)'!$M:$M,'data (1)'!$A:$A,XYZ!D$1,'data (1)'!$J:$J,XYZ!$A653)</f>
        <v>1</v>
      </c>
      <c r="E653">
        <f>SUMIFS('data (1)'!$M:$M,'data (1)'!$A:$A,XYZ!E$1,'data (1)'!$J:$J,XYZ!$A653)</f>
        <v>0</v>
      </c>
      <c r="F653">
        <f>SUMIFS('data (1)'!$M:$M,'data (1)'!$A:$A,XYZ!F$1,'data (1)'!$J:$J,XYZ!$A653)</f>
        <v>0</v>
      </c>
      <c r="G653">
        <f>SUMIFS('data (1)'!$M:$M,'data (1)'!$A:$A,XYZ!G$1,'data (1)'!$J:$J,XYZ!$A653)</f>
        <v>0</v>
      </c>
    </row>
    <row r="654" spans="1:7" x14ac:dyDescent="0.15">
      <c r="A654" t="s">
        <v>103</v>
      </c>
      <c r="B654" s="11">
        <f t="shared" si="10"/>
        <v>2.2360679774997894</v>
      </c>
      <c r="C654">
        <f>SUMIFS('data (1)'!$M:$M,'data (1)'!$A:$A,XYZ!C$1,'data (1)'!$J:$J,XYZ!$A654)</f>
        <v>1</v>
      </c>
      <c r="D654">
        <f>SUMIFS('data (1)'!$M:$M,'data (1)'!$A:$A,XYZ!D$1,'data (1)'!$J:$J,XYZ!$A654)</f>
        <v>0</v>
      </c>
      <c r="E654">
        <f>SUMIFS('data (1)'!$M:$M,'data (1)'!$A:$A,XYZ!E$1,'data (1)'!$J:$J,XYZ!$A654)</f>
        <v>0</v>
      </c>
      <c r="F654">
        <f>SUMIFS('data (1)'!$M:$M,'data (1)'!$A:$A,XYZ!F$1,'data (1)'!$J:$J,XYZ!$A654)</f>
        <v>0</v>
      </c>
      <c r="G654">
        <f>SUMIFS('data (1)'!$M:$M,'data (1)'!$A:$A,XYZ!G$1,'data (1)'!$J:$J,XYZ!$A654)</f>
        <v>0</v>
      </c>
    </row>
    <row r="655" spans="1:7" x14ac:dyDescent="0.15">
      <c r="A655" t="s">
        <v>1181</v>
      </c>
      <c r="B655" s="11">
        <f t="shared" si="10"/>
        <v>2.2360679774997894</v>
      </c>
      <c r="C655">
        <f>SUMIFS('data (1)'!$M:$M,'data (1)'!$A:$A,XYZ!C$1,'data (1)'!$J:$J,XYZ!$A655)</f>
        <v>0</v>
      </c>
      <c r="D655">
        <f>SUMIFS('data (1)'!$M:$M,'data (1)'!$A:$A,XYZ!D$1,'data (1)'!$J:$J,XYZ!$A655)</f>
        <v>0</v>
      </c>
      <c r="E655">
        <f>SUMIFS('data (1)'!$M:$M,'data (1)'!$A:$A,XYZ!E$1,'data (1)'!$J:$J,XYZ!$A655)</f>
        <v>0</v>
      </c>
      <c r="F655">
        <f>SUMIFS('data (1)'!$M:$M,'data (1)'!$A:$A,XYZ!F$1,'data (1)'!$J:$J,XYZ!$A655)</f>
        <v>0</v>
      </c>
      <c r="G655">
        <f>SUMIFS('data (1)'!$M:$M,'data (1)'!$A:$A,XYZ!G$1,'data (1)'!$J:$J,XYZ!$A655)</f>
        <v>1</v>
      </c>
    </row>
    <row r="656" spans="1:7" x14ac:dyDescent="0.15">
      <c r="A656" t="s">
        <v>1150</v>
      </c>
      <c r="B656" s="11">
        <f t="shared" si="10"/>
        <v>2.2360679774997894</v>
      </c>
      <c r="C656">
        <f>SUMIFS('data (1)'!$M:$M,'data (1)'!$A:$A,XYZ!C$1,'data (1)'!$J:$J,XYZ!$A656)</f>
        <v>0</v>
      </c>
      <c r="D656">
        <f>SUMIFS('data (1)'!$M:$M,'data (1)'!$A:$A,XYZ!D$1,'data (1)'!$J:$J,XYZ!$A656)</f>
        <v>0</v>
      </c>
      <c r="E656">
        <f>SUMIFS('data (1)'!$M:$M,'data (1)'!$A:$A,XYZ!E$1,'data (1)'!$J:$J,XYZ!$A656)</f>
        <v>0</v>
      </c>
      <c r="F656">
        <f>SUMIFS('data (1)'!$M:$M,'data (1)'!$A:$A,XYZ!F$1,'data (1)'!$J:$J,XYZ!$A656)</f>
        <v>0</v>
      </c>
      <c r="G656">
        <f>SUMIFS('data (1)'!$M:$M,'data (1)'!$A:$A,XYZ!G$1,'data (1)'!$J:$J,XYZ!$A656)</f>
        <v>1</v>
      </c>
    </row>
    <row r="657" spans="1:7" x14ac:dyDescent="0.15">
      <c r="A657" t="s">
        <v>976</v>
      </c>
      <c r="B657" s="11">
        <f t="shared" si="10"/>
        <v>2.2360679774997894</v>
      </c>
      <c r="C657">
        <f>SUMIFS('data (1)'!$M:$M,'data (1)'!$A:$A,XYZ!C$1,'data (1)'!$J:$J,XYZ!$A657)</f>
        <v>0</v>
      </c>
      <c r="D657">
        <f>SUMIFS('data (1)'!$M:$M,'data (1)'!$A:$A,XYZ!D$1,'data (1)'!$J:$J,XYZ!$A657)</f>
        <v>0</v>
      </c>
      <c r="E657">
        <f>SUMIFS('data (1)'!$M:$M,'data (1)'!$A:$A,XYZ!E$1,'data (1)'!$J:$J,XYZ!$A657)</f>
        <v>0</v>
      </c>
      <c r="F657">
        <f>SUMIFS('data (1)'!$M:$M,'data (1)'!$A:$A,XYZ!F$1,'data (1)'!$J:$J,XYZ!$A657)</f>
        <v>1</v>
      </c>
      <c r="G657">
        <f>SUMIFS('data (1)'!$M:$M,'data (1)'!$A:$A,XYZ!G$1,'data (1)'!$J:$J,XYZ!$A657)</f>
        <v>0</v>
      </c>
    </row>
    <row r="658" spans="1:7" x14ac:dyDescent="0.15">
      <c r="A658" t="s">
        <v>1094</v>
      </c>
      <c r="B658" s="11">
        <f t="shared" si="10"/>
        <v>2.2360679774997894</v>
      </c>
      <c r="C658">
        <f>SUMIFS('data (1)'!$M:$M,'data (1)'!$A:$A,XYZ!C$1,'data (1)'!$J:$J,XYZ!$A658)</f>
        <v>0</v>
      </c>
      <c r="D658">
        <f>SUMIFS('data (1)'!$M:$M,'data (1)'!$A:$A,XYZ!D$1,'data (1)'!$J:$J,XYZ!$A658)</f>
        <v>0</v>
      </c>
      <c r="E658">
        <f>SUMIFS('data (1)'!$M:$M,'data (1)'!$A:$A,XYZ!E$1,'data (1)'!$J:$J,XYZ!$A658)</f>
        <v>0</v>
      </c>
      <c r="F658">
        <f>SUMIFS('data (1)'!$M:$M,'data (1)'!$A:$A,XYZ!F$1,'data (1)'!$J:$J,XYZ!$A658)</f>
        <v>0</v>
      </c>
      <c r="G658">
        <f>SUMIFS('data (1)'!$M:$M,'data (1)'!$A:$A,XYZ!G$1,'data (1)'!$J:$J,XYZ!$A658)</f>
        <v>1</v>
      </c>
    </row>
    <row r="659" spans="1:7" x14ac:dyDescent="0.15">
      <c r="A659" t="s">
        <v>878</v>
      </c>
      <c r="B659" s="11">
        <f t="shared" si="10"/>
        <v>2.2360679774997894</v>
      </c>
      <c r="C659">
        <f>SUMIFS('data (1)'!$M:$M,'data (1)'!$A:$A,XYZ!C$1,'data (1)'!$J:$J,XYZ!$A659)</f>
        <v>0</v>
      </c>
      <c r="D659">
        <f>SUMIFS('data (1)'!$M:$M,'data (1)'!$A:$A,XYZ!D$1,'data (1)'!$J:$J,XYZ!$A659)</f>
        <v>0</v>
      </c>
      <c r="E659">
        <f>SUMIFS('data (1)'!$M:$M,'data (1)'!$A:$A,XYZ!E$1,'data (1)'!$J:$J,XYZ!$A659)</f>
        <v>1</v>
      </c>
      <c r="F659">
        <f>SUMIFS('data (1)'!$M:$M,'data (1)'!$A:$A,XYZ!F$1,'data (1)'!$J:$J,XYZ!$A659)</f>
        <v>0</v>
      </c>
      <c r="G659">
        <f>SUMIFS('data (1)'!$M:$M,'data (1)'!$A:$A,XYZ!G$1,'data (1)'!$J:$J,XYZ!$A659)</f>
        <v>0</v>
      </c>
    </row>
    <row r="660" spans="1:7" x14ac:dyDescent="0.15">
      <c r="A660" t="s">
        <v>560</v>
      </c>
      <c r="B660" s="11">
        <f t="shared" si="10"/>
        <v>2.2360679774997894</v>
      </c>
      <c r="C660">
        <f>SUMIFS('data (1)'!$M:$M,'data (1)'!$A:$A,XYZ!C$1,'data (1)'!$J:$J,XYZ!$A660)</f>
        <v>0</v>
      </c>
      <c r="D660">
        <f>SUMIFS('data (1)'!$M:$M,'data (1)'!$A:$A,XYZ!D$1,'data (1)'!$J:$J,XYZ!$A660)</f>
        <v>1</v>
      </c>
      <c r="E660">
        <f>SUMIFS('data (1)'!$M:$M,'data (1)'!$A:$A,XYZ!E$1,'data (1)'!$J:$J,XYZ!$A660)</f>
        <v>0</v>
      </c>
      <c r="F660">
        <f>SUMIFS('data (1)'!$M:$M,'data (1)'!$A:$A,XYZ!F$1,'data (1)'!$J:$J,XYZ!$A660)</f>
        <v>0</v>
      </c>
      <c r="G660">
        <f>SUMIFS('data (1)'!$M:$M,'data (1)'!$A:$A,XYZ!G$1,'data (1)'!$J:$J,XYZ!$A660)</f>
        <v>0</v>
      </c>
    </row>
    <row r="661" spans="1:7" x14ac:dyDescent="0.15">
      <c r="A661" t="s">
        <v>635</v>
      </c>
      <c r="B661" s="11">
        <f t="shared" si="10"/>
        <v>2.2360679774997894</v>
      </c>
      <c r="C661">
        <f>SUMIFS('data (1)'!$M:$M,'data (1)'!$A:$A,XYZ!C$1,'data (1)'!$J:$J,XYZ!$A661)</f>
        <v>0</v>
      </c>
      <c r="D661">
        <f>SUMIFS('data (1)'!$M:$M,'data (1)'!$A:$A,XYZ!D$1,'data (1)'!$J:$J,XYZ!$A661)</f>
        <v>1</v>
      </c>
      <c r="E661">
        <f>SUMIFS('data (1)'!$M:$M,'data (1)'!$A:$A,XYZ!E$1,'data (1)'!$J:$J,XYZ!$A661)</f>
        <v>0</v>
      </c>
      <c r="F661">
        <f>SUMIFS('data (1)'!$M:$M,'data (1)'!$A:$A,XYZ!F$1,'data (1)'!$J:$J,XYZ!$A661)</f>
        <v>0</v>
      </c>
      <c r="G661">
        <f>SUMIFS('data (1)'!$M:$M,'data (1)'!$A:$A,XYZ!G$1,'data (1)'!$J:$J,XYZ!$A661)</f>
        <v>0</v>
      </c>
    </row>
    <row r="662" spans="1:7" x14ac:dyDescent="0.15">
      <c r="A662" t="s">
        <v>77</v>
      </c>
      <c r="B662" s="11">
        <f t="shared" si="10"/>
        <v>2.2360679774997894</v>
      </c>
      <c r="C662">
        <f>SUMIFS('data (1)'!$M:$M,'data (1)'!$A:$A,XYZ!C$1,'data (1)'!$J:$J,XYZ!$A662)</f>
        <v>1</v>
      </c>
      <c r="D662">
        <f>SUMIFS('data (1)'!$M:$M,'data (1)'!$A:$A,XYZ!D$1,'data (1)'!$J:$J,XYZ!$A662)</f>
        <v>0</v>
      </c>
      <c r="E662">
        <f>SUMIFS('data (1)'!$M:$M,'data (1)'!$A:$A,XYZ!E$1,'data (1)'!$J:$J,XYZ!$A662)</f>
        <v>0</v>
      </c>
      <c r="F662">
        <f>SUMIFS('data (1)'!$M:$M,'data (1)'!$A:$A,XYZ!F$1,'data (1)'!$J:$J,XYZ!$A662)</f>
        <v>0</v>
      </c>
      <c r="G662">
        <f>SUMIFS('data (1)'!$M:$M,'data (1)'!$A:$A,XYZ!G$1,'data (1)'!$J:$J,XYZ!$A662)</f>
        <v>0</v>
      </c>
    </row>
    <row r="663" spans="1:7" x14ac:dyDescent="0.15">
      <c r="A663" t="s">
        <v>576</v>
      </c>
      <c r="B663" s="11">
        <f t="shared" si="10"/>
        <v>2.2360679774997894</v>
      </c>
      <c r="C663">
        <f>SUMIFS('data (1)'!$M:$M,'data (1)'!$A:$A,XYZ!C$1,'data (1)'!$J:$J,XYZ!$A663)</f>
        <v>0</v>
      </c>
      <c r="D663">
        <f>SUMIFS('data (1)'!$M:$M,'data (1)'!$A:$A,XYZ!D$1,'data (1)'!$J:$J,XYZ!$A663)</f>
        <v>1</v>
      </c>
      <c r="E663">
        <f>SUMIFS('data (1)'!$M:$M,'data (1)'!$A:$A,XYZ!E$1,'data (1)'!$J:$J,XYZ!$A663)</f>
        <v>0</v>
      </c>
      <c r="F663">
        <f>SUMIFS('data (1)'!$M:$M,'data (1)'!$A:$A,XYZ!F$1,'data (1)'!$J:$J,XYZ!$A663)</f>
        <v>0</v>
      </c>
      <c r="G663">
        <f>SUMIFS('data (1)'!$M:$M,'data (1)'!$A:$A,XYZ!G$1,'data (1)'!$J:$J,XYZ!$A663)</f>
        <v>0</v>
      </c>
    </row>
    <row r="664" spans="1:7" x14ac:dyDescent="0.15">
      <c r="A664" t="s">
        <v>913</v>
      </c>
      <c r="B664" s="11">
        <f t="shared" si="10"/>
        <v>2.2360679774997894</v>
      </c>
      <c r="C664">
        <f>SUMIFS('data (1)'!$M:$M,'data (1)'!$A:$A,XYZ!C$1,'data (1)'!$J:$J,XYZ!$A664)</f>
        <v>0</v>
      </c>
      <c r="D664">
        <f>SUMIFS('data (1)'!$M:$M,'data (1)'!$A:$A,XYZ!D$1,'data (1)'!$J:$J,XYZ!$A664)</f>
        <v>0</v>
      </c>
      <c r="E664">
        <f>SUMIFS('data (1)'!$M:$M,'data (1)'!$A:$A,XYZ!E$1,'data (1)'!$J:$J,XYZ!$A664)</f>
        <v>1</v>
      </c>
      <c r="F664">
        <f>SUMIFS('data (1)'!$M:$M,'data (1)'!$A:$A,XYZ!F$1,'data (1)'!$J:$J,XYZ!$A664)</f>
        <v>0</v>
      </c>
      <c r="G664">
        <f>SUMIFS('data (1)'!$M:$M,'data (1)'!$A:$A,XYZ!G$1,'data (1)'!$J:$J,XYZ!$A664)</f>
        <v>0</v>
      </c>
    </row>
    <row r="665" spans="1:7" x14ac:dyDescent="0.15">
      <c r="A665" t="s">
        <v>699</v>
      </c>
      <c r="B665" s="11">
        <f t="shared" si="10"/>
        <v>2.2360679774997894</v>
      </c>
      <c r="C665">
        <f>SUMIFS('data (1)'!$M:$M,'data (1)'!$A:$A,XYZ!C$1,'data (1)'!$J:$J,XYZ!$A665)</f>
        <v>0</v>
      </c>
      <c r="D665">
        <f>SUMIFS('data (1)'!$M:$M,'data (1)'!$A:$A,XYZ!D$1,'data (1)'!$J:$J,XYZ!$A665)</f>
        <v>1</v>
      </c>
      <c r="E665">
        <f>SUMIFS('data (1)'!$M:$M,'data (1)'!$A:$A,XYZ!E$1,'data (1)'!$J:$J,XYZ!$A665)</f>
        <v>0</v>
      </c>
      <c r="F665">
        <f>SUMIFS('data (1)'!$M:$M,'data (1)'!$A:$A,XYZ!F$1,'data (1)'!$J:$J,XYZ!$A665)</f>
        <v>0</v>
      </c>
      <c r="G665">
        <f>SUMIFS('data (1)'!$M:$M,'data (1)'!$A:$A,XYZ!G$1,'data (1)'!$J:$J,XYZ!$A665)</f>
        <v>0</v>
      </c>
    </row>
    <row r="666" spans="1:7" x14ac:dyDescent="0.15">
      <c r="A666" t="s">
        <v>815</v>
      </c>
      <c r="B666" s="11">
        <f t="shared" si="10"/>
        <v>2.2360679774997894</v>
      </c>
      <c r="C666">
        <f>SUMIFS('data (1)'!$M:$M,'data (1)'!$A:$A,XYZ!C$1,'data (1)'!$J:$J,XYZ!$A666)</f>
        <v>0</v>
      </c>
      <c r="D666">
        <f>SUMIFS('data (1)'!$M:$M,'data (1)'!$A:$A,XYZ!D$1,'data (1)'!$J:$J,XYZ!$A666)</f>
        <v>0</v>
      </c>
      <c r="E666">
        <f>SUMIFS('data (1)'!$M:$M,'data (1)'!$A:$A,XYZ!E$1,'data (1)'!$J:$J,XYZ!$A666)</f>
        <v>1</v>
      </c>
      <c r="F666">
        <f>SUMIFS('data (1)'!$M:$M,'data (1)'!$A:$A,XYZ!F$1,'data (1)'!$J:$J,XYZ!$A666)</f>
        <v>0</v>
      </c>
      <c r="G666">
        <f>SUMIFS('data (1)'!$M:$M,'data (1)'!$A:$A,XYZ!G$1,'data (1)'!$J:$J,XYZ!$A666)</f>
        <v>0</v>
      </c>
    </row>
    <row r="667" spans="1:7" x14ac:dyDescent="0.15">
      <c r="A667" t="s">
        <v>1105</v>
      </c>
      <c r="B667" s="11">
        <f t="shared" si="10"/>
        <v>2.2360679774997894</v>
      </c>
      <c r="C667">
        <f>SUMIFS('data (1)'!$M:$M,'data (1)'!$A:$A,XYZ!C$1,'data (1)'!$J:$J,XYZ!$A667)</f>
        <v>0</v>
      </c>
      <c r="D667">
        <f>SUMIFS('data (1)'!$M:$M,'data (1)'!$A:$A,XYZ!D$1,'data (1)'!$J:$J,XYZ!$A667)</f>
        <v>0</v>
      </c>
      <c r="E667">
        <f>SUMIFS('data (1)'!$M:$M,'data (1)'!$A:$A,XYZ!E$1,'data (1)'!$J:$J,XYZ!$A667)</f>
        <v>0</v>
      </c>
      <c r="F667">
        <f>SUMIFS('data (1)'!$M:$M,'data (1)'!$A:$A,XYZ!F$1,'data (1)'!$J:$J,XYZ!$A667)</f>
        <v>0</v>
      </c>
      <c r="G667">
        <f>SUMIFS('data (1)'!$M:$M,'data (1)'!$A:$A,XYZ!G$1,'data (1)'!$J:$J,XYZ!$A667)</f>
        <v>1</v>
      </c>
    </row>
    <row r="668" spans="1:7" x14ac:dyDescent="0.15">
      <c r="A668" t="s">
        <v>463</v>
      </c>
      <c r="B668" s="11">
        <f t="shared" si="10"/>
        <v>2.2360679774997894</v>
      </c>
      <c r="C668">
        <f>SUMIFS('data (1)'!$M:$M,'data (1)'!$A:$A,XYZ!C$1,'data (1)'!$J:$J,XYZ!$A668)</f>
        <v>1</v>
      </c>
      <c r="D668">
        <f>SUMIFS('data (1)'!$M:$M,'data (1)'!$A:$A,XYZ!D$1,'data (1)'!$J:$J,XYZ!$A668)</f>
        <v>0</v>
      </c>
      <c r="E668">
        <f>SUMIFS('data (1)'!$M:$M,'data (1)'!$A:$A,XYZ!E$1,'data (1)'!$J:$J,XYZ!$A668)</f>
        <v>0</v>
      </c>
      <c r="F668">
        <f>SUMIFS('data (1)'!$M:$M,'data (1)'!$A:$A,XYZ!F$1,'data (1)'!$J:$J,XYZ!$A668)</f>
        <v>0</v>
      </c>
      <c r="G668">
        <f>SUMIFS('data (1)'!$M:$M,'data (1)'!$A:$A,XYZ!G$1,'data (1)'!$J:$J,XYZ!$A668)</f>
        <v>0</v>
      </c>
    </row>
    <row r="669" spans="1:7" x14ac:dyDescent="0.15">
      <c r="A669" t="s">
        <v>732</v>
      </c>
      <c r="B669" s="11">
        <f t="shared" si="10"/>
        <v>2.2360679774997894</v>
      </c>
      <c r="C669">
        <f>SUMIFS('data (1)'!$M:$M,'data (1)'!$A:$A,XYZ!C$1,'data (1)'!$J:$J,XYZ!$A669)</f>
        <v>0</v>
      </c>
      <c r="D669">
        <f>SUMIFS('data (1)'!$M:$M,'data (1)'!$A:$A,XYZ!D$1,'data (1)'!$J:$J,XYZ!$A669)</f>
        <v>0</v>
      </c>
      <c r="E669">
        <f>SUMIFS('data (1)'!$M:$M,'data (1)'!$A:$A,XYZ!E$1,'data (1)'!$J:$J,XYZ!$A669)</f>
        <v>1</v>
      </c>
      <c r="F669">
        <f>SUMIFS('data (1)'!$M:$M,'data (1)'!$A:$A,XYZ!F$1,'data (1)'!$J:$J,XYZ!$A669)</f>
        <v>0</v>
      </c>
      <c r="G669">
        <f>SUMIFS('data (1)'!$M:$M,'data (1)'!$A:$A,XYZ!G$1,'data (1)'!$J:$J,XYZ!$A669)</f>
        <v>0</v>
      </c>
    </row>
    <row r="670" spans="1:7" x14ac:dyDescent="0.15">
      <c r="A670" t="s">
        <v>863</v>
      </c>
      <c r="B670" s="11">
        <f t="shared" si="10"/>
        <v>2.2360679774997894</v>
      </c>
      <c r="C670">
        <f>SUMIFS('data (1)'!$M:$M,'data (1)'!$A:$A,XYZ!C$1,'data (1)'!$J:$J,XYZ!$A670)</f>
        <v>0</v>
      </c>
      <c r="D670">
        <f>SUMIFS('data (1)'!$M:$M,'data (1)'!$A:$A,XYZ!D$1,'data (1)'!$J:$J,XYZ!$A670)</f>
        <v>0</v>
      </c>
      <c r="E670">
        <f>SUMIFS('data (1)'!$M:$M,'data (1)'!$A:$A,XYZ!E$1,'data (1)'!$J:$J,XYZ!$A670)</f>
        <v>1</v>
      </c>
      <c r="F670">
        <f>SUMIFS('data (1)'!$M:$M,'data (1)'!$A:$A,XYZ!F$1,'data (1)'!$J:$J,XYZ!$A670)</f>
        <v>0</v>
      </c>
      <c r="G670">
        <f>SUMIFS('data (1)'!$M:$M,'data (1)'!$A:$A,XYZ!G$1,'data (1)'!$J:$J,XYZ!$A670)</f>
        <v>0</v>
      </c>
    </row>
    <row r="671" spans="1:7" x14ac:dyDescent="0.15">
      <c r="A671" t="s">
        <v>502</v>
      </c>
      <c r="B671" s="11">
        <f t="shared" si="10"/>
        <v>2.2360679774997894</v>
      </c>
      <c r="C671">
        <f>SUMIFS('data (1)'!$M:$M,'data (1)'!$A:$A,XYZ!C$1,'data (1)'!$J:$J,XYZ!$A671)</f>
        <v>0</v>
      </c>
      <c r="D671">
        <f>SUMIFS('data (1)'!$M:$M,'data (1)'!$A:$A,XYZ!D$1,'data (1)'!$J:$J,XYZ!$A671)</f>
        <v>1</v>
      </c>
      <c r="E671">
        <f>SUMIFS('data (1)'!$M:$M,'data (1)'!$A:$A,XYZ!E$1,'data (1)'!$J:$J,XYZ!$A671)</f>
        <v>0</v>
      </c>
      <c r="F671">
        <f>SUMIFS('data (1)'!$M:$M,'data (1)'!$A:$A,XYZ!F$1,'data (1)'!$J:$J,XYZ!$A671)</f>
        <v>0</v>
      </c>
      <c r="G671">
        <f>SUMIFS('data (1)'!$M:$M,'data (1)'!$A:$A,XYZ!G$1,'data (1)'!$J:$J,XYZ!$A671)</f>
        <v>0</v>
      </c>
    </row>
    <row r="672" spans="1:7" x14ac:dyDescent="0.15">
      <c r="A672" t="s">
        <v>896</v>
      </c>
      <c r="B672" s="11">
        <f t="shared" si="10"/>
        <v>2.2360679774997894</v>
      </c>
      <c r="C672">
        <f>SUMIFS('data (1)'!$M:$M,'data (1)'!$A:$A,XYZ!C$1,'data (1)'!$J:$J,XYZ!$A672)</f>
        <v>0</v>
      </c>
      <c r="D672">
        <f>SUMIFS('data (1)'!$M:$M,'data (1)'!$A:$A,XYZ!D$1,'data (1)'!$J:$J,XYZ!$A672)</f>
        <v>0</v>
      </c>
      <c r="E672">
        <f>SUMIFS('data (1)'!$M:$M,'data (1)'!$A:$A,XYZ!E$1,'data (1)'!$J:$J,XYZ!$A672)</f>
        <v>1</v>
      </c>
      <c r="F672">
        <f>SUMIFS('data (1)'!$M:$M,'data (1)'!$A:$A,XYZ!F$1,'data (1)'!$J:$J,XYZ!$A672)</f>
        <v>0</v>
      </c>
      <c r="G672">
        <f>SUMIFS('data (1)'!$M:$M,'data (1)'!$A:$A,XYZ!G$1,'data (1)'!$J:$J,XYZ!$A672)</f>
        <v>0</v>
      </c>
    </row>
    <row r="673" spans="1:7" x14ac:dyDescent="0.15">
      <c r="A673" t="s">
        <v>193</v>
      </c>
      <c r="B673" s="11">
        <f t="shared" si="10"/>
        <v>2.2360679774997894</v>
      </c>
      <c r="C673">
        <f>SUMIFS('data (1)'!$M:$M,'data (1)'!$A:$A,XYZ!C$1,'data (1)'!$J:$J,XYZ!$A673)</f>
        <v>1</v>
      </c>
      <c r="D673">
        <f>SUMIFS('data (1)'!$M:$M,'data (1)'!$A:$A,XYZ!D$1,'data (1)'!$J:$J,XYZ!$A673)</f>
        <v>0</v>
      </c>
      <c r="E673">
        <f>SUMIFS('data (1)'!$M:$M,'data (1)'!$A:$A,XYZ!E$1,'data (1)'!$J:$J,XYZ!$A673)</f>
        <v>0</v>
      </c>
      <c r="F673">
        <f>SUMIFS('data (1)'!$M:$M,'data (1)'!$A:$A,XYZ!F$1,'data (1)'!$J:$J,XYZ!$A673)</f>
        <v>0</v>
      </c>
      <c r="G673">
        <f>SUMIFS('data (1)'!$M:$M,'data (1)'!$A:$A,XYZ!G$1,'data (1)'!$J:$J,XYZ!$A673)</f>
        <v>0</v>
      </c>
    </row>
    <row r="674" spans="1:7" x14ac:dyDescent="0.15">
      <c r="A674" t="s">
        <v>1077</v>
      </c>
      <c r="B674" s="11">
        <f t="shared" si="10"/>
        <v>2.2360679774997894</v>
      </c>
      <c r="C674">
        <f>SUMIFS('data (1)'!$M:$M,'data (1)'!$A:$A,XYZ!C$1,'data (1)'!$J:$J,XYZ!$A674)</f>
        <v>0</v>
      </c>
      <c r="D674">
        <f>SUMIFS('data (1)'!$M:$M,'data (1)'!$A:$A,XYZ!D$1,'data (1)'!$J:$J,XYZ!$A674)</f>
        <v>0</v>
      </c>
      <c r="E674">
        <f>SUMIFS('data (1)'!$M:$M,'data (1)'!$A:$A,XYZ!E$1,'data (1)'!$J:$J,XYZ!$A674)</f>
        <v>0</v>
      </c>
      <c r="F674">
        <f>SUMIFS('data (1)'!$M:$M,'data (1)'!$A:$A,XYZ!F$1,'data (1)'!$J:$J,XYZ!$A674)</f>
        <v>0</v>
      </c>
      <c r="G674">
        <f>SUMIFS('data (1)'!$M:$M,'data (1)'!$A:$A,XYZ!G$1,'data (1)'!$J:$J,XYZ!$A674)</f>
        <v>1</v>
      </c>
    </row>
    <row r="675" spans="1:7" x14ac:dyDescent="0.15">
      <c r="A675" t="s">
        <v>482</v>
      </c>
      <c r="B675" s="11">
        <f t="shared" si="10"/>
        <v>2.2360679774997894</v>
      </c>
      <c r="C675">
        <f>SUMIFS('data (1)'!$M:$M,'data (1)'!$A:$A,XYZ!C$1,'data (1)'!$J:$J,XYZ!$A675)</f>
        <v>0</v>
      </c>
      <c r="D675">
        <f>SUMIFS('data (1)'!$M:$M,'data (1)'!$A:$A,XYZ!D$1,'data (1)'!$J:$J,XYZ!$A675)</f>
        <v>1</v>
      </c>
      <c r="E675">
        <f>SUMIFS('data (1)'!$M:$M,'data (1)'!$A:$A,XYZ!E$1,'data (1)'!$J:$J,XYZ!$A675)</f>
        <v>0</v>
      </c>
      <c r="F675">
        <f>SUMIFS('data (1)'!$M:$M,'data (1)'!$A:$A,XYZ!F$1,'data (1)'!$J:$J,XYZ!$A675)</f>
        <v>0</v>
      </c>
      <c r="G675">
        <f>SUMIFS('data (1)'!$M:$M,'data (1)'!$A:$A,XYZ!G$1,'data (1)'!$J:$J,XYZ!$A675)</f>
        <v>0</v>
      </c>
    </row>
    <row r="676" spans="1:7" x14ac:dyDescent="0.15">
      <c r="A676" t="s">
        <v>1127</v>
      </c>
      <c r="B676" s="11">
        <f t="shared" si="10"/>
        <v>2.2360679774997894</v>
      </c>
      <c r="C676">
        <f>SUMIFS('data (1)'!$M:$M,'data (1)'!$A:$A,XYZ!C$1,'data (1)'!$J:$J,XYZ!$A676)</f>
        <v>0</v>
      </c>
      <c r="D676">
        <f>SUMIFS('data (1)'!$M:$M,'data (1)'!$A:$A,XYZ!D$1,'data (1)'!$J:$J,XYZ!$A676)</f>
        <v>0</v>
      </c>
      <c r="E676">
        <f>SUMIFS('data (1)'!$M:$M,'data (1)'!$A:$A,XYZ!E$1,'data (1)'!$J:$J,XYZ!$A676)</f>
        <v>0</v>
      </c>
      <c r="F676">
        <f>SUMIFS('data (1)'!$M:$M,'data (1)'!$A:$A,XYZ!F$1,'data (1)'!$J:$J,XYZ!$A676)</f>
        <v>0</v>
      </c>
      <c r="G676">
        <f>SUMIFS('data (1)'!$M:$M,'data (1)'!$A:$A,XYZ!G$1,'data (1)'!$J:$J,XYZ!$A676)</f>
        <v>1</v>
      </c>
    </row>
    <row r="677" spans="1:7" x14ac:dyDescent="0.15">
      <c r="A677" t="s">
        <v>221</v>
      </c>
      <c r="B677" s="11">
        <f t="shared" si="10"/>
        <v>2.2360679774997894</v>
      </c>
      <c r="C677">
        <f>SUMIFS('data (1)'!$M:$M,'data (1)'!$A:$A,XYZ!C$1,'data (1)'!$J:$J,XYZ!$A677)</f>
        <v>1</v>
      </c>
      <c r="D677">
        <f>SUMIFS('data (1)'!$M:$M,'data (1)'!$A:$A,XYZ!D$1,'data (1)'!$J:$J,XYZ!$A677)</f>
        <v>0</v>
      </c>
      <c r="E677">
        <f>SUMIFS('data (1)'!$M:$M,'data (1)'!$A:$A,XYZ!E$1,'data (1)'!$J:$J,XYZ!$A677)</f>
        <v>0</v>
      </c>
      <c r="F677">
        <f>SUMIFS('data (1)'!$M:$M,'data (1)'!$A:$A,XYZ!F$1,'data (1)'!$J:$J,XYZ!$A677)</f>
        <v>0</v>
      </c>
      <c r="G677">
        <f>SUMIFS('data (1)'!$M:$M,'data (1)'!$A:$A,XYZ!G$1,'data (1)'!$J:$J,XYZ!$A677)</f>
        <v>0</v>
      </c>
    </row>
    <row r="678" spans="1:7" x14ac:dyDescent="0.15">
      <c r="A678" t="s">
        <v>643</v>
      </c>
      <c r="B678" s="11">
        <f t="shared" si="10"/>
        <v>2.2360679774997894</v>
      </c>
      <c r="C678">
        <f>SUMIFS('data (1)'!$M:$M,'data (1)'!$A:$A,XYZ!C$1,'data (1)'!$J:$J,XYZ!$A678)</f>
        <v>0</v>
      </c>
      <c r="D678">
        <f>SUMIFS('data (1)'!$M:$M,'data (1)'!$A:$A,XYZ!D$1,'data (1)'!$J:$J,XYZ!$A678)</f>
        <v>1</v>
      </c>
      <c r="E678">
        <f>SUMIFS('data (1)'!$M:$M,'data (1)'!$A:$A,XYZ!E$1,'data (1)'!$J:$J,XYZ!$A678)</f>
        <v>0</v>
      </c>
      <c r="F678">
        <f>SUMIFS('data (1)'!$M:$M,'data (1)'!$A:$A,XYZ!F$1,'data (1)'!$J:$J,XYZ!$A678)</f>
        <v>0</v>
      </c>
      <c r="G678">
        <f>SUMIFS('data (1)'!$M:$M,'data (1)'!$A:$A,XYZ!G$1,'data (1)'!$J:$J,XYZ!$A678)</f>
        <v>0</v>
      </c>
    </row>
    <row r="679" spans="1:7" x14ac:dyDescent="0.15">
      <c r="A679" t="s">
        <v>1070</v>
      </c>
      <c r="B679" s="11">
        <f t="shared" si="10"/>
        <v>2.2360679774997894</v>
      </c>
      <c r="C679">
        <f>SUMIFS('data (1)'!$M:$M,'data (1)'!$A:$A,XYZ!C$1,'data (1)'!$J:$J,XYZ!$A679)</f>
        <v>0</v>
      </c>
      <c r="D679">
        <f>SUMIFS('data (1)'!$M:$M,'data (1)'!$A:$A,XYZ!D$1,'data (1)'!$J:$J,XYZ!$A679)</f>
        <v>0</v>
      </c>
      <c r="E679">
        <f>SUMIFS('data (1)'!$M:$M,'data (1)'!$A:$A,XYZ!E$1,'data (1)'!$J:$J,XYZ!$A679)</f>
        <v>0</v>
      </c>
      <c r="F679">
        <f>SUMIFS('data (1)'!$M:$M,'data (1)'!$A:$A,XYZ!F$1,'data (1)'!$J:$J,XYZ!$A679)</f>
        <v>1</v>
      </c>
      <c r="G679">
        <f>SUMIFS('data (1)'!$M:$M,'data (1)'!$A:$A,XYZ!G$1,'data (1)'!$J:$J,XYZ!$A679)</f>
        <v>0</v>
      </c>
    </row>
    <row r="680" spans="1:7" x14ac:dyDescent="0.15">
      <c r="A680" t="s">
        <v>347</v>
      </c>
      <c r="B680" s="11">
        <f t="shared" si="10"/>
        <v>2.2360679774997894</v>
      </c>
      <c r="C680">
        <f>SUMIFS('data (1)'!$M:$M,'data (1)'!$A:$A,XYZ!C$1,'data (1)'!$J:$J,XYZ!$A680)</f>
        <v>1</v>
      </c>
      <c r="D680">
        <f>SUMIFS('data (1)'!$M:$M,'data (1)'!$A:$A,XYZ!D$1,'data (1)'!$J:$J,XYZ!$A680)</f>
        <v>0</v>
      </c>
      <c r="E680">
        <f>SUMIFS('data (1)'!$M:$M,'data (1)'!$A:$A,XYZ!E$1,'data (1)'!$J:$J,XYZ!$A680)</f>
        <v>0</v>
      </c>
      <c r="F680">
        <f>SUMIFS('data (1)'!$M:$M,'data (1)'!$A:$A,XYZ!F$1,'data (1)'!$J:$J,XYZ!$A680)</f>
        <v>0</v>
      </c>
      <c r="G680">
        <f>SUMIFS('data (1)'!$M:$M,'data (1)'!$A:$A,XYZ!G$1,'data (1)'!$J:$J,XYZ!$A680)</f>
        <v>0</v>
      </c>
    </row>
    <row r="681" spans="1:7" x14ac:dyDescent="0.15">
      <c r="A681" t="s">
        <v>846</v>
      </c>
      <c r="B681" s="11">
        <f t="shared" si="10"/>
        <v>2.2360679774997894</v>
      </c>
      <c r="C681">
        <f>SUMIFS('data (1)'!$M:$M,'data (1)'!$A:$A,XYZ!C$1,'data (1)'!$J:$J,XYZ!$A681)</f>
        <v>0</v>
      </c>
      <c r="D681">
        <f>SUMIFS('data (1)'!$M:$M,'data (1)'!$A:$A,XYZ!D$1,'data (1)'!$J:$J,XYZ!$A681)</f>
        <v>0</v>
      </c>
      <c r="E681">
        <f>SUMIFS('data (1)'!$M:$M,'data (1)'!$A:$A,XYZ!E$1,'data (1)'!$J:$J,XYZ!$A681)</f>
        <v>1</v>
      </c>
      <c r="F681">
        <f>SUMIFS('data (1)'!$M:$M,'data (1)'!$A:$A,XYZ!F$1,'data (1)'!$J:$J,XYZ!$A681)</f>
        <v>0</v>
      </c>
      <c r="G681">
        <f>SUMIFS('data (1)'!$M:$M,'data (1)'!$A:$A,XYZ!G$1,'data (1)'!$J:$J,XYZ!$A681)</f>
        <v>0</v>
      </c>
    </row>
    <row r="682" spans="1:7" x14ac:dyDescent="0.15">
      <c r="A682" t="s">
        <v>774</v>
      </c>
      <c r="B682" s="11">
        <f t="shared" si="10"/>
        <v>2.2360679774997894</v>
      </c>
      <c r="C682">
        <f>SUMIFS('data (1)'!$M:$M,'data (1)'!$A:$A,XYZ!C$1,'data (1)'!$J:$J,XYZ!$A682)</f>
        <v>0</v>
      </c>
      <c r="D682">
        <f>SUMIFS('data (1)'!$M:$M,'data (1)'!$A:$A,XYZ!D$1,'data (1)'!$J:$J,XYZ!$A682)</f>
        <v>0</v>
      </c>
      <c r="E682">
        <f>SUMIFS('data (1)'!$M:$M,'data (1)'!$A:$A,XYZ!E$1,'data (1)'!$J:$J,XYZ!$A682)</f>
        <v>1</v>
      </c>
      <c r="F682">
        <f>SUMIFS('data (1)'!$M:$M,'data (1)'!$A:$A,XYZ!F$1,'data (1)'!$J:$J,XYZ!$A682)</f>
        <v>0</v>
      </c>
      <c r="G682">
        <f>SUMIFS('data (1)'!$M:$M,'data (1)'!$A:$A,XYZ!G$1,'data (1)'!$J:$J,XYZ!$A682)</f>
        <v>0</v>
      </c>
    </row>
    <row r="683" spans="1:7" x14ac:dyDescent="0.15">
      <c r="A683" t="s">
        <v>910</v>
      </c>
      <c r="B683" s="11">
        <f t="shared" si="10"/>
        <v>2.2360679774997894</v>
      </c>
      <c r="C683">
        <f>SUMIFS('data (1)'!$M:$M,'data (1)'!$A:$A,XYZ!C$1,'data (1)'!$J:$J,XYZ!$A683)</f>
        <v>0</v>
      </c>
      <c r="D683">
        <f>SUMIFS('data (1)'!$M:$M,'data (1)'!$A:$A,XYZ!D$1,'data (1)'!$J:$J,XYZ!$A683)</f>
        <v>0</v>
      </c>
      <c r="E683">
        <f>SUMIFS('data (1)'!$M:$M,'data (1)'!$A:$A,XYZ!E$1,'data (1)'!$J:$J,XYZ!$A683)</f>
        <v>1</v>
      </c>
      <c r="F683">
        <f>SUMIFS('data (1)'!$M:$M,'data (1)'!$A:$A,XYZ!F$1,'data (1)'!$J:$J,XYZ!$A683)</f>
        <v>0</v>
      </c>
      <c r="G683">
        <f>SUMIFS('data (1)'!$M:$M,'data (1)'!$A:$A,XYZ!G$1,'data (1)'!$J:$J,XYZ!$A683)</f>
        <v>0</v>
      </c>
    </row>
    <row r="684" spans="1:7" x14ac:dyDescent="0.15">
      <c r="A684" t="s">
        <v>624</v>
      </c>
      <c r="B684" s="11">
        <f t="shared" si="10"/>
        <v>2.2360679774997894</v>
      </c>
      <c r="C684">
        <f>SUMIFS('data (1)'!$M:$M,'data (1)'!$A:$A,XYZ!C$1,'data (1)'!$J:$J,XYZ!$A684)</f>
        <v>0</v>
      </c>
      <c r="D684">
        <f>SUMIFS('data (1)'!$M:$M,'data (1)'!$A:$A,XYZ!D$1,'data (1)'!$J:$J,XYZ!$A684)</f>
        <v>1</v>
      </c>
      <c r="E684">
        <f>SUMIFS('data (1)'!$M:$M,'data (1)'!$A:$A,XYZ!E$1,'data (1)'!$J:$J,XYZ!$A684)</f>
        <v>0</v>
      </c>
      <c r="F684">
        <f>SUMIFS('data (1)'!$M:$M,'data (1)'!$A:$A,XYZ!F$1,'data (1)'!$J:$J,XYZ!$A684)</f>
        <v>0</v>
      </c>
      <c r="G684">
        <f>SUMIFS('data (1)'!$M:$M,'data (1)'!$A:$A,XYZ!G$1,'data (1)'!$J:$J,XYZ!$A684)</f>
        <v>0</v>
      </c>
    </row>
    <row r="685" spans="1:7" x14ac:dyDescent="0.15">
      <c r="A685" t="s">
        <v>977</v>
      </c>
      <c r="B685" s="11">
        <f t="shared" si="10"/>
        <v>2.2360679774997894</v>
      </c>
      <c r="C685">
        <f>SUMIFS('data (1)'!$M:$M,'data (1)'!$A:$A,XYZ!C$1,'data (1)'!$J:$J,XYZ!$A685)</f>
        <v>0</v>
      </c>
      <c r="D685">
        <f>SUMIFS('data (1)'!$M:$M,'data (1)'!$A:$A,XYZ!D$1,'data (1)'!$J:$J,XYZ!$A685)</f>
        <v>0</v>
      </c>
      <c r="E685">
        <f>SUMIFS('data (1)'!$M:$M,'data (1)'!$A:$A,XYZ!E$1,'data (1)'!$J:$J,XYZ!$A685)</f>
        <v>0</v>
      </c>
      <c r="F685">
        <f>SUMIFS('data (1)'!$M:$M,'data (1)'!$A:$A,XYZ!F$1,'data (1)'!$J:$J,XYZ!$A685)</f>
        <v>1</v>
      </c>
      <c r="G685">
        <f>SUMIFS('data (1)'!$M:$M,'data (1)'!$A:$A,XYZ!G$1,'data (1)'!$J:$J,XYZ!$A685)</f>
        <v>0</v>
      </c>
    </row>
    <row r="686" spans="1:7" x14ac:dyDescent="0.15">
      <c r="A686" t="s">
        <v>736</v>
      </c>
      <c r="B686" s="11">
        <f t="shared" si="10"/>
        <v>2.2360679774997894</v>
      </c>
      <c r="C686">
        <f>SUMIFS('data (1)'!$M:$M,'data (1)'!$A:$A,XYZ!C$1,'data (1)'!$J:$J,XYZ!$A686)</f>
        <v>0</v>
      </c>
      <c r="D686">
        <f>SUMIFS('data (1)'!$M:$M,'data (1)'!$A:$A,XYZ!D$1,'data (1)'!$J:$J,XYZ!$A686)</f>
        <v>0</v>
      </c>
      <c r="E686">
        <f>SUMIFS('data (1)'!$M:$M,'data (1)'!$A:$A,XYZ!E$1,'data (1)'!$J:$J,XYZ!$A686)</f>
        <v>1</v>
      </c>
      <c r="F686">
        <f>SUMIFS('data (1)'!$M:$M,'data (1)'!$A:$A,XYZ!F$1,'data (1)'!$J:$J,XYZ!$A686)</f>
        <v>0</v>
      </c>
      <c r="G686">
        <f>SUMIFS('data (1)'!$M:$M,'data (1)'!$A:$A,XYZ!G$1,'data (1)'!$J:$J,XYZ!$A686)</f>
        <v>0</v>
      </c>
    </row>
    <row r="687" spans="1:7" x14ac:dyDescent="0.15">
      <c r="A687" t="s">
        <v>205</v>
      </c>
      <c r="B687" s="11">
        <f t="shared" si="10"/>
        <v>2.2360679774997894</v>
      </c>
      <c r="C687">
        <f>SUMIFS('data (1)'!$M:$M,'data (1)'!$A:$A,XYZ!C$1,'data (1)'!$J:$J,XYZ!$A687)</f>
        <v>1</v>
      </c>
      <c r="D687">
        <f>SUMIFS('data (1)'!$M:$M,'data (1)'!$A:$A,XYZ!D$1,'data (1)'!$J:$J,XYZ!$A687)</f>
        <v>0</v>
      </c>
      <c r="E687">
        <f>SUMIFS('data (1)'!$M:$M,'data (1)'!$A:$A,XYZ!E$1,'data (1)'!$J:$J,XYZ!$A687)</f>
        <v>0</v>
      </c>
      <c r="F687">
        <f>SUMIFS('data (1)'!$M:$M,'data (1)'!$A:$A,XYZ!F$1,'data (1)'!$J:$J,XYZ!$A687)</f>
        <v>0</v>
      </c>
      <c r="G687">
        <f>SUMIFS('data (1)'!$M:$M,'data (1)'!$A:$A,XYZ!G$1,'data (1)'!$J:$J,XYZ!$A687)</f>
        <v>0</v>
      </c>
    </row>
    <row r="688" spans="1:7" x14ac:dyDescent="0.15">
      <c r="A688" t="s">
        <v>1010</v>
      </c>
      <c r="B688" s="11">
        <f t="shared" si="10"/>
        <v>2.2360679774997894</v>
      </c>
      <c r="C688">
        <f>SUMIFS('data (1)'!$M:$M,'data (1)'!$A:$A,XYZ!C$1,'data (1)'!$J:$J,XYZ!$A688)</f>
        <v>0</v>
      </c>
      <c r="D688">
        <f>SUMIFS('data (1)'!$M:$M,'data (1)'!$A:$A,XYZ!D$1,'data (1)'!$J:$J,XYZ!$A688)</f>
        <v>0</v>
      </c>
      <c r="E688">
        <f>SUMIFS('data (1)'!$M:$M,'data (1)'!$A:$A,XYZ!E$1,'data (1)'!$J:$J,XYZ!$A688)</f>
        <v>0</v>
      </c>
      <c r="F688">
        <f>SUMIFS('data (1)'!$M:$M,'data (1)'!$A:$A,XYZ!F$1,'data (1)'!$J:$J,XYZ!$A688)</f>
        <v>1</v>
      </c>
      <c r="G688">
        <f>SUMIFS('data (1)'!$M:$M,'data (1)'!$A:$A,XYZ!G$1,'data (1)'!$J:$J,XYZ!$A688)</f>
        <v>0</v>
      </c>
    </row>
    <row r="689" spans="1:7" x14ac:dyDescent="0.15">
      <c r="A689" t="s">
        <v>227</v>
      </c>
      <c r="B689" s="11">
        <f t="shared" si="10"/>
        <v>2.2360679774997894</v>
      </c>
      <c r="C689">
        <f>SUMIFS('data (1)'!$M:$M,'data (1)'!$A:$A,XYZ!C$1,'data (1)'!$J:$J,XYZ!$A689)</f>
        <v>1</v>
      </c>
      <c r="D689">
        <f>SUMIFS('data (1)'!$M:$M,'data (1)'!$A:$A,XYZ!D$1,'data (1)'!$J:$J,XYZ!$A689)</f>
        <v>0</v>
      </c>
      <c r="E689">
        <f>SUMIFS('data (1)'!$M:$M,'data (1)'!$A:$A,XYZ!E$1,'data (1)'!$J:$J,XYZ!$A689)</f>
        <v>0</v>
      </c>
      <c r="F689">
        <f>SUMIFS('data (1)'!$M:$M,'data (1)'!$A:$A,XYZ!F$1,'data (1)'!$J:$J,XYZ!$A689)</f>
        <v>0</v>
      </c>
      <c r="G689">
        <f>SUMIFS('data (1)'!$M:$M,'data (1)'!$A:$A,XYZ!G$1,'data (1)'!$J:$J,XYZ!$A689)</f>
        <v>0</v>
      </c>
    </row>
    <row r="690" spans="1:7" x14ac:dyDescent="0.15">
      <c r="A690" t="s">
        <v>300</v>
      </c>
      <c r="B690" s="11">
        <f t="shared" si="10"/>
        <v>2.2360679774997894</v>
      </c>
      <c r="C690">
        <f>SUMIFS('data (1)'!$M:$M,'data (1)'!$A:$A,XYZ!C$1,'data (1)'!$J:$J,XYZ!$A690)</f>
        <v>1</v>
      </c>
      <c r="D690">
        <f>SUMIFS('data (1)'!$M:$M,'data (1)'!$A:$A,XYZ!D$1,'data (1)'!$J:$J,XYZ!$A690)</f>
        <v>0</v>
      </c>
      <c r="E690">
        <f>SUMIFS('data (1)'!$M:$M,'data (1)'!$A:$A,XYZ!E$1,'data (1)'!$J:$J,XYZ!$A690)</f>
        <v>0</v>
      </c>
      <c r="F690">
        <f>SUMIFS('data (1)'!$M:$M,'data (1)'!$A:$A,XYZ!F$1,'data (1)'!$J:$J,XYZ!$A690)</f>
        <v>0</v>
      </c>
      <c r="G690">
        <f>SUMIFS('data (1)'!$M:$M,'data (1)'!$A:$A,XYZ!G$1,'data (1)'!$J:$J,XYZ!$A690)</f>
        <v>0</v>
      </c>
    </row>
    <row r="691" spans="1:7" x14ac:dyDescent="0.15">
      <c r="A691" t="s">
        <v>701</v>
      </c>
      <c r="B691" s="11">
        <f t="shared" si="10"/>
        <v>2.2360679774997894</v>
      </c>
      <c r="C691">
        <f>SUMIFS('data (1)'!$M:$M,'data (1)'!$A:$A,XYZ!C$1,'data (1)'!$J:$J,XYZ!$A691)</f>
        <v>0</v>
      </c>
      <c r="D691">
        <f>SUMIFS('data (1)'!$M:$M,'data (1)'!$A:$A,XYZ!D$1,'data (1)'!$J:$J,XYZ!$A691)</f>
        <v>1</v>
      </c>
      <c r="E691">
        <f>SUMIFS('data (1)'!$M:$M,'data (1)'!$A:$A,XYZ!E$1,'data (1)'!$J:$J,XYZ!$A691)</f>
        <v>0</v>
      </c>
      <c r="F691">
        <f>SUMIFS('data (1)'!$M:$M,'data (1)'!$A:$A,XYZ!F$1,'data (1)'!$J:$J,XYZ!$A691)</f>
        <v>0</v>
      </c>
      <c r="G691">
        <f>SUMIFS('data (1)'!$M:$M,'data (1)'!$A:$A,XYZ!G$1,'data (1)'!$J:$J,XYZ!$A691)</f>
        <v>0</v>
      </c>
    </row>
    <row r="692" spans="1:7" x14ac:dyDescent="0.15">
      <c r="A692" t="s">
        <v>401</v>
      </c>
      <c r="B692" s="11">
        <f t="shared" si="10"/>
        <v>2.2360679774997894</v>
      </c>
      <c r="C692">
        <f>SUMIFS('data (1)'!$M:$M,'data (1)'!$A:$A,XYZ!C$1,'data (1)'!$J:$J,XYZ!$A692)</f>
        <v>1</v>
      </c>
      <c r="D692">
        <f>SUMIFS('data (1)'!$M:$M,'data (1)'!$A:$A,XYZ!D$1,'data (1)'!$J:$J,XYZ!$A692)</f>
        <v>0</v>
      </c>
      <c r="E692">
        <f>SUMIFS('data (1)'!$M:$M,'data (1)'!$A:$A,XYZ!E$1,'data (1)'!$J:$J,XYZ!$A692)</f>
        <v>0</v>
      </c>
      <c r="F692">
        <f>SUMIFS('data (1)'!$M:$M,'data (1)'!$A:$A,XYZ!F$1,'data (1)'!$J:$J,XYZ!$A692)</f>
        <v>0</v>
      </c>
      <c r="G692">
        <f>SUMIFS('data (1)'!$M:$M,'data (1)'!$A:$A,XYZ!G$1,'data (1)'!$J:$J,XYZ!$A692)</f>
        <v>0</v>
      </c>
    </row>
    <row r="693" spans="1:7" x14ac:dyDescent="0.15">
      <c r="A693" t="s">
        <v>776</v>
      </c>
      <c r="B693" s="11">
        <f t="shared" si="10"/>
        <v>2.2360679774997894</v>
      </c>
      <c r="C693">
        <f>SUMIFS('data (1)'!$M:$M,'data (1)'!$A:$A,XYZ!C$1,'data (1)'!$J:$J,XYZ!$A693)</f>
        <v>0</v>
      </c>
      <c r="D693">
        <f>SUMIFS('data (1)'!$M:$M,'data (1)'!$A:$A,XYZ!D$1,'data (1)'!$J:$J,XYZ!$A693)</f>
        <v>0</v>
      </c>
      <c r="E693">
        <f>SUMIFS('data (1)'!$M:$M,'data (1)'!$A:$A,XYZ!E$1,'data (1)'!$J:$J,XYZ!$A693)</f>
        <v>1</v>
      </c>
      <c r="F693">
        <f>SUMIFS('data (1)'!$M:$M,'data (1)'!$A:$A,XYZ!F$1,'data (1)'!$J:$J,XYZ!$A693)</f>
        <v>0</v>
      </c>
      <c r="G693">
        <f>SUMIFS('data (1)'!$M:$M,'data (1)'!$A:$A,XYZ!G$1,'data (1)'!$J:$J,XYZ!$A693)</f>
        <v>0</v>
      </c>
    </row>
    <row r="694" spans="1:7" x14ac:dyDescent="0.15">
      <c r="A694" t="s">
        <v>481</v>
      </c>
      <c r="B694" s="11">
        <f t="shared" si="10"/>
        <v>2.2360679774997894</v>
      </c>
      <c r="C694">
        <f>SUMIFS('data (1)'!$M:$M,'data (1)'!$A:$A,XYZ!C$1,'data (1)'!$J:$J,XYZ!$A694)</f>
        <v>0</v>
      </c>
      <c r="D694">
        <f>SUMIFS('data (1)'!$M:$M,'data (1)'!$A:$A,XYZ!D$1,'data (1)'!$J:$J,XYZ!$A694)</f>
        <v>1</v>
      </c>
      <c r="E694">
        <f>SUMIFS('data (1)'!$M:$M,'data (1)'!$A:$A,XYZ!E$1,'data (1)'!$J:$J,XYZ!$A694)</f>
        <v>0</v>
      </c>
      <c r="F694">
        <f>SUMIFS('data (1)'!$M:$M,'data (1)'!$A:$A,XYZ!F$1,'data (1)'!$J:$J,XYZ!$A694)</f>
        <v>0</v>
      </c>
      <c r="G694">
        <f>SUMIFS('data (1)'!$M:$M,'data (1)'!$A:$A,XYZ!G$1,'data (1)'!$J:$J,XYZ!$A694)</f>
        <v>0</v>
      </c>
    </row>
    <row r="695" spans="1:7" x14ac:dyDescent="0.15">
      <c r="A695" t="s">
        <v>1155</v>
      </c>
      <c r="B695" s="11">
        <f t="shared" si="10"/>
        <v>2.2360679774997894</v>
      </c>
      <c r="C695">
        <f>SUMIFS('data (1)'!$M:$M,'data (1)'!$A:$A,XYZ!C$1,'data (1)'!$J:$J,XYZ!$A695)</f>
        <v>0</v>
      </c>
      <c r="D695">
        <f>SUMIFS('data (1)'!$M:$M,'data (1)'!$A:$A,XYZ!D$1,'data (1)'!$J:$J,XYZ!$A695)</f>
        <v>0</v>
      </c>
      <c r="E695">
        <f>SUMIFS('data (1)'!$M:$M,'data (1)'!$A:$A,XYZ!E$1,'data (1)'!$J:$J,XYZ!$A695)</f>
        <v>0</v>
      </c>
      <c r="F695">
        <f>SUMIFS('data (1)'!$M:$M,'data (1)'!$A:$A,XYZ!F$1,'data (1)'!$J:$J,XYZ!$A695)</f>
        <v>0</v>
      </c>
      <c r="G695">
        <f>SUMIFS('data (1)'!$M:$M,'data (1)'!$A:$A,XYZ!G$1,'data (1)'!$J:$J,XYZ!$A695)</f>
        <v>1</v>
      </c>
    </row>
    <row r="696" spans="1:7" x14ac:dyDescent="0.15">
      <c r="A696" t="s">
        <v>969</v>
      </c>
      <c r="B696" s="11">
        <f t="shared" si="10"/>
        <v>2.2360679774997894</v>
      </c>
      <c r="C696">
        <f>SUMIFS('data (1)'!$M:$M,'data (1)'!$A:$A,XYZ!C$1,'data (1)'!$J:$J,XYZ!$A696)</f>
        <v>0</v>
      </c>
      <c r="D696">
        <f>SUMIFS('data (1)'!$M:$M,'data (1)'!$A:$A,XYZ!D$1,'data (1)'!$J:$J,XYZ!$A696)</f>
        <v>0</v>
      </c>
      <c r="E696">
        <f>SUMIFS('data (1)'!$M:$M,'data (1)'!$A:$A,XYZ!E$1,'data (1)'!$J:$J,XYZ!$A696)</f>
        <v>0</v>
      </c>
      <c r="F696">
        <f>SUMIFS('data (1)'!$M:$M,'data (1)'!$A:$A,XYZ!F$1,'data (1)'!$J:$J,XYZ!$A696)</f>
        <v>1</v>
      </c>
      <c r="G696">
        <f>SUMIFS('data (1)'!$M:$M,'data (1)'!$A:$A,XYZ!G$1,'data (1)'!$J:$J,XYZ!$A696)</f>
        <v>0</v>
      </c>
    </row>
    <row r="697" spans="1:7" x14ac:dyDescent="0.15">
      <c r="A697" t="s">
        <v>1223</v>
      </c>
      <c r="B697" s="11">
        <f t="shared" si="10"/>
        <v>2.2360679774997894</v>
      </c>
      <c r="C697">
        <f>SUMIFS('data (1)'!$M:$M,'data (1)'!$A:$A,XYZ!C$1,'data (1)'!$J:$J,XYZ!$A697)</f>
        <v>0</v>
      </c>
      <c r="D697">
        <f>SUMIFS('data (1)'!$M:$M,'data (1)'!$A:$A,XYZ!D$1,'data (1)'!$J:$J,XYZ!$A697)</f>
        <v>0</v>
      </c>
      <c r="E697">
        <f>SUMIFS('data (1)'!$M:$M,'data (1)'!$A:$A,XYZ!E$1,'data (1)'!$J:$J,XYZ!$A697)</f>
        <v>0</v>
      </c>
      <c r="F697">
        <f>SUMIFS('data (1)'!$M:$M,'data (1)'!$A:$A,XYZ!F$1,'data (1)'!$J:$J,XYZ!$A697)</f>
        <v>0</v>
      </c>
      <c r="G697">
        <f>SUMIFS('data (1)'!$M:$M,'data (1)'!$A:$A,XYZ!G$1,'data (1)'!$J:$J,XYZ!$A697)</f>
        <v>1</v>
      </c>
    </row>
    <row r="698" spans="1:7" x14ac:dyDescent="0.15">
      <c r="A698" t="s">
        <v>305</v>
      </c>
      <c r="B698" s="11">
        <f t="shared" si="10"/>
        <v>2.2360679774997894</v>
      </c>
      <c r="C698">
        <f>SUMIFS('data (1)'!$M:$M,'data (1)'!$A:$A,XYZ!C$1,'data (1)'!$J:$J,XYZ!$A698)</f>
        <v>1</v>
      </c>
      <c r="D698">
        <f>SUMIFS('data (1)'!$M:$M,'data (1)'!$A:$A,XYZ!D$1,'data (1)'!$J:$J,XYZ!$A698)</f>
        <v>0</v>
      </c>
      <c r="E698">
        <f>SUMIFS('data (1)'!$M:$M,'data (1)'!$A:$A,XYZ!E$1,'data (1)'!$J:$J,XYZ!$A698)</f>
        <v>0</v>
      </c>
      <c r="F698">
        <f>SUMIFS('data (1)'!$M:$M,'data (1)'!$A:$A,XYZ!F$1,'data (1)'!$J:$J,XYZ!$A698)</f>
        <v>0</v>
      </c>
      <c r="G698">
        <f>SUMIFS('data (1)'!$M:$M,'data (1)'!$A:$A,XYZ!G$1,'data (1)'!$J:$J,XYZ!$A698)</f>
        <v>0</v>
      </c>
    </row>
    <row r="699" spans="1:7" x14ac:dyDescent="0.15">
      <c r="A699" t="s">
        <v>100</v>
      </c>
      <c r="B699" s="11">
        <f t="shared" si="10"/>
        <v>2.2360679774997894</v>
      </c>
      <c r="C699">
        <f>SUMIFS('data (1)'!$M:$M,'data (1)'!$A:$A,XYZ!C$1,'data (1)'!$J:$J,XYZ!$A699)</f>
        <v>1</v>
      </c>
      <c r="D699">
        <f>SUMIFS('data (1)'!$M:$M,'data (1)'!$A:$A,XYZ!D$1,'data (1)'!$J:$J,XYZ!$A699)</f>
        <v>0</v>
      </c>
      <c r="E699">
        <f>SUMIFS('data (1)'!$M:$M,'data (1)'!$A:$A,XYZ!E$1,'data (1)'!$J:$J,XYZ!$A699)</f>
        <v>0</v>
      </c>
      <c r="F699">
        <f>SUMIFS('data (1)'!$M:$M,'data (1)'!$A:$A,XYZ!F$1,'data (1)'!$J:$J,XYZ!$A699)</f>
        <v>0</v>
      </c>
      <c r="G699">
        <f>SUMIFS('data (1)'!$M:$M,'data (1)'!$A:$A,XYZ!G$1,'data (1)'!$J:$J,XYZ!$A699)</f>
        <v>0</v>
      </c>
    </row>
    <row r="700" spans="1:7" x14ac:dyDescent="0.15">
      <c r="A700" t="s">
        <v>1157</v>
      </c>
      <c r="B700" s="11">
        <f t="shared" si="10"/>
        <v>2.2360679774997894</v>
      </c>
      <c r="C700">
        <f>SUMIFS('data (1)'!$M:$M,'data (1)'!$A:$A,XYZ!C$1,'data (1)'!$J:$J,XYZ!$A700)</f>
        <v>0</v>
      </c>
      <c r="D700">
        <f>SUMIFS('data (1)'!$M:$M,'data (1)'!$A:$A,XYZ!D$1,'data (1)'!$J:$J,XYZ!$A700)</f>
        <v>0</v>
      </c>
      <c r="E700">
        <f>SUMIFS('data (1)'!$M:$M,'data (1)'!$A:$A,XYZ!E$1,'data (1)'!$J:$J,XYZ!$A700)</f>
        <v>0</v>
      </c>
      <c r="F700">
        <f>SUMIFS('data (1)'!$M:$M,'data (1)'!$A:$A,XYZ!F$1,'data (1)'!$J:$J,XYZ!$A700)</f>
        <v>0</v>
      </c>
      <c r="G700">
        <f>SUMIFS('data (1)'!$M:$M,'data (1)'!$A:$A,XYZ!G$1,'data (1)'!$J:$J,XYZ!$A700)</f>
        <v>1</v>
      </c>
    </row>
    <row r="701" spans="1:7" x14ac:dyDescent="0.15">
      <c r="A701" t="s">
        <v>1091</v>
      </c>
      <c r="B701" s="11">
        <f t="shared" si="10"/>
        <v>2.2360679774997894</v>
      </c>
      <c r="C701">
        <f>SUMIFS('data (1)'!$M:$M,'data (1)'!$A:$A,XYZ!C$1,'data (1)'!$J:$J,XYZ!$A701)</f>
        <v>0</v>
      </c>
      <c r="D701">
        <f>SUMIFS('data (1)'!$M:$M,'data (1)'!$A:$A,XYZ!D$1,'data (1)'!$J:$J,XYZ!$A701)</f>
        <v>0</v>
      </c>
      <c r="E701">
        <f>SUMIFS('data (1)'!$M:$M,'data (1)'!$A:$A,XYZ!E$1,'data (1)'!$J:$J,XYZ!$A701)</f>
        <v>0</v>
      </c>
      <c r="F701">
        <f>SUMIFS('data (1)'!$M:$M,'data (1)'!$A:$A,XYZ!F$1,'data (1)'!$J:$J,XYZ!$A701)</f>
        <v>0</v>
      </c>
      <c r="G701">
        <f>SUMIFS('data (1)'!$M:$M,'data (1)'!$A:$A,XYZ!G$1,'data (1)'!$J:$J,XYZ!$A701)</f>
        <v>1</v>
      </c>
    </row>
    <row r="702" spans="1:7" x14ac:dyDescent="0.15">
      <c r="A702" t="s">
        <v>1201</v>
      </c>
      <c r="B702" s="11">
        <f t="shared" si="10"/>
        <v>2.2360679774997894</v>
      </c>
      <c r="C702">
        <f>SUMIFS('data (1)'!$M:$M,'data (1)'!$A:$A,XYZ!C$1,'data (1)'!$J:$J,XYZ!$A702)</f>
        <v>0</v>
      </c>
      <c r="D702">
        <f>SUMIFS('data (1)'!$M:$M,'data (1)'!$A:$A,XYZ!D$1,'data (1)'!$J:$J,XYZ!$A702)</f>
        <v>0</v>
      </c>
      <c r="E702">
        <f>SUMIFS('data (1)'!$M:$M,'data (1)'!$A:$A,XYZ!E$1,'data (1)'!$J:$J,XYZ!$A702)</f>
        <v>0</v>
      </c>
      <c r="F702">
        <f>SUMIFS('data (1)'!$M:$M,'data (1)'!$A:$A,XYZ!F$1,'data (1)'!$J:$J,XYZ!$A702)</f>
        <v>0</v>
      </c>
      <c r="G702">
        <f>SUMIFS('data (1)'!$M:$M,'data (1)'!$A:$A,XYZ!G$1,'data (1)'!$J:$J,XYZ!$A702)</f>
        <v>1</v>
      </c>
    </row>
    <row r="703" spans="1:7" x14ac:dyDescent="0.15">
      <c r="A703" t="s">
        <v>63</v>
      </c>
      <c r="B703" s="11">
        <f t="shared" si="10"/>
        <v>2.2360679774997894</v>
      </c>
      <c r="C703">
        <f>SUMIFS('data (1)'!$M:$M,'data (1)'!$A:$A,XYZ!C$1,'data (1)'!$J:$J,XYZ!$A703)</f>
        <v>1</v>
      </c>
      <c r="D703">
        <f>SUMIFS('data (1)'!$M:$M,'data (1)'!$A:$A,XYZ!D$1,'data (1)'!$J:$J,XYZ!$A703)</f>
        <v>0</v>
      </c>
      <c r="E703">
        <f>SUMIFS('data (1)'!$M:$M,'data (1)'!$A:$A,XYZ!E$1,'data (1)'!$J:$J,XYZ!$A703)</f>
        <v>0</v>
      </c>
      <c r="F703">
        <f>SUMIFS('data (1)'!$M:$M,'data (1)'!$A:$A,XYZ!F$1,'data (1)'!$J:$J,XYZ!$A703)</f>
        <v>0</v>
      </c>
      <c r="G703">
        <f>SUMIFS('data (1)'!$M:$M,'data (1)'!$A:$A,XYZ!G$1,'data (1)'!$J:$J,XYZ!$A703)</f>
        <v>0</v>
      </c>
    </row>
    <row r="704" spans="1:7" x14ac:dyDescent="0.15">
      <c r="A704" t="s">
        <v>941</v>
      </c>
      <c r="B704" s="11">
        <f t="shared" si="10"/>
        <v>2.2360679774997894</v>
      </c>
      <c r="C704">
        <f>SUMIFS('data (1)'!$M:$M,'data (1)'!$A:$A,XYZ!C$1,'data (1)'!$J:$J,XYZ!$A704)</f>
        <v>0</v>
      </c>
      <c r="D704">
        <f>SUMIFS('data (1)'!$M:$M,'data (1)'!$A:$A,XYZ!D$1,'data (1)'!$J:$J,XYZ!$A704)</f>
        <v>0</v>
      </c>
      <c r="E704">
        <f>SUMIFS('data (1)'!$M:$M,'data (1)'!$A:$A,XYZ!E$1,'data (1)'!$J:$J,XYZ!$A704)</f>
        <v>0</v>
      </c>
      <c r="F704">
        <f>SUMIFS('data (1)'!$M:$M,'data (1)'!$A:$A,XYZ!F$1,'data (1)'!$J:$J,XYZ!$A704)</f>
        <v>1</v>
      </c>
      <c r="G704">
        <f>SUMIFS('data (1)'!$M:$M,'data (1)'!$A:$A,XYZ!G$1,'data (1)'!$J:$J,XYZ!$A704)</f>
        <v>0</v>
      </c>
    </row>
    <row r="705" spans="1:7" x14ac:dyDescent="0.15">
      <c r="A705" t="s">
        <v>256</v>
      </c>
      <c r="B705" s="11">
        <f t="shared" si="10"/>
        <v>2.2360679774997894</v>
      </c>
      <c r="C705">
        <f>SUMIFS('data (1)'!$M:$M,'data (1)'!$A:$A,XYZ!C$1,'data (1)'!$J:$J,XYZ!$A705)</f>
        <v>1</v>
      </c>
      <c r="D705">
        <f>SUMIFS('data (1)'!$M:$M,'data (1)'!$A:$A,XYZ!D$1,'data (1)'!$J:$J,XYZ!$A705)</f>
        <v>0</v>
      </c>
      <c r="E705">
        <f>SUMIFS('data (1)'!$M:$M,'data (1)'!$A:$A,XYZ!E$1,'data (1)'!$J:$J,XYZ!$A705)</f>
        <v>0</v>
      </c>
      <c r="F705">
        <f>SUMIFS('data (1)'!$M:$M,'data (1)'!$A:$A,XYZ!F$1,'data (1)'!$J:$J,XYZ!$A705)</f>
        <v>0</v>
      </c>
      <c r="G705">
        <f>SUMIFS('data (1)'!$M:$M,'data (1)'!$A:$A,XYZ!G$1,'data (1)'!$J:$J,XYZ!$A705)</f>
        <v>0</v>
      </c>
    </row>
    <row r="706" spans="1:7" x14ac:dyDescent="0.15">
      <c r="A706" t="s">
        <v>44</v>
      </c>
      <c r="B706" s="11">
        <f t="shared" si="10"/>
        <v>2.2360679774997894</v>
      </c>
      <c r="C706">
        <f>SUMIFS('data (1)'!$M:$M,'data (1)'!$A:$A,XYZ!C$1,'data (1)'!$J:$J,XYZ!$A706)</f>
        <v>1</v>
      </c>
      <c r="D706">
        <f>SUMIFS('data (1)'!$M:$M,'data (1)'!$A:$A,XYZ!D$1,'data (1)'!$J:$J,XYZ!$A706)</f>
        <v>0</v>
      </c>
      <c r="E706">
        <f>SUMIFS('data (1)'!$M:$M,'data (1)'!$A:$A,XYZ!E$1,'data (1)'!$J:$J,XYZ!$A706)</f>
        <v>0</v>
      </c>
      <c r="F706">
        <f>SUMIFS('data (1)'!$M:$M,'data (1)'!$A:$A,XYZ!F$1,'data (1)'!$J:$J,XYZ!$A706)</f>
        <v>0</v>
      </c>
      <c r="G706">
        <f>SUMIFS('data (1)'!$M:$M,'data (1)'!$A:$A,XYZ!G$1,'data (1)'!$J:$J,XYZ!$A706)</f>
        <v>0</v>
      </c>
    </row>
    <row r="707" spans="1:7" x14ac:dyDescent="0.15">
      <c r="A707" t="s">
        <v>174</v>
      </c>
      <c r="B707" s="11">
        <f t="shared" ref="B707:B770" si="11">_xlfn.STDEV.S(C707:G707)/AVERAGE(C707:G707)</f>
        <v>2.2360679774997894</v>
      </c>
      <c r="C707">
        <f>SUMIFS('data (1)'!$M:$M,'data (1)'!$A:$A,XYZ!C$1,'data (1)'!$J:$J,XYZ!$A707)</f>
        <v>1</v>
      </c>
      <c r="D707">
        <f>SUMIFS('data (1)'!$M:$M,'data (1)'!$A:$A,XYZ!D$1,'data (1)'!$J:$J,XYZ!$A707)</f>
        <v>0</v>
      </c>
      <c r="E707">
        <f>SUMIFS('data (1)'!$M:$M,'data (1)'!$A:$A,XYZ!E$1,'data (1)'!$J:$J,XYZ!$A707)</f>
        <v>0</v>
      </c>
      <c r="F707">
        <f>SUMIFS('data (1)'!$M:$M,'data (1)'!$A:$A,XYZ!F$1,'data (1)'!$J:$J,XYZ!$A707)</f>
        <v>0</v>
      </c>
      <c r="G707">
        <f>SUMIFS('data (1)'!$M:$M,'data (1)'!$A:$A,XYZ!G$1,'data (1)'!$J:$J,XYZ!$A707)</f>
        <v>0</v>
      </c>
    </row>
    <row r="708" spans="1:7" x14ac:dyDescent="0.15">
      <c r="A708" t="s">
        <v>737</v>
      </c>
      <c r="B708" s="11">
        <f t="shared" si="11"/>
        <v>2.2360679774997894</v>
      </c>
      <c r="C708">
        <f>SUMIFS('data (1)'!$M:$M,'data (1)'!$A:$A,XYZ!C$1,'data (1)'!$J:$J,XYZ!$A708)</f>
        <v>0</v>
      </c>
      <c r="D708">
        <f>SUMIFS('data (1)'!$M:$M,'data (1)'!$A:$A,XYZ!D$1,'data (1)'!$J:$J,XYZ!$A708)</f>
        <v>0</v>
      </c>
      <c r="E708">
        <f>SUMIFS('data (1)'!$M:$M,'data (1)'!$A:$A,XYZ!E$1,'data (1)'!$J:$J,XYZ!$A708)</f>
        <v>1</v>
      </c>
      <c r="F708">
        <f>SUMIFS('data (1)'!$M:$M,'data (1)'!$A:$A,XYZ!F$1,'data (1)'!$J:$J,XYZ!$A708)</f>
        <v>0</v>
      </c>
      <c r="G708">
        <f>SUMIFS('data (1)'!$M:$M,'data (1)'!$A:$A,XYZ!G$1,'data (1)'!$J:$J,XYZ!$A708)</f>
        <v>0</v>
      </c>
    </row>
    <row r="709" spans="1:7" x14ac:dyDescent="0.15">
      <c r="A709" t="s">
        <v>1024</v>
      </c>
      <c r="B709" s="11">
        <f t="shared" si="11"/>
        <v>2.2360679774997894</v>
      </c>
      <c r="C709">
        <f>SUMIFS('data (1)'!$M:$M,'data (1)'!$A:$A,XYZ!C$1,'data (1)'!$J:$J,XYZ!$A709)</f>
        <v>0</v>
      </c>
      <c r="D709">
        <f>SUMIFS('data (1)'!$M:$M,'data (1)'!$A:$A,XYZ!D$1,'data (1)'!$J:$J,XYZ!$A709)</f>
        <v>0</v>
      </c>
      <c r="E709">
        <f>SUMIFS('data (1)'!$M:$M,'data (1)'!$A:$A,XYZ!E$1,'data (1)'!$J:$J,XYZ!$A709)</f>
        <v>0</v>
      </c>
      <c r="F709">
        <f>SUMIFS('data (1)'!$M:$M,'data (1)'!$A:$A,XYZ!F$1,'data (1)'!$J:$J,XYZ!$A709)</f>
        <v>1</v>
      </c>
      <c r="G709">
        <f>SUMIFS('data (1)'!$M:$M,'data (1)'!$A:$A,XYZ!G$1,'data (1)'!$J:$J,XYZ!$A709)</f>
        <v>0</v>
      </c>
    </row>
    <row r="710" spans="1:7" x14ac:dyDescent="0.15">
      <c r="A710" t="s">
        <v>265</v>
      </c>
      <c r="B710" s="11">
        <f t="shared" si="11"/>
        <v>2.2360679774997894</v>
      </c>
      <c r="C710">
        <f>SUMIFS('data (1)'!$M:$M,'data (1)'!$A:$A,XYZ!C$1,'data (1)'!$J:$J,XYZ!$A710)</f>
        <v>1</v>
      </c>
      <c r="D710">
        <f>SUMIFS('data (1)'!$M:$M,'data (1)'!$A:$A,XYZ!D$1,'data (1)'!$J:$J,XYZ!$A710)</f>
        <v>0</v>
      </c>
      <c r="E710">
        <f>SUMIFS('data (1)'!$M:$M,'data (1)'!$A:$A,XYZ!E$1,'data (1)'!$J:$J,XYZ!$A710)</f>
        <v>0</v>
      </c>
      <c r="F710">
        <f>SUMIFS('data (1)'!$M:$M,'data (1)'!$A:$A,XYZ!F$1,'data (1)'!$J:$J,XYZ!$A710)</f>
        <v>0</v>
      </c>
      <c r="G710">
        <f>SUMIFS('data (1)'!$M:$M,'data (1)'!$A:$A,XYZ!G$1,'data (1)'!$J:$J,XYZ!$A710)</f>
        <v>0</v>
      </c>
    </row>
    <row r="711" spans="1:7" x14ac:dyDescent="0.15">
      <c r="A711" t="s">
        <v>1088</v>
      </c>
      <c r="B711" s="11">
        <f t="shared" si="11"/>
        <v>2.2360679774997894</v>
      </c>
      <c r="C711">
        <f>SUMIFS('data (1)'!$M:$M,'data (1)'!$A:$A,XYZ!C$1,'data (1)'!$J:$J,XYZ!$A711)</f>
        <v>0</v>
      </c>
      <c r="D711">
        <f>SUMIFS('data (1)'!$M:$M,'data (1)'!$A:$A,XYZ!D$1,'data (1)'!$J:$J,XYZ!$A711)</f>
        <v>0</v>
      </c>
      <c r="E711">
        <f>SUMIFS('data (1)'!$M:$M,'data (1)'!$A:$A,XYZ!E$1,'data (1)'!$J:$J,XYZ!$A711)</f>
        <v>0</v>
      </c>
      <c r="F711">
        <f>SUMIFS('data (1)'!$M:$M,'data (1)'!$A:$A,XYZ!F$1,'data (1)'!$J:$J,XYZ!$A711)</f>
        <v>0</v>
      </c>
      <c r="G711">
        <f>SUMIFS('data (1)'!$M:$M,'data (1)'!$A:$A,XYZ!G$1,'data (1)'!$J:$J,XYZ!$A711)</f>
        <v>1</v>
      </c>
    </row>
    <row r="712" spans="1:7" x14ac:dyDescent="0.15">
      <c r="A712" t="s">
        <v>1083</v>
      </c>
      <c r="B712" s="11">
        <f t="shared" si="11"/>
        <v>2.2360679774997894</v>
      </c>
      <c r="C712">
        <f>SUMIFS('data (1)'!$M:$M,'data (1)'!$A:$A,XYZ!C$1,'data (1)'!$J:$J,XYZ!$A712)</f>
        <v>0</v>
      </c>
      <c r="D712">
        <f>SUMIFS('data (1)'!$M:$M,'data (1)'!$A:$A,XYZ!D$1,'data (1)'!$J:$J,XYZ!$A712)</f>
        <v>0</v>
      </c>
      <c r="E712">
        <f>SUMIFS('data (1)'!$M:$M,'data (1)'!$A:$A,XYZ!E$1,'data (1)'!$J:$J,XYZ!$A712)</f>
        <v>0</v>
      </c>
      <c r="F712">
        <f>SUMIFS('data (1)'!$M:$M,'data (1)'!$A:$A,XYZ!F$1,'data (1)'!$J:$J,XYZ!$A712)</f>
        <v>0</v>
      </c>
      <c r="G712">
        <f>SUMIFS('data (1)'!$M:$M,'data (1)'!$A:$A,XYZ!G$1,'data (1)'!$J:$J,XYZ!$A712)</f>
        <v>1</v>
      </c>
    </row>
    <row r="713" spans="1:7" x14ac:dyDescent="0.15">
      <c r="A713" t="s">
        <v>653</v>
      </c>
      <c r="B713" s="11">
        <f t="shared" si="11"/>
        <v>2.2360679774997894</v>
      </c>
      <c r="C713">
        <f>SUMIFS('data (1)'!$M:$M,'data (1)'!$A:$A,XYZ!C$1,'data (1)'!$J:$J,XYZ!$A713)</f>
        <v>0</v>
      </c>
      <c r="D713">
        <f>SUMIFS('data (1)'!$M:$M,'data (1)'!$A:$A,XYZ!D$1,'data (1)'!$J:$J,XYZ!$A713)</f>
        <v>1</v>
      </c>
      <c r="E713">
        <f>SUMIFS('data (1)'!$M:$M,'data (1)'!$A:$A,XYZ!E$1,'data (1)'!$J:$J,XYZ!$A713)</f>
        <v>0</v>
      </c>
      <c r="F713">
        <f>SUMIFS('data (1)'!$M:$M,'data (1)'!$A:$A,XYZ!F$1,'data (1)'!$J:$J,XYZ!$A713)</f>
        <v>0</v>
      </c>
      <c r="G713">
        <f>SUMIFS('data (1)'!$M:$M,'data (1)'!$A:$A,XYZ!G$1,'data (1)'!$J:$J,XYZ!$A713)</f>
        <v>0</v>
      </c>
    </row>
    <row r="714" spans="1:7" x14ac:dyDescent="0.15">
      <c r="A714" t="s">
        <v>740</v>
      </c>
      <c r="B714" s="11">
        <f t="shared" si="11"/>
        <v>2.2360679774997894</v>
      </c>
      <c r="C714">
        <f>SUMIFS('data (1)'!$M:$M,'data (1)'!$A:$A,XYZ!C$1,'data (1)'!$J:$J,XYZ!$A714)</f>
        <v>0</v>
      </c>
      <c r="D714">
        <f>SUMIFS('data (1)'!$M:$M,'data (1)'!$A:$A,XYZ!D$1,'data (1)'!$J:$J,XYZ!$A714)</f>
        <v>0</v>
      </c>
      <c r="E714">
        <f>SUMIFS('data (1)'!$M:$M,'data (1)'!$A:$A,XYZ!E$1,'data (1)'!$J:$J,XYZ!$A714)</f>
        <v>1</v>
      </c>
      <c r="F714">
        <f>SUMIFS('data (1)'!$M:$M,'data (1)'!$A:$A,XYZ!F$1,'data (1)'!$J:$J,XYZ!$A714)</f>
        <v>0</v>
      </c>
      <c r="G714">
        <f>SUMIFS('data (1)'!$M:$M,'data (1)'!$A:$A,XYZ!G$1,'data (1)'!$J:$J,XYZ!$A714)</f>
        <v>0</v>
      </c>
    </row>
    <row r="715" spans="1:7" x14ac:dyDescent="0.15">
      <c r="A715" t="s">
        <v>1162</v>
      </c>
      <c r="B715" s="11">
        <f t="shared" si="11"/>
        <v>2.2360679774997894</v>
      </c>
      <c r="C715">
        <f>SUMIFS('data (1)'!$M:$M,'data (1)'!$A:$A,XYZ!C$1,'data (1)'!$J:$J,XYZ!$A715)</f>
        <v>0</v>
      </c>
      <c r="D715">
        <f>SUMIFS('data (1)'!$M:$M,'data (1)'!$A:$A,XYZ!D$1,'data (1)'!$J:$J,XYZ!$A715)</f>
        <v>0</v>
      </c>
      <c r="E715">
        <f>SUMIFS('data (1)'!$M:$M,'data (1)'!$A:$A,XYZ!E$1,'data (1)'!$J:$J,XYZ!$A715)</f>
        <v>0</v>
      </c>
      <c r="F715">
        <f>SUMIFS('data (1)'!$M:$M,'data (1)'!$A:$A,XYZ!F$1,'data (1)'!$J:$J,XYZ!$A715)</f>
        <v>0</v>
      </c>
      <c r="G715">
        <f>SUMIFS('data (1)'!$M:$M,'data (1)'!$A:$A,XYZ!G$1,'data (1)'!$J:$J,XYZ!$A715)</f>
        <v>1</v>
      </c>
    </row>
    <row r="716" spans="1:7" x14ac:dyDescent="0.15">
      <c r="A716" t="s">
        <v>211</v>
      </c>
      <c r="B716" s="11">
        <f t="shared" si="11"/>
        <v>2.2360679774997894</v>
      </c>
      <c r="C716">
        <f>SUMIFS('data (1)'!$M:$M,'data (1)'!$A:$A,XYZ!C$1,'data (1)'!$J:$J,XYZ!$A716)</f>
        <v>1</v>
      </c>
      <c r="D716">
        <f>SUMIFS('data (1)'!$M:$M,'data (1)'!$A:$A,XYZ!D$1,'data (1)'!$J:$J,XYZ!$A716)</f>
        <v>0</v>
      </c>
      <c r="E716">
        <f>SUMIFS('data (1)'!$M:$M,'data (1)'!$A:$A,XYZ!E$1,'data (1)'!$J:$J,XYZ!$A716)</f>
        <v>0</v>
      </c>
      <c r="F716">
        <f>SUMIFS('data (1)'!$M:$M,'data (1)'!$A:$A,XYZ!F$1,'data (1)'!$J:$J,XYZ!$A716)</f>
        <v>0</v>
      </c>
      <c r="G716">
        <f>SUMIFS('data (1)'!$M:$M,'data (1)'!$A:$A,XYZ!G$1,'data (1)'!$J:$J,XYZ!$A716)</f>
        <v>0</v>
      </c>
    </row>
    <row r="717" spans="1:7" x14ac:dyDescent="0.15">
      <c r="A717" t="s">
        <v>549</v>
      </c>
      <c r="B717" s="11">
        <f t="shared" si="11"/>
        <v>2.2360679774997894</v>
      </c>
      <c r="C717">
        <f>SUMIFS('data (1)'!$M:$M,'data (1)'!$A:$A,XYZ!C$1,'data (1)'!$J:$J,XYZ!$A717)</f>
        <v>0</v>
      </c>
      <c r="D717">
        <f>SUMIFS('data (1)'!$M:$M,'data (1)'!$A:$A,XYZ!D$1,'data (1)'!$J:$J,XYZ!$A717)</f>
        <v>1</v>
      </c>
      <c r="E717">
        <f>SUMIFS('data (1)'!$M:$M,'data (1)'!$A:$A,XYZ!E$1,'data (1)'!$J:$J,XYZ!$A717)</f>
        <v>0</v>
      </c>
      <c r="F717">
        <f>SUMIFS('data (1)'!$M:$M,'data (1)'!$A:$A,XYZ!F$1,'data (1)'!$J:$J,XYZ!$A717)</f>
        <v>0</v>
      </c>
      <c r="G717">
        <f>SUMIFS('data (1)'!$M:$M,'data (1)'!$A:$A,XYZ!G$1,'data (1)'!$J:$J,XYZ!$A717)</f>
        <v>0</v>
      </c>
    </row>
    <row r="718" spans="1:7" x14ac:dyDescent="0.15">
      <c r="A718" t="s">
        <v>583</v>
      </c>
      <c r="B718" s="11">
        <f t="shared" si="11"/>
        <v>2.2360679774997894</v>
      </c>
      <c r="C718">
        <f>SUMIFS('data (1)'!$M:$M,'data (1)'!$A:$A,XYZ!C$1,'data (1)'!$J:$J,XYZ!$A718)</f>
        <v>0</v>
      </c>
      <c r="D718">
        <f>SUMIFS('data (1)'!$M:$M,'data (1)'!$A:$A,XYZ!D$1,'data (1)'!$J:$J,XYZ!$A718)</f>
        <v>1</v>
      </c>
      <c r="E718">
        <f>SUMIFS('data (1)'!$M:$M,'data (1)'!$A:$A,XYZ!E$1,'data (1)'!$J:$J,XYZ!$A718)</f>
        <v>0</v>
      </c>
      <c r="F718">
        <f>SUMIFS('data (1)'!$M:$M,'data (1)'!$A:$A,XYZ!F$1,'data (1)'!$J:$J,XYZ!$A718)</f>
        <v>0</v>
      </c>
      <c r="G718">
        <f>SUMIFS('data (1)'!$M:$M,'data (1)'!$A:$A,XYZ!G$1,'data (1)'!$J:$J,XYZ!$A718)</f>
        <v>0</v>
      </c>
    </row>
    <row r="719" spans="1:7" x14ac:dyDescent="0.15">
      <c r="A719" t="s">
        <v>432</v>
      </c>
      <c r="B719" s="11">
        <f t="shared" si="11"/>
        <v>2.2360679774997894</v>
      </c>
      <c r="C719">
        <f>SUMIFS('data (1)'!$M:$M,'data (1)'!$A:$A,XYZ!C$1,'data (1)'!$J:$J,XYZ!$A719)</f>
        <v>1</v>
      </c>
      <c r="D719">
        <f>SUMIFS('data (1)'!$M:$M,'data (1)'!$A:$A,XYZ!D$1,'data (1)'!$J:$J,XYZ!$A719)</f>
        <v>0</v>
      </c>
      <c r="E719">
        <f>SUMIFS('data (1)'!$M:$M,'data (1)'!$A:$A,XYZ!E$1,'data (1)'!$J:$J,XYZ!$A719)</f>
        <v>0</v>
      </c>
      <c r="F719">
        <f>SUMIFS('data (1)'!$M:$M,'data (1)'!$A:$A,XYZ!F$1,'data (1)'!$J:$J,XYZ!$A719)</f>
        <v>0</v>
      </c>
      <c r="G719">
        <f>SUMIFS('data (1)'!$M:$M,'data (1)'!$A:$A,XYZ!G$1,'data (1)'!$J:$J,XYZ!$A719)</f>
        <v>0</v>
      </c>
    </row>
    <row r="720" spans="1:7" x14ac:dyDescent="0.15">
      <c r="A720" t="s">
        <v>584</v>
      </c>
      <c r="B720" s="11">
        <f t="shared" si="11"/>
        <v>2.2360679774997894</v>
      </c>
      <c r="C720">
        <f>SUMIFS('data (1)'!$M:$M,'data (1)'!$A:$A,XYZ!C$1,'data (1)'!$J:$J,XYZ!$A720)</f>
        <v>0</v>
      </c>
      <c r="D720">
        <f>SUMIFS('data (1)'!$M:$M,'data (1)'!$A:$A,XYZ!D$1,'data (1)'!$J:$J,XYZ!$A720)</f>
        <v>1</v>
      </c>
      <c r="E720">
        <f>SUMIFS('data (1)'!$M:$M,'data (1)'!$A:$A,XYZ!E$1,'data (1)'!$J:$J,XYZ!$A720)</f>
        <v>0</v>
      </c>
      <c r="F720">
        <f>SUMIFS('data (1)'!$M:$M,'data (1)'!$A:$A,XYZ!F$1,'data (1)'!$J:$J,XYZ!$A720)</f>
        <v>0</v>
      </c>
      <c r="G720">
        <f>SUMIFS('data (1)'!$M:$M,'data (1)'!$A:$A,XYZ!G$1,'data (1)'!$J:$J,XYZ!$A720)</f>
        <v>0</v>
      </c>
    </row>
    <row r="721" spans="1:7" x14ac:dyDescent="0.15">
      <c r="A721" t="s">
        <v>290</v>
      </c>
      <c r="B721" s="11">
        <f t="shared" si="11"/>
        <v>2.2360679774997894</v>
      </c>
      <c r="C721">
        <f>SUMIFS('data (1)'!$M:$M,'data (1)'!$A:$A,XYZ!C$1,'data (1)'!$J:$J,XYZ!$A721)</f>
        <v>1</v>
      </c>
      <c r="D721">
        <f>SUMIFS('data (1)'!$M:$M,'data (1)'!$A:$A,XYZ!D$1,'data (1)'!$J:$J,XYZ!$A721)</f>
        <v>0</v>
      </c>
      <c r="E721">
        <f>SUMIFS('data (1)'!$M:$M,'data (1)'!$A:$A,XYZ!E$1,'data (1)'!$J:$J,XYZ!$A721)</f>
        <v>0</v>
      </c>
      <c r="F721">
        <f>SUMIFS('data (1)'!$M:$M,'data (1)'!$A:$A,XYZ!F$1,'data (1)'!$J:$J,XYZ!$A721)</f>
        <v>0</v>
      </c>
      <c r="G721">
        <f>SUMIFS('data (1)'!$M:$M,'data (1)'!$A:$A,XYZ!G$1,'data (1)'!$J:$J,XYZ!$A721)</f>
        <v>0</v>
      </c>
    </row>
    <row r="722" spans="1:7" x14ac:dyDescent="0.15">
      <c r="A722" t="s">
        <v>876</v>
      </c>
      <c r="B722" s="11">
        <f t="shared" si="11"/>
        <v>2.2360679774997894</v>
      </c>
      <c r="C722">
        <f>SUMIFS('data (1)'!$M:$M,'data (1)'!$A:$A,XYZ!C$1,'data (1)'!$J:$J,XYZ!$A722)</f>
        <v>0</v>
      </c>
      <c r="D722">
        <f>SUMIFS('data (1)'!$M:$M,'data (1)'!$A:$A,XYZ!D$1,'data (1)'!$J:$J,XYZ!$A722)</f>
        <v>0</v>
      </c>
      <c r="E722">
        <f>SUMIFS('data (1)'!$M:$M,'data (1)'!$A:$A,XYZ!E$1,'data (1)'!$J:$J,XYZ!$A722)</f>
        <v>1</v>
      </c>
      <c r="F722">
        <f>SUMIFS('data (1)'!$M:$M,'data (1)'!$A:$A,XYZ!F$1,'data (1)'!$J:$J,XYZ!$A722)</f>
        <v>0</v>
      </c>
      <c r="G722">
        <f>SUMIFS('data (1)'!$M:$M,'data (1)'!$A:$A,XYZ!G$1,'data (1)'!$J:$J,XYZ!$A722)</f>
        <v>0</v>
      </c>
    </row>
    <row r="723" spans="1:7" x14ac:dyDescent="0.15">
      <c r="A723" t="s">
        <v>550</v>
      </c>
      <c r="B723" s="11">
        <f t="shared" si="11"/>
        <v>2.2360679774997894</v>
      </c>
      <c r="C723">
        <f>SUMIFS('data (1)'!$M:$M,'data (1)'!$A:$A,XYZ!C$1,'data (1)'!$J:$J,XYZ!$A723)</f>
        <v>0</v>
      </c>
      <c r="D723">
        <f>SUMIFS('data (1)'!$M:$M,'data (1)'!$A:$A,XYZ!D$1,'data (1)'!$J:$J,XYZ!$A723)</f>
        <v>1</v>
      </c>
      <c r="E723">
        <f>SUMIFS('data (1)'!$M:$M,'data (1)'!$A:$A,XYZ!E$1,'data (1)'!$J:$J,XYZ!$A723)</f>
        <v>0</v>
      </c>
      <c r="F723">
        <f>SUMIFS('data (1)'!$M:$M,'data (1)'!$A:$A,XYZ!F$1,'data (1)'!$J:$J,XYZ!$A723)</f>
        <v>0</v>
      </c>
      <c r="G723">
        <f>SUMIFS('data (1)'!$M:$M,'data (1)'!$A:$A,XYZ!G$1,'data (1)'!$J:$J,XYZ!$A723)</f>
        <v>0</v>
      </c>
    </row>
    <row r="724" spans="1:7" x14ac:dyDescent="0.15">
      <c r="A724" t="s">
        <v>514</v>
      </c>
      <c r="B724" s="11">
        <f t="shared" si="11"/>
        <v>2.2360679774997894</v>
      </c>
      <c r="C724">
        <f>SUMIFS('data (1)'!$M:$M,'data (1)'!$A:$A,XYZ!C$1,'data (1)'!$J:$J,XYZ!$A724)</f>
        <v>0</v>
      </c>
      <c r="D724">
        <f>SUMIFS('data (1)'!$M:$M,'data (1)'!$A:$A,XYZ!D$1,'data (1)'!$J:$J,XYZ!$A724)</f>
        <v>1</v>
      </c>
      <c r="E724">
        <f>SUMIFS('data (1)'!$M:$M,'data (1)'!$A:$A,XYZ!E$1,'data (1)'!$J:$J,XYZ!$A724)</f>
        <v>0</v>
      </c>
      <c r="F724">
        <f>SUMIFS('data (1)'!$M:$M,'data (1)'!$A:$A,XYZ!F$1,'data (1)'!$J:$J,XYZ!$A724)</f>
        <v>0</v>
      </c>
      <c r="G724">
        <f>SUMIFS('data (1)'!$M:$M,'data (1)'!$A:$A,XYZ!G$1,'data (1)'!$J:$J,XYZ!$A724)</f>
        <v>0</v>
      </c>
    </row>
    <row r="725" spans="1:7" x14ac:dyDescent="0.15">
      <c r="A725" t="s">
        <v>1014</v>
      </c>
      <c r="B725" s="11">
        <f t="shared" si="11"/>
        <v>2.2360679774997894</v>
      </c>
      <c r="C725">
        <f>SUMIFS('data (1)'!$M:$M,'data (1)'!$A:$A,XYZ!C$1,'data (1)'!$J:$J,XYZ!$A725)</f>
        <v>0</v>
      </c>
      <c r="D725">
        <f>SUMIFS('data (1)'!$M:$M,'data (1)'!$A:$A,XYZ!D$1,'data (1)'!$J:$J,XYZ!$A725)</f>
        <v>0</v>
      </c>
      <c r="E725">
        <f>SUMIFS('data (1)'!$M:$M,'data (1)'!$A:$A,XYZ!E$1,'data (1)'!$J:$J,XYZ!$A725)</f>
        <v>0</v>
      </c>
      <c r="F725">
        <f>SUMIFS('data (1)'!$M:$M,'data (1)'!$A:$A,XYZ!F$1,'data (1)'!$J:$J,XYZ!$A725)</f>
        <v>1</v>
      </c>
      <c r="G725">
        <f>SUMIFS('data (1)'!$M:$M,'data (1)'!$A:$A,XYZ!G$1,'data (1)'!$J:$J,XYZ!$A725)</f>
        <v>0</v>
      </c>
    </row>
    <row r="726" spans="1:7" x14ac:dyDescent="0.15">
      <c r="A726" t="s">
        <v>1141</v>
      </c>
      <c r="B726" s="11">
        <f t="shared" si="11"/>
        <v>2.2360679774997894</v>
      </c>
      <c r="C726">
        <f>SUMIFS('data (1)'!$M:$M,'data (1)'!$A:$A,XYZ!C$1,'data (1)'!$J:$J,XYZ!$A726)</f>
        <v>0</v>
      </c>
      <c r="D726">
        <f>SUMIFS('data (1)'!$M:$M,'data (1)'!$A:$A,XYZ!D$1,'data (1)'!$J:$J,XYZ!$A726)</f>
        <v>0</v>
      </c>
      <c r="E726">
        <f>SUMIFS('data (1)'!$M:$M,'data (1)'!$A:$A,XYZ!E$1,'data (1)'!$J:$J,XYZ!$A726)</f>
        <v>0</v>
      </c>
      <c r="F726">
        <f>SUMIFS('data (1)'!$M:$M,'data (1)'!$A:$A,XYZ!F$1,'data (1)'!$J:$J,XYZ!$A726)</f>
        <v>0</v>
      </c>
      <c r="G726">
        <f>SUMIFS('data (1)'!$M:$M,'data (1)'!$A:$A,XYZ!G$1,'data (1)'!$J:$J,XYZ!$A726)</f>
        <v>1</v>
      </c>
    </row>
    <row r="727" spans="1:7" x14ac:dyDescent="0.15">
      <c r="A727" t="s">
        <v>1038</v>
      </c>
      <c r="B727" s="11">
        <f t="shared" si="11"/>
        <v>2.2360679774997894</v>
      </c>
      <c r="C727">
        <f>SUMIFS('data (1)'!$M:$M,'data (1)'!$A:$A,XYZ!C$1,'data (1)'!$J:$J,XYZ!$A727)</f>
        <v>0</v>
      </c>
      <c r="D727">
        <f>SUMIFS('data (1)'!$M:$M,'data (1)'!$A:$A,XYZ!D$1,'data (1)'!$J:$J,XYZ!$A727)</f>
        <v>0</v>
      </c>
      <c r="E727">
        <f>SUMIFS('data (1)'!$M:$M,'data (1)'!$A:$A,XYZ!E$1,'data (1)'!$J:$J,XYZ!$A727)</f>
        <v>0</v>
      </c>
      <c r="F727">
        <f>SUMIFS('data (1)'!$M:$M,'data (1)'!$A:$A,XYZ!F$1,'data (1)'!$J:$J,XYZ!$A727)</f>
        <v>1</v>
      </c>
      <c r="G727">
        <f>SUMIFS('data (1)'!$M:$M,'data (1)'!$A:$A,XYZ!G$1,'data (1)'!$J:$J,XYZ!$A727)</f>
        <v>0</v>
      </c>
    </row>
    <row r="728" spans="1:7" x14ac:dyDescent="0.15">
      <c r="A728" t="s">
        <v>623</v>
      </c>
      <c r="B728" s="11">
        <f t="shared" si="11"/>
        <v>2.2360679774997894</v>
      </c>
      <c r="C728">
        <f>SUMIFS('data (1)'!$M:$M,'data (1)'!$A:$A,XYZ!C$1,'data (1)'!$J:$J,XYZ!$A728)</f>
        <v>0</v>
      </c>
      <c r="D728">
        <f>SUMIFS('data (1)'!$M:$M,'data (1)'!$A:$A,XYZ!D$1,'data (1)'!$J:$J,XYZ!$A728)</f>
        <v>1</v>
      </c>
      <c r="E728">
        <f>SUMIFS('data (1)'!$M:$M,'data (1)'!$A:$A,XYZ!E$1,'data (1)'!$J:$J,XYZ!$A728)</f>
        <v>0</v>
      </c>
      <c r="F728">
        <f>SUMIFS('data (1)'!$M:$M,'data (1)'!$A:$A,XYZ!F$1,'data (1)'!$J:$J,XYZ!$A728)</f>
        <v>0</v>
      </c>
      <c r="G728">
        <f>SUMIFS('data (1)'!$M:$M,'data (1)'!$A:$A,XYZ!G$1,'data (1)'!$J:$J,XYZ!$A728)</f>
        <v>0</v>
      </c>
    </row>
    <row r="729" spans="1:7" x14ac:dyDescent="0.15">
      <c r="A729" t="s">
        <v>871</v>
      </c>
      <c r="B729" s="11">
        <f t="shared" si="11"/>
        <v>2.2360679774997894</v>
      </c>
      <c r="C729">
        <f>SUMIFS('data (1)'!$M:$M,'data (1)'!$A:$A,XYZ!C$1,'data (1)'!$J:$J,XYZ!$A729)</f>
        <v>0</v>
      </c>
      <c r="D729">
        <f>SUMIFS('data (1)'!$M:$M,'data (1)'!$A:$A,XYZ!D$1,'data (1)'!$J:$J,XYZ!$A729)</f>
        <v>0</v>
      </c>
      <c r="E729">
        <f>SUMIFS('data (1)'!$M:$M,'data (1)'!$A:$A,XYZ!E$1,'data (1)'!$J:$J,XYZ!$A729)</f>
        <v>1</v>
      </c>
      <c r="F729">
        <f>SUMIFS('data (1)'!$M:$M,'data (1)'!$A:$A,XYZ!F$1,'data (1)'!$J:$J,XYZ!$A729)</f>
        <v>0</v>
      </c>
      <c r="G729">
        <f>SUMIFS('data (1)'!$M:$M,'data (1)'!$A:$A,XYZ!G$1,'data (1)'!$J:$J,XYZ!$A729)</f>
        <v>0</v>
      </c>
    </row>
    <row r="730" spans="1:7" x14ac:dyDescent="0.15">
      <c r="A730" t="s">
        <v>1139</v>
      </c>
      <c r="B730" s="11">
        <f t="shared" si="11"/>
        <v>2.2360679774997894</v>
      </c>
      <c r="C730">
        <f>SUMIFS('data (1)'!$M:$M,'data (1)'!$A:$A,XYZ!C$1,'data (1)'!$J:$J,XYZ!$A730)</f>
        <v>0</v>
      </c>
      <c r="D730">
        <f>SUMIFS('data (1)'!$M:$M,'data (1)'!$A:$A,XYZ!D$1,'data (1)'!$J:$J,XYZ!$A730)</f>
        <v>0</v>
      </c>
      <c r="E730">
        <f>SUMIFS('data (1)'!$M:$M,'data (1)'!$A:$A,XYZ!E$1,'data (1)'!$J:$J,XYZ!$A730)</f>
        <v>0</v>
      </c>
      <c r="F730">
        <f>SUMIFS('data (1)'!$M:$M,'data (1)'!$A:$A,XYZ!F$1,'data (1)'!$J:$J,XYZ!$A730)</f>
        <v>0</v>
      </c>
      <c r="G730">
        <f>SUMIFS('data (1)'!$M:$M,'data (1)'!$A:$A,XYZ!G$1,'data (1)'!$J:$J,XYZ!$A730)</f>
        <v>1</v>
      </c>
    </row>
    <row r="731" spans="1:7" x14ac:dyDescent="0.15">
      <c r="A731" t="s">
        <v>818</v>
      </c>
      <c r="B731" s="11">
        <f t="shared" si="11"/>
        <v>2.2360679774997894</v>
      </c>
      <c r="C731">
        <f>SUMIFS('data (1)'!$M:$M,'data (1)'!$A:$A,XYZ!C$1,'data (1)'!$J:$J,XYZ!$A731)</f>
        <v>0</v>
      </c>
      <c r="D731">
        <f>SUMIFS('data (1)'!$M:$M,'data (1)'!$A:$A,XYZ!D$1,'data (1)'!$J:$J,XYZ!$A731)</f>
        <v>0</v>
      </c>
      <c r="E731">
        <f>SUMIFS('data (1)'!$M:$M,'data (1)'!$A:$A,XYZ!E$1,'data (1)'!$J:$J,XYZ!$A731)</f>
        <v>1</v>
      </c>
      <c r="F731">
        <f>SUMIFS('data (1)'!$M:$M,'data (1)'!$A:$A,XYZ!F$1,'data (1)'!$J:$J,XYZ!$A731)</f>
        <v>0</v>
      </c>
      <c r="G731">
        <f>SUMIFS('data (1)'!$M:$M,'data (1)'!$A:$A,XYZ!G$1,'data (1)'!$J:$J,XYZ!$A731)</f>
        <v>0</v>
      </c>
    </row>
    <row r="732" spans="1:7" x14ac:dyDescent="0.15">
      <c r="A732" t="s">
        <v>459</v>
      </c>
      <c r="B732" s="11">
        <f t="shared" si="11"/>
        <v>2.2360679774997894</v>
      </c>
      <c r="C732">
        <f>SUMIFS('data (1)'!$M:$M,'data (1)'!$A:$A,XYZ!C$1,'data (1)'!$J:$J,XYZ!$A732)</f>
        <v>1</v>
      </c>
      <c r="D732">
        <f>SUMIFS('data (1)'!$M:$M,'data (1)'!$A:$A,XYZ!D$1,'data (1)'!$J:$J,XYZ!$A732)</f>
        <v>0</v>
      </c>
      <c r="E732">
        <f>SUMIFS('data (1)'!$M:$M,'data (1)'!$A:$A,XYZ!E$1,'data (1)'!$J:$J,XYZ!$A732)</f>
        <v>0</v>
      </c>
      <c r="F732">
        <f>SUMIFS('data (1)'!$M:$M,'data (1)'!$A:$A,XYZ!F$1,'data (1)'!$J:$J,XYZ!$A732)</f>
        <v>0</v>
      </c>
      <c r="G732">
        <f>SUMIFS('data (1)'!$M:$M,'data (1)'!$A:$A,XYZ!G$1,'data (1)'!$J:$J,XYZ!$A732)</f>
        <v>0</v>
      </c>
    </row>
    <row r="733" spans="1:7" x14ac:dyDescent="0.15">
      <c r="A733" t="s">
        <v>327</v>
      </c>
      <c r="B733" s="11">
        <f t="shared" si="11"/>
        <v>2.2360679774997894</v>
      </c>
      <c r="C733">
        <f>SUMIFS('data (1)'!$M:$M,'data (1)'!$A:$A,XYZ!C$1,'data (1)'!$J:$J,XYZ!$A733)</f>
        <v>1</v>
      </c>
      <c r="D733">
        <f>SUMIFS('data (1)'!$M:$M,'data (1)'!$A:$A,XYZ!D$1,'data (1)'!$J:$J,XYZ!$A733)</f>
        <v>0</v>
      </c>
      <c r="E733">
        <f>SUMIFS('data (1)'!$M:$M,'data (1)'!$A:$A,XYZ!E$1,'data (1)'!$J:$J,XYZ!$A733)</f>
        <v>0</v>
      </c>
      <c r="F733">
        <f>SUMIFS('data (1)'!$M:$M,'data (1)'!$A:$A,XYZ!F$1,'data (1)'!$J:$J,XYZ!$A733)</f>
        <v>0</v>
      </c>
      <c r="G733">
        <f>SUMIFS('data (1)'!$M:$M,'data (1)'!$A:$A,XYZ!G$1,'data (1)'!$J:$J,XYZ!$A733)</f>
        <v>0</v>
      </c>
    </row>
    <row r="734" spans="1:7" x14ac:dyDescent="0.15">
      <c r="A734" t="s">
        <v>741</v>
      </c>
      <c r="B734" s="11">
        <f t="shared" si="11"/>
        <v>2.2360679774997894</v>
      </c>
      <c r="C734">
        <f>SUMIFS('data (1)'!$M:$M,'data (1)'!$A:$A,XYZ!C$1,'data (1)'!$J:$J,XYZ!$A734)</f>
        <v>0</v>
      </c>
      <c r="D734">
        <f>SUMIFS('data (1)'!$M:$M,'data (1)'!$A:$A,XYZ!D$1,'data (1)'!$J:$J,XYZ!$A734)</f>
        <v>0</v>
      </c>
      <c r="E734">
        <f>SUMIFS('data (1)'!$M:$M,'data (1)'!$A:$A,XYZ!E$1,'data (1)'!$J:$J,XYZ!$A734)</f>
        <v>1</v>
      </c>
      <c r="F734">
        <f>SUMIFS('data (1)'!$M:$M,'data (1)'!$A:$A,XYZ!F$1,'data (1)'!$J:$J,XYZ!$A734)</f>
        <v>0</v>
      </c>
      <c r="G734">
        <f>SUMIFS('data (1)'!$M:$M,'data (1)'!$A:$A,XYZ!G$1,'data (1)'!$J:$J,XYZ!$A734)</f>
        <v>0</v>
      </c>
    </row>
    <row r="735" spans="1:7" x14ac:dyDescent="0.15">
      <c r="A735" t="s">
        <v>859</v>
      </c>
      <c r="B735" s="11">
        <f t="shared" si="11"/>
        <v>2.2360679774997894</v>
      </c>
      <c r="C735">
        <f>SUMIFS('data (1)'!$M:$M,'data (1)'!$A:$A,XYZ!C$1,'data (1)'!$J:$J,XYZ!$A735)</f>
        <v>0</v>
      </c>
      <c r="D735">
        <f>SUMIFS('data (1)'!$M:$M,'data (1)'!$A:$A,XYZ!D$1,'data (1)'!$J:$J,XYZ!$A735)</f>
        <v>0</v>
      </c>
      <c r="E735">
        <f>SUMIFS('data (1)'!$M:$M,'data (1)'!$A:$A,XYZ!E$1,'data (1)'!$J:$J,XYZ!$A735)</f>
        <v>1</v>
      </c>
      <c r="F735">
        <f>SUMIFS('data (1)'!$M:$M,'data (1)'!$A:$A,XYZ!F$1,'data (1)'!$J:$J,XYZ!$A735)</f>
        <v>0</v>
      </c>
      <c r="G735">
        <f>SUMIFS('data (1)'!$M:$M,'data (1)'!$A:$A,XYZ!G$1,'data (1)'!$J:$J,XYZ!$A735)</f>
        <v>0</v>
      </c>
    </row>
    <row r="736" spans="1:7" x14ac:dyDescent="0.15">
      <c r="A736" t="s">
        <v>713</v>
      </c>
      <c r="B736" s="11">
        <f t="shared" si="11"/>
        <v>2.2360679774997894</v>
      </c>
      <c r="C736">
        <f>SUMIFS('data (1)'!$M:$M,'data (1)'!$A:$A,XYZ!C$1,'data (1)'!$J:$J,XYZ!$A736)</f>
        <v>0</v>
      </c>
      <c r="D736">
        <f>SUMIFS('data (1)'!$M:$M,'data (1)'!$A:$A,XYZ!D$1,'data (1)'!$J:$J,XYZ!$A736)</f>
        <v>0</v>
      </c>
      <c r="E736">
        <f>SUMIFS('data (1)'!$M:$M,'data (1)'!$A:$A,XYZ!E$1,'data (1)'!$J:$J,XYZ!$A736)</f>
        <v>1</v>
      </c>
      <c r="F736">
        <f>SUMIFS('data (1)'!$M:$M,'data (1)'!$A:$A,XYZ!F$1,'data (1)'!$J:$J,XYZ!$A736)</f>
        <v>0</v>
      </c>
      <c r="G736">
        <f>SUMIFS('data (1)'!$M:$M,'data (1)'!$A:$A,XYZ!G$1,'data (1)'!$J:$J,XYZ!$A736)</f>
        <v>0</v>
      </c>
    </row>
    <row r="737" spans="1:7" x14ac:dyDescent="0.15">
      <c r="A737" t="s">
        <v>361</v>
      </c>
      <c r="B737" s="11">
        <f t="shared" si="11"/>
        <v>2.2360679774997894</v>
      </c>
      <c r="C737">
        <f>SUMIFS('data (1)'!$M:$M,'data (1)'!$A:$A,XYZ!C$1,'data (1)'!$J:$J,XYZ!$A737)</f>
        <v>1</v>
      </c>
      <c r="D737">
        <f>SUMIFS('data (1)'!$M:$M,'data (1)'!$A:$A,XYZ!D$1,'data (1)'!$J:$J,XYZ!$A737)</f>
        <v>0</v>
      </c>
      <c r="E737">
        <f>SUMIFS('data (1)'!$M:$M,'data (1)'!$A:$A,XYZ!E$1,'data (1)'!$J:$J,XYZ!$A737)</f>
        <v>0</v>
      </c>
      <c r="F737">
        <f>SUMIFS('data (1)'!$M:$M,'data (1)'!$A:$A,XYZ!F$1,'data (1)'!$J:$J,XYZ!$A737)</f>
        <v>0</v>
      </c>
      <c r="G737">
        <f>SUMIFS('data (1)'!$M:$M,'data (1)'!$A:$A,XYZ!G$1,'data (1)'!$J:$J,XYZ!$A737)</f>
        <v>0</v>
      </c>
    </row>
    <row r="738" spans="1:7" x14ac:dyDescent="0.15">
      <c r="A738" t="s">
        <v>958</v>
      </c>
      <c r="B738" s="11">
        <f t="shared" si="11"/>
        <v>2.2360679774997894</v>
      </c>
      <c r="C738">
        <f>SUMIFS('data (1)'!$M:$M,'data (1)'!$A:$A,XYZ!C$1,'data (1)'!$J:$J,XYZ!$A738)</f>
        <v>0</v>
      </c>
      <c r="D738">
        <f>SUMIFS('data (1)'!$M:$M,'data (1)'!$A:$A,XYZ!D$1,'data (1)'!$J:$J,XYZ!$A738)</f>
        <v>0</v>
      </c>
      <c r="E738">
        <f>SUMIFS('data (1)'!$M:$M,'data (1)'!$A:$A,XYZ!E$1,'data (1)'!$J:$J,XYZ!$A738)</f>
        <v>0</v>
      </c>
      <c r="F738">
        <f>SUMIFS('data (1)'!$M:$M,'data (1)'!$A:$A,XYZ!F$1,'data (1)'!$J:$J,XYZ!$A738)</f>
        <v>1</v>
      </c>
      <c r="G738">
        <f>SUMIFS('data (1)'!$M:$M,'data (1)'!$A:$A,XYZ!G$1,'data (1)'!$J:$J,XYZ!$A738)</f>
        <v>0</v>
      </c>
    </row>
    <row r="739" spans="1:7" x14ac:dyDescent="0.15">
      <c r="A739" t="s">
        <v>1161</v>
      </c>
      <c r="B739" s="11">
        <f t="shared" si="11"/>
        <v>2.2360679774997894</v>
      </c>
      <c r="C739">
        <f>SUMIFS('data (1)'!$M:$M,'data (1)'!$A:$A,XYZ!C$1,'data (1)'!$J:$J,XYZ!$A739)</f>
        <v>0</v>
      </c>
      <c r="D739">
        <f>SUMIFS('data (1)'!$M:$M,'data (1)'!$A:$A,XYZ!D$1,'data (1)'!$J:$J,XYZ!$A739)</f>
        <v>0</v>
      </c>
      <c r="E739">
        <f>SUMIFS('data (1)'!$M:$M,'data (1)'!$A:$A,XYZ!E$1,'data (1)'!$J:$J,XYZ!$A739)</f>
        <v>0</v>
      </c>
      <c r="F739">
        <f>SUMIFS('data (1)'!$M:$M,'data (1)'!$A:$A,XYZ!F$1,'data (1)'!$J:$J,XYZ!$A739)</f>
        <v>0</v>
      </c>
      <c r="G739">
        <f>SUMIFS('data (1)'!$M:$M,'data (1)'!$A:$A,XYZ!G$1,'data (1)'!$J:$J,XYZ!$A739)</f>
        <v>1</v>
      </c>
    </row>
    <row r="740" spans="1:7" x14ac:dyDescent="0.15">
      <c r="A740" t="s">
        <v>370</v>
      </c>
      <c r="B740" s="11">
        <f t="shared" si="11"/>
        <v>2.2360679774997894</v>
      </c>
      <c r="C740">
        <f>SUMIFS('data (1)'!$M:$M,'data (1)'!$A:$A,XYZ!C$1,'data (1)'!$J:$J,XYZ!$A740)</f>
        <v>1</v>
      </c>
      <c r="D740">
        <f>SUMIFS('data (1)'!$M:$M,'data (1)'!$A:$A,XYZ!D$1,'data (1)'!$J:$J,XYZ!$A740)</f>
        <v>0</v>
      </c>
      <c r="E740">
        <f>SUMIFS('data (1)'!$M:$M,'data (1)'!$A:$A,XYZ!E$1,'data (1)'!$J:$J,XYZ!$A740)</f>
        <v>0</v>
      </c>
      <c r="F740">
        <f>SUMIFS('data (1)'!$M:$M,'data (1)'!$A:$A,XYZ!F$1,'data (1)'!$J:$J,XYZ!$A740)</f>
        <v>0</v>
      </c>
      <c r="G740">
        <f>SUMIFS('data (1)'!$M:$M,'data (1)'!$A:$A,XYZ!G$1,'data (1)'!$J:$J,XYZ!$A740)</f>
        <v>0</v>
      </c>
    </row>
    <row r="741" spans="1:7" x14ac:dyDescent="0.15">
      <c r="A741" t="s">
        <v>887</v>
      </c>
      <c r="B741" s="11">
        <f t="shared" si="11"/>
        <v>2.2360679774997894</v>
      </c>
      <c r="C741">
        <f>SUMIFS('data (1)'!$M:$M,'data (1)'!$A:$A,XYZ!C$1,'data (1)'!$J:$J,XYZ!$A741)</f>
        <v>0</v>
      </c>
      <c r="D741">
        <f>SUMIFS('data (1)'!$M:$M,'data (1)'!$A:$A,XYZ!D$1,'data (1)'!$J:$J,XYZ!$A741)</f>
        <v>0</v>
      </c>
      <c r="E741">
        <f>SUMIFS('data (1)'!$M:$M,'data (1)'!$A:$A,XYZ!E$1,'data (1)'!$J:$J,XYZ!$A741)</f>
        <v>1</v>
      </c>
      <c r="F741">
        <f>SUMIFS('data (1)'!$M:$M,'data (1)'!$A:$A,XYZ!F$1,'data (1)'!$J:$J,XYZ!$A741)</f>
        <v>0</v>
      </c>
      <c r="G741">
        <f>SUMIFS('data (1)'!$M:$M,'data (1)'!$A:$A,XYZ!G$1,'data (1)'!$J:$J,XYZ!$A741)</f>
        <v>0</v>
      </c>
    </row>
    <row r="742" spans="1:7" x14ac:dyDescent="0.15">
      <c r="A742" t="s">
        <v>73</v>
      </c>
      <c r="B742" s="11">
        <f t="shared" si="11"/>
        <v>2.2360679774997894</v>
      </c>
      <c r="C742">
        <f>SUMIFS('data (1)'!$M:$M,'data (1)'!$A:$A,XYZ!C$1,'data (1)'!$J:$J,XYZ!$A742)</f>
        <v>1</v>
      </c>
      <c r="D742">
        <f>SUMIFS('data (1)'!$M:$M,'data (1)'!$A:$A,XYZ!D$1,'data (1)'!$J:$J,XYZ!$A742)</f>
        <v>0</v>
      </c>
      <c r="E742">
        <f>SUMIFS('data (1)'!$M:$M,'data (1)'!$A:$A,XYZ!E$1,'data (1)'!$J:$J,XYZ!$A742)</f>
        <v>0</v>
      </c>
      <c r="F742">
        <f>SUMIFS('data (1)'!$M:$M,'data (1)'!$A:$A,XYZ!F$1,'data (1)'!$J:$J,XYZ!$A742)</f>
        <v>0</v>
      </c>
      <c r="G742">
        <f>SUMIFS('data (1)'!$M:$M,'data (1)'!$A:$A,XYZ!G$1,'data (1)'!$J:$J,XYZ!$A742)</f>
        <v>0</v>
      </c>
    </row>
    <row r="743" spans="1:7" x14ac:dyDescent="0.15">
      <c r="A743" t="s">
        <v>1158</v>
      </c>
      <c r="B743" s="11">
        <f t="shared" si="11"/>
        <v>2.2360679774997894</v>
      </c>
      <c r="C743">
        <f>SUMIFS('data (1)'!$M:$M,'data (1)'!$A:$A,XYZ!C$1,'data (1)'!$J:$J,XYZ!$A743)</f>
        <v>0</v>
      </c>
      <c r="D743">
        <f>SUMIFS('data (1)'!$M:$M,'data (1)'!$A:$A,XYZ!D$1,'data (1)'!$J:$J,XYZ!$A743)</f>
        <v>0</v>
      </c>
      <c r="E743">
        <f>SUMIFS('data (1)'!$M:$M,'data (1)'!$A:$A,XYZ!E$1,'data (1)'!$J:$J,XYZ!$A743)</f>
        <v>0</v>
      </c>
      <c r="F743">
        <f>SUMIFS('data (1)'!$M:$M,'data (1)'!$A:$A,XYZ!F$1,'data (1)'!$J:$J,XYZ!$A743)</f>
        <v>0</v>
      </c>
      <c r="G743">
        <f>SUMIFS('data (1)'!$M:$M,'data (1)'!$A:$A,XYZ!G$1,'data (1)'!$J:$J,XYZ!$A743)</f>
        <v>1</v>
      </c>
    </row>
    <row r="744" spans="1:7" x14ac:dyDescent="0.15">
      <c r="A744" t="s">
        <v>616</v>
      </c>
      <c r="B744" s="11">
        <f t="shared" si="11"/>
        <v>2.2360679774997894</v>
      </c>
      <c r="C744">
        <f>SUMIFS('data (1)'!$M:$M,'data (1)'!$A:$A,XYZ!C$1,'data (1)'!$J:$J,XYZ!$A744)</f>
        <v>0</v>
      </c>
      <c r="D744">
        <f>SUMIFS('data (1)'!$M:$M,'data (1)'!$A:$A,XYZ!D$1,'data (1)'!$J:$J,XYZ!$A744)</f>
        <v>1</v>
      </c>
      <c r="E744">
        <f>SUMIFS('data (1)'!$M:$M,'data (1)'!$A:$A,XYZ!E$1,'data (1)'!$J:$J,XYZ!$A744)</f>
        <v>0</v>
      </c>
      <c r="F744">
        <f>SUMIFS('data (1)'!$M:$M,'data (1)'!$A:$A,XYZ!F$1,'data (1)'!$J:$J,XYZ!$A744)</f>
        <v>0</v>
      </c>
      <c r="G744">
        <f>SUMIFS('data (1)'!$M:$M,'data (1)'!$A:$A,XYZ!G$1,'data (1)'!$J:$J,XYZ!$A744)</f>
        <v>0</v>
      </c>
    </row>
    <row r="745" spans="1:7" x14ac:dyDescent="0.15">
      <c r="A745" t="s">
        <v>277</v>
      </c>
      <c r="B745" s="11">
        <f t="shared" si="11"/>
        <v>2.2360679774997894</v>
      </c>
      <c r="C745">
        <f>SUMIFS('data (1)'!$M:$M,'data (1)'!$A:$A,XYZ!C$1,'data (1)'!$J:$J,XYZ!$A745)</f>
        <v>1</v>
      </c>
      <c r="D745">
        <f>SUMIFS('data (1)'!$M:$M,'data (1)'!$A:$A,XYZ!D$1,'data (1)'!$J:$J,XYZ!$A745)</f>
        <v>0</v>
      </c>
      <c r="E745">
        <f>SUMIFS('data (1)'!$M:$M,'data (1)'!$A:$A,XYZ!E$1,'data (1)'!$J:$J,XYZ!$A745)</f>
        <v>0</v>
      </c>
      <c r="F745">
        <f>SUMIFS('data (1)'!$M:$M,'data (1)'!$A:$A,XYZ!F$1,'data (1)'!$J:$J,XYZ!$A745)</f>
        <v>0</v>
      </c>
      <c r="G745">
        <f>SUMIFS('data (1)'!$M:$M,'data (1)'!$A:$A,XYZ!G$1,'data (1)'!$J:$J,XYZ!$A745)</f>
        <v>0</v>
      </c>
    </row>
    <row r="746" spans="1:7" x14ac:dyDescent="0.15">
      <c r="A746" t="s">
        <v>918</v>
      </c>
      <c r="B746" s="11">
        <f t="shared" si="11"/>
        <v>2.2360679774997894</v>
      </c>
      <c r="C746">
        <f>SUMIFS('data (1)'!$M:$M,'data (1)'!$A:$A,XYZ!C$1,'data (1)'!$J:$J,XYZ!$A746)</f>
        <v>0</v>
      </c>
      <c r="D746">
        <f>SUMIFS('data (1)'!$M:$M,'data (1)'!$A:$A,XYZ!D$1,'data (1)'!$J:$J,XYZ!$A746)</f>
        <v>0</v>
      </c>
      <c r="E746">
        <f>SUMIFS('data (1)'!$M:$M,'data (1)'!$A:$A,XYZ!E$1,'data (1)'!$J:$J,XYZ!$A746)</f>
        <v>1</v>
      </c>
      <c r="F746">
        <f>SUMIFS('data (1)'!$M:$M,'data (1)'!$A:$A,XYZ!F$1,'data (1)'!$J:$J,XYZ!$A746)</f>
        <v>0</v>
      </c>
      <c r="G746">
        <f>SUMIFS('data (1)'!$M:$M,'data (1)'!$A:$A,XYZ!G$1,'data (1)'!$J:$J,XYZ!$A746)</f>
        <v>0</v>
      </c>
    </row>
    <row r="747" spans="1:7" x14ac:dyDescent="0.15">
      <c r="A747" t="s">
        <v>777</v>
      </c>
      <c r="B747" s="11">
        <f t="shared" si="11"/>
        <v>2.2360679774997894</v>
      </c>
      <c r="C747">
        <f>SUMIFS('data (1)'!$M:$M,'data (1)'!$A:$A,XYZ!C$1,'data (1)'!$J:$J,XYZ!$A747)</f>
        <v>0</v>
      </c>
      <c r="D747">
        <f>SUMIFS('data (1)'!$M:$M,'data (1)'!$A:$A,XYZ!D$1,'data (1)'!$J:$J,XYZ!$A747)</f>
        <v>0</v>
      </c>
      <c r="E747">
        <f>SUMIFS('data (1)'!$M:$M,'data (1)'!$A:$A,XYZ!E$1,'data (1)'!$J:$J,XYZ!$A747)</f>
        <v>1</v>
      </c>
      <c r="F747">
        <f>SUMIFS('data (1)'!$M:$M,'data (1)'!$A:$A,XYZ!F$1,'data (1)'!$J:$J,XYZ!$A747)</f>
        <v>0</v>
      </c>
      <c r="G747">
        <f>SUMIFS('data (1)'!$M:$M,'data (1)'!$A:$A,XYZ!G$1,'data (1)'!$J:$J,XYZ!$A747)</f>
        <v>0</v>
      </c>
    </row>
    <row r="748" spans="1:7" x14ac:dyDescent="0.15">
      <c r="A748" t="s">
        <v>853</v>
      </c>
      <c r="B748" s="11">
        <f t="shared" si="11"/>
        <v>2.2360679774997894</v>
      </c>
      <c r="C748">
        <f>SUMIFS('data (1)'!$M:$M,'data (1)'!$A:$A,XYZ!C$1,'data (1)'!$J:$J,XYZ!$A748)</f>
        <v>0</v>
      </c>
      <c r="D748">
        <f>SUMIFS('data (1)'!$M:$M,'data (1)'!$A:$A,XYZ!D$1,'data (1)'!$J:$J,XYZ!$A748)</f>
        <v>0</v>
      </c>
      <c r="E748">
        <f>SUMIFS('data (1)'!$M:$M,'data (1)'!$A:$A,XYZ!E$1,'data (1)'!$J:$J,XYZ!$A748)</f>
        <v>1</v>
      </c>
      <c r="F748">
        <f>SUMIFS('data (1)'!$M:$M,'data (1)'!$A:$A,XYZ!F$1,'data (1)'!$J:$J,XYZ!$A748)</f>
        <v>0</v>
      </c>
      <c r="G748">
        <f>SUMIFS('data (1)'!$M:$M,'data (1)'!$A:$A,XYZ!G$1,'data (1)'!$J:$J,XYZ!$A748)</f>
        <v>0</v>
      </c>
    </row>
    <row r="749" spans="1:7" x14ac:dyDescent="0.15">
      <c r="A749" t="s">
        <v>247</v>
      </c>
      <c r="B749" s="11">
        <f t="shared" si="11"/>
        <v>2.2360679774997894</v>
      </c>
      <c r="C749">
        <f>SUMIFS('data (1)'!$M:$M,'data (1)'!$A:$A,XYZ!C$1,'data (1)'!$J:$J,XYZ!$A749)</f>
        <v>1</v>
      </c>
      <c r="D749">
        <f>SUMIFS('data (1)'!$M:$M,'data (1)'!$A:$A,XYZ!D$1,'data (1)'!$J:$J,XYZ!$A749)</f>
        <v>0</v>
      </c>
      <c r="E749">
        <f>SUMIFS('data (1)'!$M:$M,'data (1)'!$A:$A,XYZ!E$1,'data (1)'!$J:$J,XYZ!$A749)</f>
        <v>0</v>
      </c>
      <c r="F749">
        <f>SUMIFS('data (1)'!$M:$M,'data (1)'!$A:$A,XYZ!F$1,'data (1)'!$J:$J,XYZ!$A749)</f>
        <v>0</v>
      </c>
      <c r="G749">
        <f>SUMIFS('data (1)'!$M:$M,'data (1)'!$A:$A,XYZ!G$1,'data (1)'!$J:$J,XYZ!$A749)</f>
        <v>0</v>
      </c>
    </row>
    <row r="750" spans="1:7" x14ac:dyDescent="0.15">
      <c r="A750" t="s">
        <v>1229</v>
      </c>
      <c r="B750" s="11">
        <f t="shared" si="11"/>
        <v>2.2360679774997894</v>
      </c>
      <c r="C750">
        <f>SUMIFS('data (1)'!$M:$M,'data (1)'!$A:$A,XYZ!C$1,'data (1)'!$J:$J,XYZ!$A750)</f>
        <v>0</v>
      </c>
      <c r="D750">
        <f>SUMIFS('data (1)'!$M:$M,'data (1)'!$A:$A,XYZ!D$1,'data (1)'!$J:$J,XYZ!$A750)</f>
        <v>0</v>
      </c>
      <c r="E750">
        <f>SUMIFS('data (1)'!$M:$M,'data (1)'!$A:$A,XYZ!E$1,'data (1)'!$J:$J,XYZ!$A750)</f>
        <v>0</v>
      </c>
      <c r="F750">
        <f>SUMIFS('data (1)'!$M:$M,'data (1)'!$A:$A,XYZ!F$1,'data (1)'!$J:$J,XYZ!$A750)</f>
        <v>0</v>
      </c>
      <c r="G750">
        <f>SUMIFS('data (1)'!$M:$M,'data (1)'!$A:$A,XYZ!G$1,'data (1)'!$J:$J,XYZ!$A750)</f>
        <v>1</v>
      </c>
    </row>
    <row r="751" spans="1:7" x14ac:dyDescent="0.15">
      <c r="A751" t="s">
        <v>1215</v>
      </c>
      <c r="B751" s="11">
        <f t="shared" si="11"/>
        <v>2.2360679774997894</v>
      </c>
      <c r="C751">
        <f>SUMIFS('data (1)'!$M:$M,'data (1)'!$A:$A,XYZ!C$1,'data (1)'!$J:$J,XYZ!$A751)</f>
        <v>0</v>
      </c>
      <c r="D751">
        <f>SUMIFS('data (1)'!$M:$M,'data (1)'!$A:$A,XYZ!D$1,'data (1)'!$J:$J,XYZ!$A751)</f>
        <v>0</v>
      </c>
      <c r="E751">
        <f>SUMIFS('data (1)'!$M:$M,'data (1)'!$A:$A,XYZ!E$1,'data (1)'!$J:$J,XYZ!$A751)</f>
        <v>0</v>
      </c>
      <c r="F751">
        <f>SUMIFS('data (1)'!$M:$M,'data (1)'!$A:$A,XYZ!F$1,'data (1)'!$J:$J,XYZ!$A751)</f>
        <v>0</v>
      </c>
      <c r="G751">
        <f>SUMIFS('data (1)'!$M:$M,'data (1)'!$A:$A,XYZ!G$1,'data (1)'!$J:$J,XYZ!$A751)</f>
        <v>1</v>
      </c>
    </row>
    <row r="752" spans="1:7" x14ac:dyDescent="0.15">
      <c r="A752" t="s">
        <v>1222</v>
      </c>
      <c r="B752" s="11">
        <f t="shared" si="11"/>
        <v>2.2360679774997894</v>
      </c>
      <c r="C752">
        <f>SUMIFS('data (1)'!$M:$M,'data (1)'!$A:$A,XYZ!C$1,'data (1)'!$J:$J,XYZ!$A752)</f>
        <v>0</v>
      </c>
      <c r="D752">
        <f>SUMIFS('data (1)'!$M:$M,'data (1)'!$A:$A,XYZ!D$1,'data (1)'!$J:$J,XYZ!$A752)</f>
        <v>0</v>
      </c>
      <c r="E752">
        <f>SUMIFS('data (1)'!$M:$M,'data (1)'!$A:$A,XYZ!E$1,'data (1)'!$J:$J,XYZ!$A752)</f>
        <v>0</v>
      </c>
      <c r="F752">
        <f>SUMIFS('data (1)'!$M:$M,'data (1)'!$A:$A,XYZ!F$1,'data (1)'!$J:$J,XYZ!$A752)</f>
        <v>0</v>
      </c>
      <c r="G752">
        <f>SUMIFS('data (1)'!$M:$M,'data (1)'!$A:$A,XYZ!G$1,'data (1)'!$J:$J,XYZ!$A752)</f>
        <v>1</v>
      </c>
    </row>
    <row r="753" spans="1:7" x14ac:dyDescent="0.15">
      <c r="A753" t="s">
        <v>263</v>
      </c>
      <c r="B753" s="11">
        <f t="shared" si="11"/>
        <v>2.2360679774997894</v>
      </c>
      <c r="C753">
        <f>SUMIFS('data (1)'!$M:$M,'data (1)'!$A:$A,XYZ!C$1,'data (1)'!$J:$J,XYZ!$A753)</f>
        <v>1</v>
      </c>
      <c r="D753">
        <f>SUMIFS('data (1)'!$M:$M,'data (1)'!$A:$A,XYZ!D$1,'data (1)'!$J:$J,XYZ!$A753)</f>
        <v>0</v>
      </c>
      <c r="E753">
        <f>SUMIFS('data (1)'!$M:$M,'data (1)'!$A:$A,XYZ!E$1,'data (1)'!$J:$J,XYZ!$A753)</f>
        <v>0</v>
      </c>
      <c r="F753">
        <f>SUMIFS('data (1)'!$M:$M,'data (1)'!$A:$A,XYZ!F$1,'data (1)'!$J:$J,XYZ!$A753)</f>
        <v>0</v>
      </c>
      <c r="G753">
        <f>SUMIFS('data (1)'!$M:$M,'data (1)'!$A:$A,XYZ!G$1,'data (1)'!$J:$J,XYZ!$A753)</f>
        <v>0</v>
      </c>
    </row>
    <row r="754" spans="1:7" x14ac:dyDescent="0.15">
      <c r="A754" t="s">
        <v>1131</v>
      </c>
      <c r="B754" s="11">
        <f t="shared" si="11"/>
        <v>2.2360679774997894</v>
      </c>
      <c r="C754">
        <f>SUMIFS('data (1)'!$M:$M,'data (1)'!$A:$A,XYZ!C$1,'data (1)'!$J:$J,XYZ!$A754)</f>
        <v>0</v>
      </c>
      <c r="D754">
        <f>SUMIFS('data (1)'!$M:$M,'data (1)'!$A:$A,XYZ!D$1,'data (1)'!$J:$J,XYZ!$A754)</f>
        <v>0</v>
      </c>
      <c r="E754">
        <f>SUMIFS('data (1)'!$M:$M,'data (1)'!$A:$A,XYZ!E$1,'data (1)'!$J:$J,XYZ!$A754)</f>
        <v>0</v>
      </c>
      <c r="F754">
        <f>SUMIFS('data (1)'!$M:$M,'data (1)'!$A:$A,XYZ!F$1,'data (1)'!$J:$J,XYZ!$A754)</f>
        <v>0</v>
      </c>
      <c r="G754">
        <f>SUMIFS('data (1)'!$M:$M,'data (1)'!$A:$A,XYZ!G$1,'data (1)'!$J:$J,XYZ!$A754)</f>
        <v>1</v>
      </c>
    </row>
    <row r="755" spans="1:7" x14ac:dyDescent="0.15">
      <c r="A755" t="s">
        <v>636</v>
      </c>
      <c r="B755" s="11">
        <f t="shared" si="11"/>
        <v>2.2360679774997894</v>
      </c>
      <c r="C755">
        <f>SUMIFS('data (1)'!$M:$M,'data (1)'!$A:$A,XYZ!C$1,'data (1)'!$J:$J,XYZ!$A755)</f>
        <v>0</v>
      </c>
      <c r="D755">
        <f>SUMIFS('data (1)'!$M:$M,'data (1)'!$A:$A,XYZ!D$1,'data (1)'!$J:$J,XYZ!$A755)</f>
        <v>1</v>
      </c>
      <c r="E755">
        <f>SUMIFS('data (1)'!$M:$M,'data (1)'!$A:$A,XYZ!E$1,'data (1)'!$J:$J,XYZ!$A755)</f>
        <v>0</v>
      </c>
      <c r="F755">
        <f>SUMIFS('data (1)'!$M:$M,'data (1)'!$A:$A,XYZ!F$1,'data (1)'!$J:$J,XYZ!$A755)</f>
        <v>0</v>
      </c>
      <c r="G755">
        <f>SUMIFS('data (1)'!$M:$M,'data (1)'!$A:$A,XYZ!G$1,'data (1)'!$J:$J,XYZ!$A755)</f>
        <v>0</v>
      </c>
    </row>
    <row r="756" spans="1:7" x14ac:dyDescent="0.15">
      <c r="A756" t="s">
        <v>792</v>
      </c>
      <c r="B756" s="11">
        <f t="shared" si="11"/>
        <v>2.2360679774997894</v>
      </c>
      <c r="C756">
        <f>SUMIFS('data (1)'!$M:$M,'data (1)'!$A:$A,XYZ!C$1,'data (1)'!$J:$J,XYZ!$A756)</f>
        <v>0</v>
      </c>
      <c r="D756">
        <f>SUMIFS('data (1)'!$M:$M,'data (1)'!$A:$A,XYZ!D$1,'data (1)'!$J:$J,XYZ!$A756)</f>
        <v>0</v>
      </c>
      <c r="E756">
        <f>SUMIFS('data (1)'!$M:$M,'data (1)'!$A:$A,XYZ!E$1,'data (1)'!$J:$J,XYZ!$A756)</f>
        <v>1</v>
      </c>
      <c r="F756">
        <f>SUMIFS('data (1)'!$M:$M,'data (1)'!$A:$A,XYZ!F$1,'data (1)'!$J:$J,XYZ!$A756)</f>
        <v>0</v>
      </c>
      <c r="G756">
        <f>SUMIFS('data (1)'!$M:$M,'data (1)'!$A:$A,XYZ!G$1,'data (1)'!$J:$J,XYZ!$A756)</f>
        <v>0</v>
      </c>
    </row>
    <row r="757" spans="1:7" x14ac:dyDescent="0.15">
      <c r="A757" t="s">
        <v>645</v>
      </c>
      <c r="B757" s="11">
        <f t="shared" si="11"/>
        <v>2.2360679774997894</v>
      </c>
      <c r="C757">
        <f>SUMIFS('data (1)'!$M:$M,'data (1)'!$A:$A,XYZ!C$1,'data (1)'!$J:$J,XYZ!$A757)</f>
        <v>0</v>
      </c>
      <c r="D757">
        <f>SUMIFS('data (1)'!$M:$M,'data (1)'!$A:$A,XYZ!D$1,'data (1)'!$J:$J,XYZ!$A757)</f>
        <v>1</v>
      </c>
      <c r="E757">
        <f>SUMIFS('data (1)'!$M:$M,'data (1)'!$A:$A,XYZ!E$1,'data (1)'!$J:$J,XYZ!$A757)</f>
        <v>0</v>
      </c>
      <c r="F757">
        <f>SUMIFS('data (1)'!$M:$M,'data (1)'!$A:$A,XYZ!F$1,'data (1)'!$J:$J,XYZ!$A757)</f>
        <v>0</v>
      </c>
      <c r="G757">
        <f>SUMIFS('data (1)'!$M:$M,'data (1)'!$A:$A,XYZ!G$1,'data (1)'!$J:$J,XYZ!$A757)</f>
        <v>0</v>
      </c>
    </row>
    <row r="758" spans="1:7" x14ac:dyDescent="0.15">
      <c r="A758" t="s">
        <v>968</v>
      </c>
      <c r="B758" s="11">
        <f t="shared" si="11"/>
        <v>2.2360679774997894</v>
      </c>
      <c r="C758">
        <f>SUMIFS('data (1)'!$M:$M,'data (1)'!$A:$A,XYZ!C$1,'data (1)'!$J:$J,XYZ!$A758)</f>
        <v>0</v>
      </c>
      <c r="D758">
        <f>SUMIFS('data (1)'!$M:$M,'data (1)'!$A:$A,XYZ!D$1,'data (1)'!$J:$J,XYZ!$A758)</f>
        <v>0</v>
      </c>
      <c r="E758">
        <f>SUMIFS('data (1)'!$M:$M,'data (1)'!$A:$A,XYZ!E$1,'data (1)'!$J:$J,XYZ!$A758)</f>
        <v>0</v>
      </c>
      <c r="F758">
        <f>SUMIFS('data (1)'!$M:$M,'data (1)'!$A:$A,XYZ!F$1,'data (1)'!$J:$J,XYZ!$A758)</f>
        <v>1</v>
      </c>
      <c r="G758">
        <f>SUMIFS('data (1)'!$M:$M,'data (1)'!$A:$A,XYZ!G$1,'data (1)'!$J:$J,XYZ!$A758)</f>
        <v>0</v>
      </c>
    </row>
    <row r="759" spans="1:7" x14ac:dyDescent="0.15">
      <c r="A759" t="s">
        <v>507</v>
      </c>
      <c r="B759" s="11">
        <f t="shared" si="11"/>
        <v>2.2360679774997894</v>
      </c>
      <c r="C759">
        <f>SUMIFS('data (1)'!$M:$M,'data (1)'!$A:$A,XYZ!C$1,'data (1)'!$J:$J,XYZ!$A759)</f>
        <v>0</v>
      </c>
      <c r="D759">
        <f>SUMIFS('data (1)'!$M:$M,'data (1)'!$A:$A,XYZ!D$1,'data (1)'!$J:$J,XYZ!$A759)</f>
        <v>1</v>
      </c>
      <c r="E759">
        <f>SUMIFS('data (1)'!$M:$M,'data (1)'!$A:$A,XYZ!E$1,'data (1)'!$J:$J,XYZ!$A759)</f>
        <v>0</v>
      </c>
      <c r="F759">
        <f>SUMIFS('data (1)'!$M:$M,'data (1)'!$A:$A,XYZ!F$1,'data (1)'!$J:$J,XYZ!$A759)</f>
        <v>0</v>
      </c>
      <c r="G759">
        <f>SUMIFS('data (1)'!$M:$M,'data (1)'!$A:$A,XYZ!G$1,'data (1)'!$J:$J,XYZ!$A759)</f>
        <v>0</v>
      </c>
    </row>
    <row r="760" spans="1:7" x14ac:dyDescent="0.15">
      <c r="A760" t="s">
        <v>1048</v>
      </c>
      <c r="B760" s="11">
        <f t="shared" si="11"/>
        <v>2.2360679774997894</v>
      </c>
      <c r="C760">
        <f>SUMIFS('data (1)'!$M:$M,'data (1)'!$A:$A,XYZ!C$1,'data (1)'!$J:$J,XYZ!$A760)</f>
        <v>0</v>
      </c>
      <c r="D760">
        <f>SUMIFS('data (1)'!$M:$M,'data (1)'!$A:$A,XYZ!D$1,'data (1)'!$J:$J,XYZ!$A760)</f>
        <v>0</v>
      </c>
      <c r="E760">
        <f>SUMIFS('data (1)'!$M:$M,'data (1)'!$A:$A,XYZ!E$1,'data (1)'!$J:$J,XYZ!$A760)</f>
        <v>0</v>
      </c>
      <c r="F760">
        <f>SUMIFS('data (1)'!$M:$M,'data (1)'!$A:$A,XYZ!F$1,'data (1)'!$J:$J,XYZ!$A760)</f>
        <v>1</v>
      </c>
      <c r="G760">
        <f>SUMIFS('data (1)'!$M:$M,'data (1)'!$A:$A,XYZ!G$1,'data (1)'!$J:$J,XYZ!$A760)</f>
        <v>0</v>
      </c>
    </row>
    <row r="761" spans="1:7" x14ac:dyDescent="0.15">
      <c r="A761" t="s">
        <v>981</v>
      </c>
      <c r="B761" s="11">
        <f t="shared" si="11"/>
        <v>2.2360679774997894</v>
      </c>
      <c r="C761">
        <f>SUMIFS('data (1)'!$M:$M,'data (1)'!$A:$A,XYZ!C$1,'data (1)'!$J:$J,XYZ!$A761)</f>
        <v>0</v>
      </c>
      <c r="D761">
        <f>SUMIFS('data (1)'!$M:$M,'data (1)'!$A:$A,XYZ!D$1,'data (1)'!$J:$J,XYZ!$A761)</f>
        <v>0</v>
      </c>
      <c r="E761">
        <f>SUMIFS('data (1)'!$M:$M,'data (1)'!$A:$A,XYZ!E$1,'data (1)'!$J:$J,XYZ!$A761)</f>
        <v>0</v>
      </c>
      <c r="F761">
        <f>SUMIFS('data (1)'!$M:$M,'data (1)'!$A:$A,XYZ!F$1,'data (1)'!$J:$J,XYZ!$A761)</f>
        <v>1</v>
      </c>
      <c r="G761">
        <f>SUMIFS('data (1)'!$M:$M,'data (1)'!$A:$A,XYZ!G$1,'data (1)'!$J:$J,XYZ!$A761)</f>
        <v>0</v>
      </c>
    </row>
    <row r="762" spans="1:7" x14ac:dyDescent="0.15">
      <c r="A762" t="s">
        <v>406</v>
      </c>
      <c r="B762" s="11">
        <f t="shared" si="11"/>
        <v>2.2360679774997894</v>
      </c>
      <c r="C762">
        <f>SUMIFS('data (1)'!$M:$M,'data (1)'!$A:$A,XYZ!C$1,'data (1)'!$J:$J,XYZ!$A762)</f>
        <v>1</v>
      </c>
      <c r="D762">
        <f>SUMIFS('data (1)'!$M:$M,'data (1)'!$A:$A,XYZ!D$1,'data (1)'!$J:$J,XYZ!$A762)</f>
        <v>0</v>
      </c>
      <c r="E762">
        <f>SUMIFS('data (1)'!$M:$M,'data (1)'!$A:$A,XYZ!E$1,'data (1)'!$J:$J,XYZ!$A762)</f>
        <v>0</v>
      </c>
      <c r="F762">
        <f>SUMIFS('data (1)'!$M:$M,'data (1)'!$A:$A,XYZ!F$1,'data (1)'!$J:$J,XYZ!$A762)</f>
        <v>0</v>
      </c>
      <c r="G762">
        <f>SUMIFS('data (1)'!$M:$M,'data (1)'!$A:$A,XYZ!G$1,'data (1)'!$J:$J,XYZ!$A762)</f>
        <v>0</v>
      </c>
    </row>
    <row r="763" spans="1:7" x14ac:dyDescent="0.15">
      <c r="A763" t="s">
        <v>234</v>
      </c>
      <c r="B763" s="11">
        <f t="shared" si="11"/>
        <v>2.2360679774997894</v>
      </c>
      <c r="C763">
        <f>SUMIFS('data (1)'!$M:$M,'data (1)'!$A:$A,XYZ!C$1,'data (1)'!$J:$J,XYZ!$A763)</f>
        <v>1</v>
      </c>
      <c r="D763">
        <f>SUMIFS('data (1)'!$M:$M,'data (1)'!$A:$A,XYZ!D$1,'data (1)'!$J:$J,XYZ!$A763)</f>
        <v>0</v>
      </c>
      <c r="E763">
        <f>SUMIFS('data (1)'!$M:$M,'data (1)'!$A:$A,XYZ!E$1,'data (1)'!$J:$J,XYZ!$A763)</f>
        <v>0</v>
      </c>
      <c r="F763">
        <f>SUMIFS('data (1)'!$M:$M,'data (1)'!$A:$A,XYZ!F$1,'data (1)'!$J:$J,XYZ!$A763)</f>
        <v>0</v>
      </c>
      <c r="G763">
        <f>SUMIFS('data (1)'!$M:$M,'data (1)'!$A:$A,XYZ!G$1,'data (1)'!$J:$J,XYZ!$A763)</f>
        <v>0</v>
      </c>
    </row>
    <row r="764" spans="1:7" x14ac:dyDescent="0.15">
      <c r="A764" t="s">
        <v>593</v>
      </c>
      <c r="B764" s="11">
        <f t="shared" si="11"/>
        <v>2.2360679774997894</v>
      </c>
      <c r="C764">
        <f>SUMIFS('data (1)'!$M:$M,'data (1)'!$A:$A,XYZ!C$1,'data (1)'!$J:$J,XYZ!$A764)</f>
        <v>0</v>
      </c>
      <c r="D764">
        <f>SUMIFS('data (1)'!$M:$M,'data (1)'!$A:$A,XYZ!D$1,'data (1)'!$J:$J,XYZ!$A764)</f>
        <v>1</v>
      </c>
      <c r="E764">
        <f>SUMIFS('data (1)'!$M:$M,'data (1)'!$A:$A,XYZ!E$1,'data (1)'!$J:$J,XYZ!$A764)</f>
        <v>0</v>
      </c>
      <c r="F764">
        <f>SUMIFS('data (1)'!$M:$M,'data (1)'!$A:$A,XYZ!F$1,'data (1)'!$J:$J,XYZ!$A764)</f>
        <v>0</v>
      </c>
      <c r="G764">
        <f>SUMIFS('data (1)'!$M:$M,'data (1)'!$A:$A,XYZ!G$1,'data (1)'!$J:$J,XYZ!$A764)</f>
        <v>0</v>
      </c>
    </row>
    <row r="765" spans="1:7" x14ac:dyDescent="0.15">
      <c r="A765" t="s">
        <v>637</v>
      </c>
      <c r="B765" s="11">
        <f t="shared" si="11"/>
        <v>2.2360679774997894</v>
      </c>
      <c r="C765">
        <f>SUMIFS('data (1)'!$M:$M,'data (1)'!$A:$A,XYZ!C$1,'data (1)'!$J:$J,XYZ!$A765)</f>
        <v>0</v>
      </c>
      <c r="D765">
        <f>SUMIFS('data (1)'!$M:$M,'data (1)'!$A:$A,XYZ!D$1,'data (1)'!$J:$J,XYZ!$A765)</f>
        <v>1</v>
      </c>
      <c r="E765">
        <f>SUMIFS('data (1)'!$M:$M,'data (1)'!$A:$A,XYZ!E$1,'data (1)'!$J:$J,XYZ!$A765)</f>
        <v>0</v>
      </c>
      <c r="F765">
        <f>SUMIFS('data (1)'!$M:$M,'data (1)'!$A:$A,XYZ!F$1,'data (1)'!$J:$J,XYZ!$A765)</f>
        <v>0</v>
      </c>
      <c r="G765">
        <f>SUMIFS('data (1)'!$M:$M,'data (1)'!$A:$A,XYZ!G$1,'data (1)'!$J:$J,XYZ!$A765)</f>
        <v>0</v>
      </c>
    </row>
    <row r="766" spans="1:7" x14ac:dyDescent="0.15">
      <c r="A766" t="s">
        <v>628</v>
      </c>
      <c r="B766" s="11">
        <f t="shared" si="11"/>
        <v>1.6298006013006627</v>
      </c>
      <c r="C766">
        <f>SUMIFS('data (1)'!$M:$M,'data (1)'!$A:$A,XYZ!C$1,'data (1)'!$J:$J,XYZ!$A766)</f>
        <v>0</v>
      </c>
      <c r="D766">
        <f>SUMIFS('data (1)'!$M:$M,'data (1)'!$A:$A,XYZ!D$1,'data (1)'!$J:$J,XYZ!$A766)</f>
        <v>0.2</v>
      </c>
      <c r="E766">
        <f>SUMIFS('data (1)'!$M:$M,'data (1)'!$A:$A,XYZ!E$1,'data (1)'!$J:$J,XYZ!$A766)</f>
        <v>0</v>
      </c>
      <c r="F766">
        <f>SUMIFS('data (1)'!$M:$M,'data (1)'!$A:$A,XYZ!F$1,'data (1)'!$J:$J,XYZ!$A766)</f>
        <v>0</v>
      </c>
      <c r="G766">
        <f>SUMIFS('data (1)'!$M:$M,'data (1)'!$A:$A,XYZ!G$1,'data (1)'!$J:$J,XYZ!$A766)</f>
        <v>0.60000000000000009</v>
      </c>
    </row>
    <row r="767" spans="1:7" x14ac:dyDescent="0.15">
      <c r="A767" t="s">
        <v>356</v>
      </c>
      <c r="B767" s="11">
        <f t="shared" si="11"/>
        <v>2.2360679774997898</v>
      </c>
      <c r="C767">
        <f>SUMIFS('data (1)'!$M:$M,'data (1)'!$A:$A,XYZ!C$1,'data (1)'!$J:$J,XYZ!$A767)</f>
        <v>0.7</v>
      </c>
      <c r="D767">
        <f>SUMIFS('data (1)'!$M:$M,'data (1)'!$A:$A,XYZ!D$1,'data (1)'!$J:$J,XYZ!$A767)</f>
        <v>0</v>
      </c>
      <c r="E767">
        <f>SUMIFS('data (1)'!$M:$M,'data (1)'!$A:$A,XYZ!E$1,'data (1)'!$J:$J,XYZ!$A767)</f>
        <v>0</v>
      </c>
      <c r="F767">
        <f>SUMIFS('data (1)'!$M:$M,'data (1)'!$A:$A,XYZ!F$1,'data (1)'!$J:$J,XYZ!$A767)</f>
        <v>0</v>
      </c>
      <c r="G767">
        <f>SUMIFS('data (1)'!$M:$M,'data (1)'!$A:$A,XYZ!G$1,'data (1)'!$J:$J,XYZ!$A767)</f>
        <v>0</v>
      </c>
    </row>
    <row r="768" spans="1:7" x14ac:dyDescent="0.15">
      <c r="A768" t="s">
        <v>718</v>
      </c>
      <c r="B768" s="11">
        <f t="shared" si="11"/>
        <v>2.2360679774997898</v>
      </c>
      <c r="C768">
        <f>SUMIFS('data (1)'!$M:$M,'data (1)'!$A:$A,XYZ!C$1,'data (1)'!$J:$J,XYZ!$A768)</f>
        <v>0</v>
      </c>
      <c r="D768">
        <f>SUMIFS('data (1)'!$M:$M,'data (1)'!$A:$A,XYZ!D$1,'data (1)'!$J:$J,XYZ!$A768)</f>
        <v>0</v>
      </c>
      <c r="E768">
        <f>SUMIFS('data (1)'!$M:$M,'data (1)'!$A:$A,XYZ!E$1,'data (1)'!$J:$J,XYZ!$A768)</f>
        <v>0.66666665999999997</v>
      </c>
      <c r="F768">
        <f>SUMIFS('data (1)'!$M:$M,'data (1)'!$A:$A,XYZ!F$1,'data (1)'!$J:$J,XYZ!$A768)</f>
        <v>0</v>
      </c>
      <c r="G768">
        <f>SUMIFS('data (1)'!$M:$M,'data (1)'!$A:$A,XYZ!G$1,'data (1)'!$J:$J,XYZ!$A768)</f>
        <v>0</v>
      </c>
    </row>
    <row r="769" spans="1:7" x14ac:dyDescent="0.15">
      <c r="A769" t="s">
        <v>331</v>
      </c>
      <c r="B769" s="11">
        <f t="shared" si="11"/>
        <v>1.2247447189789382</v>
      </c>
      <c r="C769">
        <f>SUMIFS('data (1)'!$M:$M,'data (1)'!$A:$A,XYZ!C$1,'data (1)'!$J:$J,XYZ!$A769)</f>
        <v>0.1071429</v>
      </c>
      <c r="D769">
        <f>SUMIFS('data (1)'!$M:$M,'data (1)'!$A:$A,XYZ!D$1,'data (1)'!$J:$J,XYZ!$A769)</f>
        <v>0.1071429</v>
      </c>
      <c r="E769">
        <f>SUMIFS('data (1)'!$M:$M,'data (1)'!$A:$A,XYZ!E$1,'data (1)'!$J:$J,XYZ!$A769)</f>
        <v>0.32142860000000001</v>
      </c>
      <c r="F769">
        <f>SUMIFS('data (1)'!$M:$M,'data (1)'!$A:$A,XYZ!F$1,'data (1)'!$J:$J,XYZ!$A769)</f>
        <v>0</v>
      </c>
      <c r="G769">
        <f>SUMIFS('data (1)'!$M:$M,'data (1)'!$A:$A,XYZ!G$1,'data (1)'!$J:$J,XYZ!$A769)</f>
        <v>0</v>
      </c>
    </row>
    <row r="770" spans="1:7" x14ac:dyDescent="0.15">
      <c r="A770" t="s">
        <v>868</v>
      </c>
      <c r="B770" s="11">
        <f t="shared" si="11"/>
        <v>2.2360679774997894</v>
      </c>
      <c r="C770">
        <f>SUMIFS('data (1)'!$M:$M,'data (1)'!$A:$A,XYZ!C$1,'data (1)'!$J:$J,XYZ!$A770)</f>
        <v>0</v>
      </c>
      <c r="D770">
        <f>SUMIFS('data (1)'!$M:$M,'data (1)'!$A:$A,XYZ!D$1,'data (1)'!$J:$J,XYZ!$A770)</f>
        <v>0</v>
      </c>
      <c r="E770">
        <f>SUMIFS('data (1)'!$M:$M,'data (1)'!$A:$A,XYZ!E$1,'data (1)'!$J:$J,XYZ!$A770)</f>
        <v>0.5</v>
      </c>
      <c r="F770">
        <f>SUMIFS('data (1)'!$M:$M,'data (1)'!$A:$A,XYZ!F$1,'data (1)'!$J:$J,XYZ!$A770)</f>
        <v>0</v>
      </c>
      <c r="G770">
        <f>SUMIFS('data (1)'!$M:$M,'data (1)'!$A:$A,XYZ!G$1,'data (1)'!$J:$J,XYZ!$A770)</f>
        <v>0</v>
      </c>
    </row>
    <row r="771" spans="1:7" x14ac:dyDescent="0.15">
      <c r="A771" t="s">
        <v>719</v>
      </c>
      <c r="B771" s="11">
        <f t="shared" ref="B771:B804" si="12">_xlfn.STDEV.S(C771:G771)/AVERAGE(C771:G771)</f>
        <v>2.2360679774997894</v>
      </c>
      <c r="C771">
        <f>SUMIFS('data (1)'!$M:$M,'data (1)'!$A:$A,XYZ!C$1,'data (1)'!$J:$J,XYZ!$A771)</f>
        <v>0</v>
      </c>
      <c r="D771">
        <f>SUMIFS('data (1)'!$M:$M,'data (1)'!$A:$A,XYZ!D$1,'data (1)'!$J:$J,XYZ!$A771)</f>
        <v>0</v>
      </c>
      <c r="E771">
        <f>SUMIFS('data (1)'!$M:$M,'data (1)'!$A:$A,XYZ!E$1,'data (1)'!$J:$J,XYZ!$A771)</f>
        <v>0.5</v>
      </c>
      <c r="F771">
        <f>SUMIFS('data (1)'!$M:$M,'data (1)'!$A:$A,XYZ!F$1,'data (1)'!$J:$J,XYZ!$A771)</f>
        <v>0</v>
      </c>
      <c r="G771">
        <f>SUMIFS('data (1)'!$M:$M,'data (1)'!$A:$A,XYZ!G$1,'data (1)'!$J:$J,XYZ!$A771)</f>
        <v>0</v>
      </c>
    </row>
    <row r="772" spans="1:7" x14ac:dyDescent="0.15">
      <c r="A772" t="s">
        <v>605</v>
      </c>
      <c r="B772" s="11">
        <f t="shared" si="12"/>
        <v>1.3693063937629151</v>
      </c>
      <c r="C772">
        <f>SUMIFS('data (1)'!$M:$M,'data (1)'!$A:$A,XYZ!C$1,'data (1)'!$J:$J,XYZ!$A772)</f>
        <v>0</v>
      </c>
      <c r="D772">
        <f>SUMIFS('data (1)'!$M:$M,'data (1)'!$A:$A,XYZ!D$1,'data (1)'!$J:$J,XYZ!$A772)</f>
        <v>0.25</v>
      </c>
      <c r="E772">
        <f>SUMIFS('data (1)'!$M:$M,'data (1)'!$A:$A,XYZ!E$1,'data (1)'!$J:$J,XYZ!$A772)</f>
        <v>0.25</v>
      </c>
      <c r="F772">
        <f>SUMIFS('data (1)'!$M:$M,'data (1)'!$A:$A,XYZ!F$1,'data (1)'!$J:$J,XYZ!$A772)</f>
        <v>0</v>
      </c>
      <c r="G772">
        <f>SUMIFS('data (1)'!$M:$M,'data (1)'!$A:$A,XYZ!G$1,'data (1)'!$J:$J,XYZ!$A772)</f>
        <v>0</v>
      </c>
    </row>
    <row r="773" spans="1:7" x14ac:dyDescent="0.15">
      <c r="A773" t="s">
        <v>376</v>
      </c>
      <c r="B773" s="11">
        <f t="shared" si="12"/>
        <v>2.2360679774997894</v>
      </c>
      <c r="C773">
        <f>SUMIFS('data (1)'!$M:$M,'data (1)'!$A:$A,XYZ!C$1,'data (1)'!$J:$J,XYZ!$A773)</f>
        <v>0.33333333999999998</v>
      </c>
      <c r="D773">
        <f>SUMIFS('data (1)'!$M:$M,'data (1)'!$A:$A,XYZ!D$1,'data (1)'!$J:$J,XYZ!$A773)</f>
        <v>0</v>
      </c>
      <c r="E773">
        <f>SUMIFS('data (1)'!$M:$M,'data (1)'!$A:$A,XYZ!E$1,'data (1)'!$J:$J,XYZ!$A773)</f>
        <v>0</v>
      </c>
      <c r="F773">
        <f>SUMIFS('data (1)'!$M:$M,'data (1)'!$A:$A,XYZ!F$1,'data (1)'!$J:$J,XYZ!$A773)</f>
        <v>0</v>
      </c>
      <c r="G773">
        <f>SUMIFS('data (1)'!$M:$M,'data (1)'!$A:$A,XYZ!G$1,'data (1)'!$J:$J,XYZ!$A773)</f>
        <v>0</v>
      </c>
    </row>
    <row r="774" spans="1:7" x14ac:dyDescent="0.15">
      <c r="A774" t="s">
        <v>1220</v>
      </c>
      <c r="B774" s="11">
        <f t="shared" si="12"/>
        <v>2.2360679774997894</v>
      </c>
      <c r="C774">
        <f>SUMIFS('data (1)'!$M:$M,'data (1)'!$A:$A,XYZ!C$1,'data (1)'!$J:$J,XYZ!$A774)</f>
        <v>0</v>
      </c>
      <c r="D774">
        <f>SUMIFS('data (1)'!$M:$M,'data (1)'!$A:$A,XYZ!D$1,'data (1)'!$J:$J,XYZ!$A774)</f>
        <v>0</v>
      </c>
      <c r="E774">
        <f>SUMIFS('data (1)'!$M:$M,'data (1)'!$A:$A,XYZ!E$1,'data (1)'!$J:$J,XYZ!$A774)</f>
        <v>0</v>
      </c>
      <c r="F774">
        <f>SUMIFS('data (1)'!$M:$M,'data (1)'!$A:$A,XYZ!F$1,'data (1)'!$J:$J,XYZ!$A774)</f>
        <v>0</v>
      </c>
      <c r="G774">
        <f>SUMIFS('data (1)'!$M:$M,'data (1)'!$A:$A,XYZ!G$1,'data (1)'!$J:$J,XYZ!$A774)</f>
        <v>0.33333333999999998</v>
      </c>
    </row>
    <row r="775" spans="1:7" x14ac:dyDescent="0.15">
      <c r="A775" t="s">
        <v>1021</v>
      </c>
      <c r="B775" s="11">
        <f t="shared" si="12"/>
        <v>2.2360679774997898</v>
      </c>
      <c r="C775">
        <f>SUMIFS('data (1)'!$M:$M,'data (1)'!$A:$A,XYZ!C$1,'data (1)'!$J:$J,XYZ!$A775)</f>
        <v>0</v>
      </c>
      <c r="D775">
        <f>SUMIFS('data (1)'!$M:$M,'data (1)'!$A:$A,XYZ!D$1,'data (1)'!$J:$J,XYZ!$A775)</f>
        <v>0</v>
      </c>
      <c r="E775">
        <f>SUMIFS('data (1)'!$M:$M,'data (1)'!$A:$A,XYZ!E$1,'data (1)'!$J:$J,XYZ!$A775)</f>
        <v>0</v>
      </c>
      <c r="F775">
        <f>SUMIFS('data (1)'!$M:$M,'data (1)'!$A:$A,XYZ!F$1,'data (1)'!$J:$J,XYZ!$A775)</f>
        <v>0.33333332999999998</v>
      </c>
      <c r="G775">
        <f>SUMIFS('data (1)'!$M:$M,'data (1)'!$A:$A,XYZ!G$1,'data (1)'!$J:$J,XYZ!$A775)</f>
        <v>0</v>
      </c>
    </row>
    <row r="776" spans="1:7" x14ac:dyDescent="0.15">
      <c r="A776" t="s">
        <v>921</v>
      </c>
      <c r="B776" s="11">
        <f t="shared" si="12"/>
        <v>2.2360679774997898</v>
      </c>
      <c r="C776">
        <f>SUMIFS('data (1)'!$M:$M,'data (1)'!$A:$A,XYZ!C$1,'data (1)'!$J:$J,XYZ!$A776)</f>
        <v>0</v>
      </c>
      <c r="D776">
        <f>SUMIFS('data (1)'!$M:$M,'data (1)'!$A:$A,XYZ!D$1,'data (1)'!$J:$J,XYZ!$A776)</f>
        <v>0</v>
      </c>
      <c r="E776">
        <f>SUMIFS('data (1)'!$M:$M,'data (1)'!$A:$A,XYZ!E$1,'data (1)'!$J:$J,XYZ!$A776)</f>
        <v>0.33333332999999998</v>
      </c>
      <c r="F776">
        <f>SUMIFS('data (1)'!$M:$M,'data (1)'!$A:$A,XYZ!F$1,'data (1)'!$J:$J,XYZ!$A776)</f>
        <v>0</v>
      </c>
      <c r="G776">
        <f>SUMIFS('data (1)'!$M:$M,'data (1)'!$A:$A,XYZ!G$1,'data (1)'!$J:$J,XYZ!$A776)</f>
        <v>0</v>
      </c>
    </row>
    <row r="777" spans="1:7" x14ac:dyDescent="0.15">
      <c r="A777" t="s">
        <v>1218</v>
      </c>
      <c r="B777" s="11">
        <f t="shared" si="12"/>
        <v>2.2360679774997898</v>
      </c>
      <c r="C777">
        <f>SUMIFS('data (1)'!$M:$M,'data (1)'!$A:$A,XYZ!C$1,'data (1)'!$J:$J,XYZ!$A777)</f>
        <v>0</v>
      </c>
      <c r="D777">
        <f>SUMIFS('data (1)'!$M:$M,'data (1)'!$A:$A,XYZ!D$1,'data (1)'!$J:$J,XYZ!$A777)</f>
        <v>0</v>
      </c>
      <c r="E777">
        <f>SUMIFS('data (1)'!$M:$M,'data (1)'!$A:$A,XYZ!E$1,'data (1)'!$J:$J,XYZ!$A777)</f>
        <v>0</v>
      </c>
      <c r="F777">
        <f>SUMIFS('data (1)'!$M:$M,'data (1)'!$A:$A,XYZ!F$1,'data (1)'!$J:$J,XYZ!$A777)</f>
        <v>0</v>
      </c>
      <c r="G777">
        <f>SUMIFS('data (1)'!$M:$M,'data (1)'!$A:$A,XYZ!G$1,'data (1)'!$J:$J,XYZ!$A777)</f>
        <v>0.33333332999999998</v>
      </c>
    </row>
    <row r="778" spans="1:7" x14ac:dyDescent="0.15">
      <c r="A778" t="s">
        <v>1085</v>
      </c>
      <c r="B778" s="11">
        <f t="shared" si="12"/>
        <v>2.2360679774997898</v>
      </c>
      <c r="C778">
        <f>SUMIFS('data (1)'!$M:$M,'data (1)'!$A:$A,XYZ!C$1,'data (1)'!$J:$J,XYZ!$A778)</f>
        <v>0</v>
      </c>
      <c r="D778">
        <f>SUMIFS('data (1)'!$M:$M,'data (1)'!$A:$A,XYZ!D$1,'data (1)'!$J:$J,XYZ!$A778)</f>
        <v>0</v>
      </c>
      <c r="E778">
        <f>SUMIFS('data (1)'!$M:$M,'data (1)'!$A:$A,XYZ!E$1,'data (1)'!$J:$J,XYZ!$A778)</f>
        <v>0</v>
      </c>
      <c r="F778">
        <f>SUMIFS('data (1)'!$M:$M,'data (1)'!$A:$A,XYZ!F$1,'data (1)'!$J:$J,XYZ!$A778)</f>
        <v>0</v>
      </c>
      <c r="G778">
        <f>SUMIFS('data (1)'!$M:$M,'data (1)'!$A:$A,XYZ!G$1,'data (1)'!$J:$J,XYZ!$A778)</f>
        <v>0.33333332999999998</v>
      </c>
    </row>
    <row r="779" spans="1:7" x14ac:dyDescent="0.15">
      <c r="A779" t="s">
        <v>894</v>
      </c>
      <c r="B779" s="11">
        <f t="shared" si="12"/>
        <v>2.2360679774997898</v>
      </c>
      <c r="C779">
        <f>SUMIFS('data (1)'!$M:$M,'data (1)'!$A:$A,XYZ!C$1,'data (1)'!$J:$J,XYZ!$A779)</f>
        <v>0</v>
      </c>
      <c r="D779">
        <f>SUMIFS('data (1)'!$M:$M,'data (1)'!$A:$A,XYZ!D$1,'data (1)'!$J:$J,XYZ!$A779)</f>
        <v>0</v>
      </c>
      <c r="E779">
        <f>SUMIFS('data (1)'!$M:$M,'data (1)'!$A:$A,XYZ!E$1,'data (1)'!$J:$J,XYZ!$A779)</f>
        <v>0.33333332999999998</v>
      </c>
      <c r="F779">
        <f>SUMIFS('data (1)'!$M:$M,'data (1)'!$A:$A,XYZ!F$1,'data (1)'!$J:$J,XYZ!$A779)</f>
        <v>0</v>
      </c>
      <c r="G779">
        <f>SUMIFS('data (1)'!$M:$M,'data (1)'!$A:$A,XYZ!G$1,'data (1)'!$J:$J,XYZ!$A779)</f>
        <v>0</v>
      </c>
    </row>
    <row r="780" spans="1:7" x14ac:dyDescent="0.15">
      <c r="A780" t="s">
        <v>682</v>
      </c>
      <c r="B780" s="11">
        <f t="shared" si="12"/>
        <v>2.2360679774997898</v>
      </c>
      <c r="C780">
        <f>SUMIFS('data (1)'!$M:$M,'data (1)'!$A:$A,XYZ!C$1,'data (1)'!$J:$J,XYZ!$A780)</f>
        <v>0</v>
      </c>
      <c r="D780">
        <f>SUMIFS('data (1)'!$M:$M,'data (1)'!$A:$A,XYZ!D$1,'data (1)'!$J:$J,XYZ!$A780)</f>
        <v>0.33333332999999998</v>
      </c>
      <c r="E780">
        <f>SUMIFS('data (1)'!$M:$M,'data (1)'!$A:$A,XYZ!E$1,'data (1)'!$J:$J,XYZ!$A780)</f>
        <v>0</v>
      </c>
      <c r="F780">
        <f>SUMIFS('data (1)'!$M:$M,'data (1)'!$A:$A,XYZ!F$1,'data (1)'!$J:$J,XYZ!$A780)</f>
        <v>0</v>
      </c>
      <c r="G780">
        <f>SUMIFS('data (1)'!$M:$M,'data (1)'!$A:$A,XYZ!G$1,'data (1)'!$J:$J,XYZ!$A780)</f>
        <v>0</v>
      </c>
    </row>
    <row r="781" spans="1:7" x14ac:dyDescent="0.15">
      <c r="A781" t="s">
        <v>540</v>
      </c>
      <c r="B781" s="11">
        <f t="shared" si="12"/>
        <v>2.2360679774997894</v>
      </c>
      <c r="C781">
        <f>SUMIFS('data (1)'!$M:$M,'data (1)'!$A:$A,XYZ!C$1,'data (1)'!$J:$J,XYZ!$A781)</f>
        <v>0</v>
      </c>
      <c r="D781">
        <f>SUMIFS('data (1)'!$M:$M,'data (1)'!$A:$A,XYZ!D$1,'data (1)'!$J:$J,XYZ!$A781)</f>
        <v>0.30000000000000004</v>
      </c>
      <c r="E781">
        <f>SUMIFS('data (1)'!$M:$M,'data (1)'!$A:$A,XYZ!E$1,'data (1)'!$J:$J,XYZ!$A781)</f>
        <v>0</v>
      </c>
      <c r="F781">
        <f>SUMIFS('data (1)'!$M:$M,'data (1)'!$A:$A,XYZ!F$1,'data (1)'!$J:$J,XYZ!$A781)</f>
        <v>0</v>
      </c>
      <c r="G781">
        <f>SUMIFS('data (1)'!$M:$M,'data (1)'!$A:$A,XYZ!G$1,'data (1)'!$J:$J,XYZ!$A781)</f>
        <v>0</v>
      </c>
    </row>
    <row r="782" spans="1:7" x14ac:dyDescent="0.15">
      <c r="A782" t="s">
        <v>960</v>
      </c>
      <c r="B782" s="11">
        <f t="shared" si="12"/>
        <v>2.2360679774997894</v>
      </c>
      <c r="C782">
        <f>SUMIFS('data (1)'!$M:$M,'data (1)'!$A:$A,XYZ!C$1,'data (1)'!$J:$J,XYZ!$A782)</f>
        <v>0</v>
      </c>
      <c r="D782">
        <f>SUMIFS('data (1)'!$M:$M,'data (1)'!$A:$A,XYZ!D$1,'data (1)'!$J:$J,XYZ!$A782)</f>
        <v>0</v>
      </c>
      <c r="E782">
        <f>SUMIFS('data (1)'!$M:$M,'data (1)'!$A:$A,XYZ!E$1,'data (1)'!$J:$J,XYZ!$A782)</f>
        <v>0</v>
      </c>
      <c r="F782">
        <f>SUMIFS('data (1)'!$M:$M,'data (1)'!$A:$A,XYZ!F$1,'data (1)'!$J:$J,XYZ!$A782)</f>
        <v>0.28000000000000003</v>
      </c>
      <c r="G782">
        <f>SUMIFS('data (1)'!$M:$M,'data (1)'!$A:$A,XYZ!G$1,'data (1)'!$J:$J,XYZ!$A782)</f>
        <v>0</v>
      </c>
    </row>
    <row r="783" spans="1:7" x14ac:dyDescent="0.15">
      <c r="A783" t="s">
        <v>826</v>
      </c>
      <c r="B783" s="11">
        <f t="shared" si="12"/>
        <v>2.2360679774997894</v>
      </c>
      <c r="C783">
        <f>SUMIFS('data (1)'!$M:$M,'data (1)'!$A:$A,XYZ!C$1,'data (1)'!$J:$J,XYZ!$A783)</f>
        <v>0</v>
      </c>
      <c r="D783">
        <f>SUMIFS('data (1)'!$M:$M,'data (1)'!$A:$A,XYZ!D$1,'data (1)'!$J:$J,XYZ!$A783)</f>
        <v>0</v>
      </c>
      <c r="E783">
        <f>SUMIFS('data (1)'!$M:$M,'data (1)'!$A:$A,XYZ!E$1,'data (1)'!$J:$J,XYZ!$A783)</f>
        <v>0.24</v>
      </c>
      <c r="F783">
        <f>SUMIFS('data (1)'!$M:$M,'data (1)'!$A:$A,XYZ!F$1,'data (1)'!$J:$J,XYZ!$A783)</f>
        <v>0</v>
      </c>
      <c r="G783">
        <f>SUMIFS('data (1)'!$M:$M,'data (1)'!$A:$A,XYZ!G$1,'data (1)'!$J:$J,XYZ!$A783)</f>
        <v>0</v>
      </c>
    </row>
    <row r="784" spans="1:7" x14ac:dyDescent="0.15">
      <c r="A784" t="s">
        <v>203</v>
      </c>
      <c r="B784" s="11">
        <f t="shared" si="12"/>
        <v>2.2360679774997898</v>
      </c>
      <c r="C784">
        <f>SUMIFS('data (1)'!$M:$M,'data (1)'!$A:$A,XYZ!C$1,'data (1)'!$J:$J,XYZ!$A784)</f>
        <v>0.21428570999999999</v>
      </c>
      <c r="D784">
        <f>SUMIFS('data (1)'!$M:$M,'data (1)'!$A:$A,XYZ!D$1,'data (1)'!$J:$J,XYZ!$A784)</f>
        <v>0</v>
      </c>
      <c r="E784">
        <f>SUMIFS('data (1)'!$M:$M,'data (1)'!$A:$A,XYZ!E$1,'data (1)'!$J:$J,XYZ!$A784)</f>
        <v>0</v>
      </c>
      <c r="F784">
        <f>SUMIFS('data (1)'!$M:$M,'data (1)'!$A:$A,XYZ!F$1,'data (1)'!$J:$J,XYZ!$A784)</f>
        <v>0</v>
      </c>
      <c r="G784">
        <f>SUMIFS('data (1)'!$M:$M,'data (1)'!$A:$A,XYZ!G$1,'data (1)'!$J:$J,XYZ!$A784)</f>
        <v>0</v>
      </c>
    </row>
    <row r="785" spans="1:7" x14ac:dyDescent="0.15">
      <c r="A785" t="s">
        <v>1186</v>
      </c>
      <c r="B785" s="11">
        <f t="shared" si="12"/>
        <v>2.2360679774997898</v>
      </c>
      <c r="C785">
        <f>SUMIFS('data (1)'!$M:$M,'data (1)'!$A:$A,XYZ!C$1,'data (1)'!$J:$J,XYZ!$A785)</f>
        <v>0</v>
      </c>
      <c r="D785">
        <f>SUMIFS('data (1)'!$M:$M,'data (1)'!$A:$A,XYZ!D$1,'data (1)'!$J:$J,XYZ!$A785)</f>
        <v>0</v>
      </c>
      <c r="E785">
        <f>SUMIFS('data (1)'!$M:$M,'data (1)'!$A:$A,XYZ!E$1,'data (1)'!$J:$J,XYZ!$A785)</f>
        <v>0</v>
      </c>
      <c r="F785">
        <f>SUMIFS('data (1)'!$M:$M,'data (1)'!$A:$A,XYZ!F$1,'data (1)'!$J:$J,XYZ!$A785)</f>
        <v>0</v>
      </c>
      <c r="G785">
        <f>SUMIFS('data (1)'!$M:$M,'data (1)'!$A:$A,XYZ!G$1,'data (1)'!$J:$J,XYZ!$A785)</f>
        <v>0.2</v>
      </c>
    </row>
    <row r="786" spans="1:7" x14ac:dyDescent="0.15">
      <c r="A786" t="s">
        <v>1182</v>
      </c>
      <c r="B786" s="11">
        <f t="shared" si="12"/>
        <v>2.2360679774997898</v>
      </c>
      <c r="C786">
        <f>SUMIFS('data (1)'!$M:$M,'data (1)'!$A:$A,XYZ!C$1,'data (1)'!$J:$J,XYZ!$A786)</f>
        <v>0</v>
      </c>
      <c r="D786">
        <f>SUMIFS('data (1)'!$M:$M,'data (1)'!$A:$A,XYZ!D$1,'data (1)'!$J:$J,XYZ!$A786)</f>
        <v>0</v>
      </c>
      <c r="E786">
        <f>SUMIFS('data (1)'!$M:$M,'data (1)'!$A:$A,XYZ!E$1,'data (1)'!$J:$J,XYZ!$A786)</f>
        <v>0</v>
      </c>
      <c r="F786">
        <f>SUMIFS('data (1)'!$M:$M,'data (1)'!$A:$A,XYZ!F$1,'data (1)'!$J:$J,XYZ!$A786)</f>
        <v>0</v>
      </c>
      <c r="G786">
        <f>SUMIFS('data (1)'!$M:$M,'data (1)'!$A:$A,XYZ!G$1,'data (1)'!$J:$J,XYZ!$A786)</f>
        <v>0.2</v>
      </c>
    </row>
    <row r="787" spans="1:7" x14ac:dyDescent="0.15">
      <c r="A787" t="s">
        <v>935</v>
      </c>
      <c r="B787" s="11">
        <f t="shared" si="12"/>
        <v>2.2360679774997898</v>
      </c>
      <c r="C787">
        <f>SUMIFS('data (1)'!$M:$M,'data (1)'!$A:$A,XYZ!C$1,'data (1)'!$J:$J,XYZ!$A787)</f>
        <v>0</v>
      </c>
      <c r="D787">
        <f>SUMIFS('data (1)'!$M:$M,'data (1)'!$A:$A,XYZ!D$1,'data (1)'!$J:$J,XYZ!$A787)</f>
        <v>0</v>
      </c>
      <c r="E787">
        <f>SUMIFS('data (1)'!$M:$M,'data (1)'!$A:$A,XYZ!E$1,'data (1)'!$J:$J,XYZ!$A787)</f>
        <v>0</v>
      </c>
      <c r="F787">
        <f>SUMIFS('data (1)'!$M:$M,'data (1)'!$A:$A,XYZ!F$1,'data (1)'!$J:$J,XYZ!$A787)</f>
        <v>0.2</v>
      </c>
      <c r="G787">
        <f>SUMIFS('data (1)'!$M:$M,'data (1)'!$A:$A,XYZ!G$1,'data (1)'!$J:$J,XYZ!$A787)</f>
        <v>0</v>
      </c>
    </row>
    <row r="788" spans="1:7" x14ac:dyDescent="0.15">
      <c r="A788" t="s">
        <v>973</v>
      </c>
      <c r="B788" s="11">
        <f t="shared" si="12"/>
        <v>2.2360679774997898</v>
      </c>
      <c r="C788">
        <f>SUMIFS('data (1)'!$M:$M,'data (1)'!$A:$A,XYZ!C$1,'data (1)'!$J:$J,XYZ!$A788)</f>
        <v>0</v>
      </c>
      <c r="D788">
        <f>SUMIFS('data (1)'!$M:$M,'data (1)'!$A:$A,XYZ!D$1,'data (1)'!$J:$J,XYZ!$A788)</f>
        <v>0</v>
      </c>
      <c r="E788">
        <f>SUMIFS('data (1)'!$M:$M,'data (1)'!$A:$A,XYZ!E$1,'data (1)'!$J:$J,XYZ!$A788)</f>
        <v>0</v>
      </c>
      <c r="F788">
        <f>SUMIFS('data (1)'!$M:$M,'data (1)'!$A:$A,XYZ!F$1,'data (1)'!$J:$J,XYZ!$A788)</f>
        <v>0.2</v>
      </c>
      <c r="G788">
        <f>SUMIFS('data (1)'!$M:$M,'data (1)'!$A:$A,XYZ!G$1,'data (1)'!$J:$J,XYZ!$A788)</f>
        <v>0</v>
      </c>
    </row>
    <row r="789" spans="1:7" x14ac:dyDescent="0.15">
      <c r="A789" t="s">
        <v>1081</v>
      </c>
      <c r="B789" s="11">
        <f t="shared" si="12"/>
        <v>2.2360679774997898</v>
      </c>
      <c r="C789">
        <f>SUMIFS('data (1)'!$M:$M,'data (1)'!$A:$A,XYZ!C$1,'data (1)'!$J:$J,XYZ!$A789)</f>
        <v>0</v>
      </c>
      <c r="D789">
        <f>SUMIFS('data (1)'!$M:$M,'data (1)'!$A:$A,XYZ!D$1,'data (1)'!$J:$J,XYZ!$A789)</f>
        <v>0</v>
      </c>
      <c r="E789">
        <f>SUMIFS('data (1)'!$M:$M,'data (1)'!$A:$A,XYZ!E$1,'data (1)'!$J:$J,XYZ!$A789)</f>
        <v>0</v>
      </c>
      <c r="F789">
        <f>SUMIFS('data (1)'!$M:$M,'data (1)'!$A:$A,XYZ!F$1,'data (1)'!$J:$J,XYZ!$A789)</f>
        <v>0</v>
      </c>
      <c r="G789">
        <f>SUMIFS('data (1)'!$M:$M,'data (1)'!$A:$A,XYZ!G$1,'data (1)'!$J:$J,XYZ!$A789)</f>
        <v>0.2</v>
      </c>
    </row>
    <row r="790" spans="1:7" x14ac:dyDescent="0.15">
      <c r="A790" t="s">
        <v>915</v>
      </c>
      <c r="B790" s="11">
        <f t="shared" si="12"/>
        <v>2.2360679774997898</v>
      </c>
      <c r="C790">
        <f>SUMIFS('data (1)'!$M:$M,'data (1)'!$A:$A,XYZ!C$1,'data (1)'!$J:$J,XYZ!$A790)</f>
        <v>0</v>
      </c>
      <c r="D790">
        <f>SUMIFS('data (1)'!$M:$M,'data (1)'!$A:$A,XYZ!D$1,'data (1)'!$J:$J,XYZ!$A790)</f>
        <v>0</v>
      </c>
      <c r="E790">
        <f>SUMIFS('data (1)'!$M:$M,'data (1)'!$A:$A,XYZ!E$1,'data (1)'!$J:$J,XYZ!$A790)</f>
        <v>0.2</v>
      </c>
      <c r="F790">
        <f>SUMIFS('data (1)'!$M:$M,'data (1)'!$A:$A,XYZ!F$1,'data (1)'!$J:$J,XYZ!$A790)</f>
        <v>0</v>
      </c>
      <c r="G790">
        <f>SUMIFS('data (1)'!$M:$M,'data (1)'!$A:$A,XYZ!G$1,'data (1)'!$J:$J,XYZ!$A790)</f>
        <v>0</v>
      </c>
    </row>
    <row r="791" spans="1:7" x14ac:dyDescent="0.15">
      <c r="A791" t="s">
        <v>424</v>
      </c>
      <c r="B791" s="11">
        <f t="shared" si="12"/>
        <v>2.2360679774997898</v>
      </c>
      <c r="C791">
        <f>SUMIFS('data (1)'!$M:$M,'data (1)'!$A:$A,XYZ!C$1,'data (1)'!$J:$J,XYZ!$A791)</f>
        <v>0.2</v>
      </c>
      <c r="D791">
        <f>SUMIFS('data (1)'!$M:$M,'data (1)'!$A:$A,XYZ!D$1,'data (1)'!$J:$J,XYZ!$A791)</f>
        <v>0</v>
      </c>
      <c r="E791">
        <f>SUMIFS('data (1)'!$M:$M,'data (1)'!$A:$A,XYZ!E$1,'data (1)'!$J:$J,XYZ!$A791)</f>
        <v>0</v>
      </c>
      <c r="F791">
        <f>SUMIFS('data (1)'!$M:$M,'data (1)'!$A:$A,XYZ!F$1,'data (1)'!$J:$J,XYZ!$A791)</f>
        <v>0</v>
      </c>
      <c r="G791">
        <f>SUMIFS('data (1)'!$M:$M,'data (1)'!$A:$A,XYZ!G$1,'data (1)'!$J:$J,XYZ!$A791)</f>
        <v>0</v>
      </c>
    </row>
    <row r="792" spans="1:7" x14ac:dyDescent="0.15">
      <c r="A792" t="s">
        <v>657</v>
      </c>
      <c r="B792" s="11">
        <f t="shared" si="12"/>
        <v>2.2360679774997894</v>
      </c>
      <c r="C792">
        <f>SUMIFS('data (1)'!$M:$M,'data (1)'!$A:$A,XYZ!C$1,'data (1)'!$J:$J,XYZ!$A792)</f>
        <v>0</v>
      </c>
      <c r="D792">
        <f>SUMIFS('data (1)'!$M:$M,'data (1)'!$A:$A,XYZ!D$1,'data (1)'!$J:$J,XYZ!$A792)</f>
        <v>0.16666666999999999</v>
      </c>
      <c r="E792">
        <f>SUMIFS('data (1)'!$M:$M,'data (1)'!$A:$A,XYZ!E$1,'data (1)'!$J:$J,XYZ!$A792)</f>
        <v>0</v>
      </c>
      <c r="F792">
        <f>SUMIFS('data (1)'!$M:$M,'data (1)'!$A:$A,XYZ!F$1,'data (1)'!$J:$J,XYZ!$A792)</f>
        <v>0</v>
      </c>
      <c r="G792">
        <f>SUMIFS('data (1)'!$M:$M,'data (1)'!$A:$A,XYZ!G$1,'data (1)'!$J:$J,XYZ!$A792)</f>
        <v>0</v>
      </c>
    </row>
    <row r="793" spans="1:7" x14ac:dyDescent="0.15">
      <c r="A793" t="s">
        <v>317</v>
      </c>
      <c r="B793" s="11">
        <f t="shared" si="12"/>
        <v>2.2360679774997894</v>
      </c>
      <c r="C793">
        <f>SUMIFS('data (1)'!$M:$M,'data (1)'!$A:$A,XYZ!C$1,'data (1)'!$J:$J,XYZ!$A793)</f>
        <v>0.14285713999999999</v>
      </c>
      <c r="D793">
        <f>SUMIFS('data (1)'!$M:$M,'data (1)'!$A:$A,XYZ!D$1,'data (1)'!$J:$J,XYZ!$A793)</f>
        <v>0</v>
      </c>
      <c r="E793">
        <f>SUMIFS('data (1)'!$M:$M,'data (1)'!$A:$A,XYZ!E$1,'data (1)'!$J:$J,XYZ!$A793)</f>
        <v>0</v>
      </c>
      <c r="F793">
        <f>SUMIFS('data (1)'!$M:$M,'data (1)'!$A:$A,XYZ!F$1,'data (1)'!$J:$J,XYZ!$A793)</f>
        <v>0</v>
      </c>
      <c r="G793">
        <f>SUMIFS('data (1)'!$M:$M,'data (1)'!$A:$A,XYZ!G$1,'data (1)'!$J:$J,XYZ!$A793)</f>
        <v>0</v>
      </c>
    </row>
    <row r="794" spans="1:7" x14ac:dyDescent="0.15">
      <c r="A794" t="s">
        <v>803</v>
      </c>
      <c r="B794" s="11">
        <f t="shared" si="12"/>
        <v>2.0422826364993996</v>
      </c>
      <c r="C794">
        <f>SUMIFS('data (1)'!$M:$M,'data (1)'!$A:$A,XYZ!C$1,'data (1)'!$J:$J,XYZ!$A794)</f>
        <v>0</v>
      </c>
      <c r="D794">
        <f>SUMIFS('data (1)'!$M:$M,'data (1)'!$A:$A,XYZ!D$1,'data (1)'!$J:$J,XYZ!$A794)</f>
        <v>0</v>
      </c>
      <c r="E794">
        <f>SUMIFS('data (1)'!$M:$M,'data (1)'!$A:$A,XYZ!E$1,'data (1)'!$J:$J,XYZ!$A794)</f>
        <v>0.01</v>
      </c>
      <c r="F794">
        <f>SUMIFS('data (1)'!$M:$M,'data (1)'!$A:$A,XYZ!F$1,'data (1)'!$J:$J,XYZ!$A794)</f>
        <v>0</v>
      </c>
      <c r="G794">
        <f>SUMIFS('data (1)'!$M:$M,'data (1)'!$A:$A,XYZ!G$1,'data (1)'!$J:$J,XYZ!$A794)</f>
        <v>0.13</v>
      </c>
    </row>
    <row r="795" spans="1:7" x14ac:dyDescent="0.15">
      <c r="A795" t="s">
        <v>809</v>
      </c>
      <c r="B795" s="11">
        <f t="shared" si="12"/>
        <v>2.2360679774997894</v>
      </c>
      <c r="C795">
        <f>SUMIFS('data (1)'!$M:$M,'data (1)'!$A:$A,XYZ!C$1,'data (1)'!$J:$J,XYZ!$A795)</f>
        <v>0</v>
      </c>
      <c r="D795">
        <f>SUMIFS('data (1)'!$M:$M,'data (1)'!$A:$A,XYZ!D$1,'data (1)'!$J:$J,XYZ!$A795)</f>
        <v>0</v>
      </c>
      <c r="E795">
        <f>SUMIFS('data (1)'!$M:$M,'data (1)'!$A:$A,XYZ!E$1,'data (1)'!$J:$J,XYZ!$A795)</f>
        <v>0.12</v>
      </c>
      <c r="F795">
        <f>SUMIFS('data (1)'!$M:$M,'data (1)'!$A:$A,XYZ!F$1,'data (1)'!$J:$J,XYZ!$A795)</f>
        <v>0</v>
      </c>
      <c r="G795">
        <f>SUMIFS('data (1)'!$M:$M,'data (1)'!$A:$A,XYZ!G$1,'data (1)'!$J:$J,XYZ!$A795)</f>
        <v>0</v>
      </c>
    </row>
    <row r="796" spans="1:7" x14ac:dyDescent="0.15">
      <c r="A796" t="s">
        <v>714</v>
      </c>
      <c r="B796" s="11">
        <f t="shared" si="12"/>
        <v>1.3787046261911911</v>
      </c>
      <c r="C796">
        <f>SUMIFS('data (1)'!$M:$M,'data (1)'!$A:$A,XYZ!C$1,'data (1)'!$J:$J,XYZ!$A796)</f>
        <v>0</v>
      </c>
      <c r="D796">
        <f>SUMIFS('data (1)'!$M:$M,'data (1)'!$A:$A,XYZ!D$1,'data (1)'!$J:$J,XYZ!$A796)</f>
        <v>0</v>
      </c>
      <c r="E796">
        <f>SUMIFS('data (1)'!$M:$M,'data (1)'!$A:$A,XYZ!E$1,'data (1)'!$J:$J,XYZ!$A796)</f>
        <v>6.0000000000000005E-2</v>
      </c>
      <c r="F796">
        <f>SUMIFS('data (1)'!$M:$M,'data (1)'!$A:$A,XYZ!F$1,'data (1)'!$J:$J,XYZ!$A796)</f>
        <v>0</v>
      </c>
      <c r="G796">
        <f>SUMIFS('data (1)'!$M:$M,'data (1)'!$A:$A,XYZ!G$1,'data (1)'!$J:$J,XYZ!$A796)</f>
        <v>0.05</v>
      </c>
    </row>
    <row r="797" spans="1:7" x14ac:dyDescent="0.15">
      <c r="A797" t="s">
        <v>804</v>
      </c>
      <c r="B797" s="11">
        <f t="shared" si="12"/>
        <v>2.2360679774997898</v>
      </c>
      <c r="C797">
        <f>SUMIFS('data (1)'!$M:$M,'data (1)'!$A:$A,XYZ!C$1,'data (1)'!$J:$J,XYZ!$A797)</f>
        <v>0</v>
      </c>
      <c r="D797">
        <f>SUMIFS('data (1)'!$M:$M,'data (1)'!$A:$A,XYZ!D$1,'data (1)'!$J:$J,XYZ!$A797)</f>
        <v>0</v>
      </c>
      <c r="E797">
        <f>SUMIFS('data (1)'!$M:$M,'data (1)'!$A:$A,XYZ!E$1,'data (1)'!$J:$J,XYZ!$A797)</f>
        <v>0.1</v>
      </c>
      <c r="F797">
        <f>SUMIFS('data (1)'!$M:$M,'data (1)'!$A:$A,XYZ!F$1,'data (1)'!$J:$J,XYZ!$A797)</f>
        <v>0</v>
      </c>
      <c r="G797">
        <f>SUMIFS('data (1)'!$M:$M,'data (1)'!$A:$A,XYZ!G$1,'data (1)'!$J:$J,XYZ!$A797)</f>
        <v>0</v>
      </c>
    </row>
    <row r="798" spans="1:7" x14ac:dyDescent="0.15">
      <c r="A798" t="s">
        <v>879</v>
      </c>
      <c r="B798" s="11">
        <f t="shared" si="12"/>
        <v>2.2360679774997898</v>
      </c>
      <c r="C798">
        <f>SUMIFS('data (1)'!$M:$M,'data (1)'!$A:$A,XYZ!C$1,'data (1)'!$J:$J,XYZ!$A798)</f>
        <v>0</v>
      </c>
      <c r="D798">
        <f>SUMIFS('data (1)'!$M:$M,'data (1)'!$A:$A,XYZ!D$1,'data (1)'!$J:$J,XYZ!$A798)</f>
        <v>0</v>
      </c>
      <c r="E798">
        <f>SUMIFS('data (1)'!$M:$M,'data (1)'!$A:$A,XYZ!E$1,'data (1)'!$J:$J,XYZ!$A798)</f>
        <v>0.1</v>
      </c>
      <c r="F798">
        <f>SUMIFS('data (1)'!$M:$M,'data (1)'!$A:$A,XYZ!F$1,'data (1)'!$J:$J,XYZ!$A798)</f>
        <v>0</v>
      </c>
      <c r="G798">
        <f>SUMIFS('data (1)'!$M:$M,'data (1)'!$A:$A,XYZ!G$1,'data (1)'!$J:$J,XYZ!$A798)</f>
        <v>0</v>
      </c>
    </row>
    <row r="799" spans="1:7" x14ac:dyDescent="0.15">
      <c r="A799" t="s">
        <v>652</v>
      </c>
      <c r="B799" s="11">
        <f t="shared" si="12"/>
        <v>2.2360679774997898</v>
      </c>
      <c r="C799">
        <f>SUMIFS('data (1)'!$M:$M,'data (1)'!$A:$A,XYZ!C$1,'data (1)'!$J:$J,XYZ!$A799)</f>
        <v>0</v>
      </c>
      <c r="D799">
        <f>SUMIFS('data (1)'!$M:$M,'data (1)'!$A:$A,XYZ!D$1,'data (1)'!$J:$J,XYZ!$A799)</f>
        <v>0.1</v>
      </c>
      <c r="E799">
        <f>SUMIFS('data (1)'!$M:$M,'data (1)'!$A:$A,XYZ!E$1,'data (1)'!$J:$J,XYZ!$A799)</f>
        <v>0</v>
      </c>
      <c r="F799">
        <f>SUMIFS('data (1)'!$M:$M,'data (1)'!$A:$A,XYZ!F$1,'data (1)'!$J:$J,XYZ!$A799)</f>
        <v>0</v>
      </c>
      <c r="G799">
        <f>SUMIFS('data (1)'!$M:$M,'data (1)'!$A:$A,XYZ!G$1,'data (1)'!$J:$J,XYZ!$A799)</f>
        <v>0</v>
      </c>
    </row>
    <row r="800" spans="1:7" x14ac:dyDescent="0.15">
      <c r="A800" t="s">
        <v>665</v>
      </c>
      <c r="B800" s="11">
        <f t="shared" si="12"/>
        <v>2.2360679774997894</v>
      </c>
      <c r="C800">
        <f>SUMIFS('data (1)'!$M:$M,'data (1)'!$A:$A,XYZ!C$1,'data (1)'!$J:$J,XYZ!$A800)</f>
        <v>0</v>
      </c>
      <c r="D800">
        <f>SUMIFS('data (1)'!$M:$M,'data (1)'!$A:$A,XYZ!D$1,'data (1)'!$J:$J,XYZ!$A800)</f>
        <v>7.1428400000000003E-2</v>
      </c>
      <c r="E800">
        <f>SUMIFS('data (1)'!$M:$M,'data (1)'!$A:$A,XYZ!E$1,'data (1)'!$J:$J,XYZ!$A800)</f>
        <v>0</v>
      </c>
      <c r="F800">
        <f>SUMIFS('data (1)'!$M:$M,'data (1)'!$A:$A,XYZ!F$1,'data (1)'!$J:$J,XYZ!$A800)</f>
        <v>0</v>
      </c>
      <c r="G800">
        <f>SUMIFS('data (1)'!$M:$M,'data (1)'!$A:$A,XYZ!G$1,'data (1)'!$J:$J,XYZ!$A800)</f>
        <v>0</v>
      </c>
    </row>
    <row r="801" spans="1:7" x14ac:dyDescent="0.15">
      <c r="A801" t="s">
        <v>1037</v>
      </c>
      <c r="B801" s="11">
        <f t="shared" si="12"/>
        <v>2.2360679774997898</v>
      </c>
      <c r="C801">
        <f>SUMIFS('data (1)'!$M:$M,'data (1)'!$A:$A,XYZ!C$1,'data (1)'!$J:$J,XYZ!$A801)</f>
        <v>0</v>
      </c>
      <c r="D801">
        <f>SUMIFS('data (1)'!$M:$M,'data (1)'!$A:$A,XYZ!D$1,'data (1)'!$J:$J,XYZ!$A801)</f>
        <v>0</v>
      </c>
      <c r="E801">
        <f>SUMIFS('data (1)'!$M:$M,'data (1)'!$A:$A,XYZ!E$1,'data (1)'!$J:$J,XYZ!$A801)</f>
        <v>0</v>
      </c>
      <c r="F801">
        <f>SUMIFS('data (1)'!$M:$M,'data (1)'!$A:$A,XYZ!F$1,'data (1)'!$J:$J,XYZ!$A801)</f>
        <v>6.6666669999999997E-2</v>
      </c>
      <c r="G801">
        <f>SUMIFS('data (1)'!$M:$M,'data (1)'!$A:$A,XYZ!G$1,'data (1)'!$J:$J,XYZ!$A801)</f>
        <v>0</v>
      </c>
    </row>
    <row r="802" spans="1:7" x14ac:dyDescent="0.15">
      <c r="A802" t="s">
        <v>1114</v>
      </c>
      <c r="B802" s="11">
        <f t="shared" si="12"/>
        <v>2.2360679774997898</v>
      </c>
      <c r="C802">
        <f>SUMIFS('data (1)'!$M:$M,'data (1)'!$A:$A,XYZ!C$1,'data (1)'!$J:$J,XYZ!$A802)</f>
        <v>0</v>
      </c>
      <c r="D802">
        <f>SUMIFS('data (1)'!$M:$M,'data (1)'!$A:$A,XYZ!D$1,'data (1)'!$J:$J,XYZ!$A802)</f>
        <v>0</v>
      </c>
      <c r="E802">
        <f>SUMIFS('data (1)'!$M:$M,'data (1)'!$A:$A,XYZ!E$1,'data (1)'!$J:$J,XYZ!$A802)</f>
        <v>0</v>
      </c>
      <c r="F802">
        <f>SUMIFS('data (1)'!$M:$M,'data (1)'!$A:$A,XYZ!F$1,'data (1)'!$J:$J,XYZ!$A802)</f>
        <v>0</v>
      </c>
      <c r="G802">
        <f>SUMIFS('data (1)'!$M:$M,'data (1)'!$A:$A,XYZ!G$1,'data (1)'!$J:$J,XYZ!$A802)</f>
        <v>0.05</v>
      </c>
    </row>
    <row r="803" spans="1:7" x14ac:dyDescent="0.15">
      <c r="A803" t="s">
        <v>1069</v>
      </c>
      <c r="B803" s="11">
        <f t="shared" si="12"/>
        <v>2.2360679774997898</v>
      </c>
      <c r="C803">
        <f>SUMIFS('data (1)'!$M:$M,'data (1)'!$A:$A,XYZ!C$1,'data (1)'!$J:$J,XYZ!$A803)</f>
        <v>0</v>
      </c>
      <c r="D803">
        <f>SUMIFS('data (1)'!$M:$M,'data (1)'!$A:$A,XYZ!D$1,'data (1)'!$J:$J,XYZ!$A803)</f>
        <v>0</v>
      </c>
      <c r="E803">
        <f>SUMIFS('data (1)'!$M:$M,'data (1)'!$A:$A,XYZ!E$1,'data (1)'!$J:$J,XYZ!$A803)</f>
        <v>0</v>
      </c>
      <c r="F803">
        <f>SUMIFS('data (1)'!$M:$M,'data (1)'!$A:$A,XYZ!F$1,'data (1)'!$J:$J,XYZ!$A803)</f>
        <v>0.05</v>
      </c>
      <c r="G803">
        <f>SUMIFS('data (1)'!$M:$M,'data (1)'!$A:$A,XYZ!G$1,'data (1)'!$J:$J,XYZ!$A803)</f>
        <v>0</v>
      </c>
    </row>
    <row r="804" spans="1:7" x14ac:dyDescent="0.15">
      <c r="A804" t="s">
        <v>1011</v>
      </c>
      <c r="B804" s="11">
        <f t="shared" si="12"/>
        <v>2.2360679774997898</v>
      </c>
      <c r="C804">
        <f>SUMIFS('data (1)'!$M:$M,'data (1)'!$A:$A,XYZ!C$1,'data (1)'!$J:$J,XYZ!$A804)</f>
        <v>0</v>
      </c>
      <c r="D804">
        <f>SUMIFS('data (1)'!$M:$M,'data (1)'!$A:$A,XYZ!D$1,'data (1)'!$J:$J,XYZ!$A804)</f>
        <v>0</v>
      </c>
      <c r="E804">
        <f>SUMIFS('data (1)'!$M:$M,'data (1)'!$A:$A,XYZ!E$1,'data (1)'!$J:$J,XYZ!$A804)</f>
        <v>0</v>
      </c>
      <c r="F804">
        <f>SUMIFS('data (1)'!$M:$M,'data (1)'!$A:$A,XYZ!F$1,'data (1)'!$J:$J,XYZ!$A804)</f>
        <v>0.04</v>
      </c>
      <c r="G804">
        <f>SUMIFS('data (1)'!$M:$M,'data (1)'!$A:$A,XYZ!G$1,'data (1)'!$J:$J,XYZ!$A804)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 (1)</vt:lpstr>
      <vt:lpstr>Лист11</vt:lpstr>
      <vt:lpstr>ABC</vt:lpstr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Быковский Кирилл </cp:lastModifiedBy>
  <dcterms:created xsi:type="dcterms:W3CDTF">2026-01-27T19:34:40Z</dcterms:created>
  <dcterms:modified xsi:type="dcterms:W3CDTF">2026-01-27T20:44:14Z</dcterms:modified>
</cp:coreProperties>
</file>